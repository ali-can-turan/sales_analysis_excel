
<file path=[Content_Types].xml><?xml version="1.0" encoding="utf-8"?>
<Types xmlns="http://schemas.openxmlformats.org/package/2006/content-types">
  <Default Extension="bin" ContentType="application/vnd.ms-office.activeX"/>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drawings/drawing2.xml" ContentType="application/vnd.openxmlformats-officedocument.drawing+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3.xml" ContentType="application/vnd.openxmlformats-officedocument.drawing+xml"/>
  <Override PartName="/xl/slicers/slicer1.xml" ContentType="application/vnd.ms-excel.slicer+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pivotTables/pivotTable7.xml" ContentType="application/vnd.openxmlformats-officedocument.spreadsheetml.pivotTable+xml"/>
  <Override PartName="/xl/pivotTables/pivotTable8.xml" ContentType="application/vnd.openxmlformats-officedocument.spreadsheetml.pivotTable+xml"/>
  <Override PartName="/xl/drawings/drawing4.xml" ContentType="application/vnd.openxmlformats-officedocument.drawing+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drawings/drawing5.xml" ContentType="application/vnd.openxmlformats-officedocument.drawing+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ThisWorkbook" hidePivotFieldList="1" defaultThemeVersion="166925"/>
  <mc:AlternateContent xmlns:mc="http://schemas.openxmlformats.org/markup-compatibility/2006">
    <mc:Choice Requires="x15">
      <x15ac:absPath xmlns:x15ac="http://schemas.microsoft.com/office/spreadsheetml/2010/11/ac" url="D:\Belgelerim\New Life\Projects\"/>
    </mc:Choice>
  </mc:AlternateContent>
  <xr:revisionPtr revIDLastSave="0" documentId="13_ncr:1_{4CBC1D98-6254-4490-8DA5-C22583C6654B}" xr6:coauthVersionLast="47" xr6:coauthVersionMax="47" xr10:uidLastSave="{00000000-0000-0000-0000-000000000000}"/>
  <bookViews>
    <workbookView xWindow="-108" yWindow="-108" windowWidth="23256" windowHeight="12456" activeTab="3" xr2:uid="{00000000-000D-0000-FFFF-FFFF00000000}"/>
  </bookViews>
  <sheets>
    <sheet name="Dashboard" sheetId="18" r:id="rId1"/>
    <sheet name="Analysis Insights &amp; BI options" sheetId="22" r:id="rId2"/>
    <sheet name="Raw Data" sheetId="7" r:id="rId3"/>
    <sheet name="Clean Data" sheetId="8" r:id="rId4"/>
    <sheet name="Pivot_1" sheetId="17" state="hidden" r:id="rId5"/>
    <sheet name="Pivot_2" sheetId="20" state="hidden" r:id="rId6"/>
    <sheet name="Pivot_3" sheetId="21" state="hidden" r:id="rId7"/>
  </sheets>
  <definedNames>
    <definedName name="_xlnm._FilterDatabase" localSheetId="3" hidden="1">'Clean Data'!$A$3:$G$499</definedName>
    <definedName name="_xlnm._FilterDatabase" localSheetId="2" hidden="1">'Raw Data'!$A$1:$V$498</definedName>
    <definedName name="Check_Sum" localSheetId="2">IFERROR(SUM(_xlfn.UNICODE(RIGHT('Raw Data'!A$3:A$498,5)))+SUM(_xlfn.UNICODE(MID('Raw Data'!A$3:A$498,12,1)))+SUM(LEN('Raw Data'!A$3:A$498)),0)</definedName>
    <definedName name="Check_Sum_Short">IFERROR(SUM(_xlfn.UNICODE('Raw Data'!A$3:A$498))+SUM(LEN('Raw Data'!A$3:A$498)),0)</definedName>
    <definedName name="Normal_Sum" localSheetId="2">IFERROR(SUM('Raw Data'!A$3:A$498),0)</definedName>
    <definedName name="Slicer_Product">#N/A</definedName>
    <definedName name="Slicer_Product1">#N/A</definedName>
  </definedNames>
  <calcPr calcId="191029" concurrentCalc="0"/>
  <pivotCaches>
    <pivotCache cacheId="0" r:id="rId8"/>
  </pivotCaches>
  <fileRecoveryPr autoRecover="0"/>
  <extLst>
    <ext xmlns:x14="http://schemas.microsoft.com/office/spreadsheetml/2009/9/main" uri="{BBE1A952-AA13-448e-AADC-164F8A28A991}">
      <x14:slicerCaches>
        <x14:slicerCache r:id="rId9"/>
        <x14:slicerCache r:id="rId10"/>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J18" i="18" l="1"/>
  <c r="A10" i="21"/>
  <c r="D14" i="7"/>
  <c r="F14" i="7"/>
  <c r="G14" i="7"/>
  <c r="H14" i="7"/>
  <c r="I14" i="7"/>
  <c r="L14" i="7"/>
  <c r="M14" i="7"/>
  <c r="N14" i="7"/>
  <c r="O14" i="7"/>
  <c r="P14" i="7"/>
  <c r="S14" i="7"/>
  <c r="B4" i="8"/>
  <c r="D93" i="7"/>
  <c r="F93" i="7"/>
  <c r="G93" i="7"/>
  <c r="H93" i="7"/>
  <c r="I93" i="7"/>
  <c r="L93" i="7"/>
  <c r="M93" i="7"/>
  <c r="N93" i="7"/>
  <c r="O93" i="7"/>
  <c r="P93" i="7"/>
  <c r="S93" i="7"/>
  <c r="B5" i="8"/>
  <c r="D229" i="7"/>
  <c r="F229" i="7"/>
  <c r="G229" i="7"/>
  <c r="H229" i="7"/>
  <c r="I229" i="7"/>
  <c r="L229" i="7"/>
  <c r="M229" i="7"/>
  <c r="N229" i="7"/>
  <c r="O229" i="7"/>
  <c r="P229" i="7"/>
  <c r="S229" i="7"/>
  <c r="B6" i="8"/>
  <c r="D425" i="7"/>
  <c r="F425" i="7"/>
  <c r="G425" i="7"/>
  <c r="H425" i="7"/>
  <c r="I425" i="7"/>
  <c r="L425" i="7"/>
  <c r="M425" i="7"/>
  <c r="N425" i="7"/>
  <c r="O425" i="7"/>
  <c r="P425" i="7"/>
  <c r="S425" i="7"/>
  <c r="B7" i="8"/>
  <c r="D377" i="7"/>
  <c r="F377" i="7"/>
  <c r="G377" i="7"/>
  <c r="H377" i="7"/>
  <c r="I377" i="7"/>
  <c r="L377" i="7"/>
  <c r="M377" i="7"/>
  <c r="N377" i="7"/>
  <c r="O377" i="7"/>
  <c r="R377" i="7"/>
  <c r="A499" i="8"/>
  <c r="D354" i="7"/>
  <c r="F354" i="7"/>
  <c r="G354" i="7"/>
  <c r="H354" i="7"/>
  <c r="I354" i="7"/>
  <c r="L354" i="7"/>
  <c r="M354" i="7"/>
  <c r="N354" i="7"/>
  <c r="O354" i="7"/>
  <c r="R354" i="7"/>
  <c r="A498" i="8"/>
  <c r="D344" i="7"/>
  <c r="F344" i="7"/>
  <c r="G344" i="7"/>
  <c r="H344" i="7"/>
  <c r="I344" i="7"/>
  <c r="L344" i="7"/>
  <c r="M344" i="7"/>
  <c r="N344" i="7"/>
  <c r="O344" i="7"/>
  <c r="R344" i="7"/>
  <c r="A497" i="8"/>
  <c r="D214" i="7"/>
  <c r="F214" i="7"/>
  <c r="G214" i="7"/>
  <c r="H214" i="7"/>
  <c r="I214" i="7"/>
  <c r="L214" i="7"/>
  <c r="M214" i="7"/>
  <c r="N214" i="7"/>
  <c r="O214" i="7"/>
  <c r="R214" i="7"/>
  <c r="A496" i="8"/>
  <c r="D421" i="7"/>
  <c r="F421" i="7"/>
  <c r="G421" i="7"/>
  <c r="H421" i="7"/>
  <c r="I421" i="7"/>
  <c r="L421" i="7"/>
  <c r="M421" i="7"/>
  <c r="N421" i="7"/>
  <c r="O421" i="7"/>
  <c r="R421" i="7"/>
  <c r="A495" i="8"/>
  <c r="D326" i="7"/>
  <c r="F326" i="7"/>
  <c r="G326" i="7"/>
  <c r="H326" i="7"/>
  <c r="I326" i="7"/>
  <c r="L326" i="7"/>
  <c r="M326" i="7"/>
  <c r="N326" i="7"/>
  <c r="O326" i="7"/>
  <c r="R326" i="7"/>
  <c r="A494" i="8"/>
  <c r="D267" i="7"/>
  <c r="F267" i="7"/>
  <c r="G267" i="7"/>
  <c r="H267" i="7"/>
  <c r="I267" i="7"/>
  <c r="L267" i="7"/>
  <c r="M267" i="7"/>
  <c r="N267" i="7"/>
  <c r="O267" i="7"/>
  <c r="R267" i="7"/>
  <c r="A493" i="8"/>
  <c r="D6" i="7"/>
  <c r="F6" i="7"/>
  <c r="G6" i="7"/>
  <c r="H6" i="7"/>
  <c r="I6" i="7"/>
  <c r="L6" i="7"/>
  <c r="M6" i="7"/>
  <c r="N6" i="7"/>
  <c r="O6" i="7"/>
  <c r="R6" i="7"/>
  <c r="A492" i="8"/>
  <c r="D341" i="7"/>
  <c r="F341" i="7"/>
  <c r="G341" i="7"/>
  <c r="H341" i="7"/>
  <c r="I341" i="7"/>
  <c r="L341" i="7"/>
  <c r="M341" i="7"/>
  <c r="N341" i="7"/>
  <c r="O341" i="7"/>
  <c r="R341" i="7"/>
  <c r="A491" i="8"/>
  <c r="D264" i="7"/>
  <c r="F264" i="7"/>
  <c r="G264" i="7"/>
  <c r="H264" i="7"/>
  <c r="I264" i="7"/>
  <c r="L264" i="7"/>
  <c r="M264" i="7"/>
  <c r="N264" i="7"/>
  <c r="O264" i="7"/>
  <c r="R264" i="7"/>
  <c r="A490" i="8"/>
  <c r="D235" i="7"/>
  <c r="F235" i="7"/>
  <c r="G235" i="7"/>
  <c r="H235" i="7"/>
  <c r="I235" i="7"/>
  <c r="L235" i="7"/>
  <c r="M235" i="7"/>
  <c r="N235" i="7"/>
  <c r="O235" i="7"/>
  <c r="R235" i="7"/>
  <c r="A489" i="8"/>
  <c r="D57" i="7"/>
  <c r="F57" i="7"/>
  <c r="G57" i="7"/>
  <c r="H57" i="7"/>
  <c r="I57" i="7"/>
  <c r="L57" i="7"/>
  <c r="M57" i="7"/>
  <c r="N57" i="7"/>
  <c r="O57" i="7"/>
  <c r="R57" i="7"/>
  <c r="A488" i="8"/>
  <c r="D369" i="7"/>
  <c r="F369" i="7"/>
  <c r="G369" i="7"/>
  <c r="H369" i="7"/>
  <c r="I369" i="7"/>
  <c r="L369" i="7"/>
  <c r="M369" i="7"/>
  <c r="N369" i="7"/>
  <c r="O369" i="7"/>
  <c r="R369" i="7"/>
  <c r="A487" i="8"/>
  <c r="D205" i="7"/>
  <c r="F205" i="7"/>
  <c r="G205" i="7"/>
  <c r="H205" i="7"/>
  <c r="I205" i="7"/>
  <c r="L205" i="7"/>
  <c r="M205" i="7"/>
  <c r="N205" i="7"/>
  <c r="O205" i="7"/>
  <c r="R205" i="7"/>
  <c r="A486" i="8"/>
  <c r="D149" i="7"/>
  <c r="F149" i="7"/>
  <c r="G149" i="7"/>
  <c r="H149" i="7"/>
  <c r="I149" i="7"/>
  <c r="L149" i="7"/>
  <c r="M149" i="7"/>
  <c r="N149" i="7"/>
  <c r="O149" i="7"/>
  <c r="R149" i="7"/>
  <c r="A485" i="8"/>
  <c r="D15" i="7"/>
  <c r="F15" i="7"/>
  <c r="G15" i="7"/>
  <c r="H15" i="7"/>
  <c r="I15" i="7"/>
  <c r="L15" i="7"/>
  <c r="M15" i="7"/>
  <c r="N15" i="7"/>
  <c r="O15" i="7"/>
  <c r="R15" i="7"/>
  <c r="A484" i="8"/>
  <c r="D484" i="7"/>
  <c r="F484" i="7"/>
  <c r="G484" i="7"/>
  <c r="H484" i="7"/>
  <c r="I484" i="7"/>
  <c r="L484" i="7"/>
  <c r="M484" i="7"/>
  <c r="N484" i="7"/>
  <c r="O484" i="7"/>
  <c r="R484" i="7"/>
  <c r="A483" i="8"/>
  <c r="D284" i="7"/>
  <c r="F284" i="7"/>
  <c r="G284" i="7"/>
  <c r="H284" i="7"/>
  <c r="I284" i="7"/>
  <c r="L284" i="7"/>
  <c r="M284" i="7"/>
  <c r="N284" i="7"/>
  <c r="O284" i="7"/>
  <c r="R284" i="7"/>
  <c r="A482" i="8"/>
  <c r="D256" i="7"/>
  <c r="F256" i="7"/>
  <c r="G256" i="7"/>
  <c r="H256" i="7"/>
  <c r="I256" i="7"/>
  <c r="L256" i="7"/>
  <c r="M256" i="7"/>
  <c r="N256" i="7"/>
  <c r="O256" i="7"/>
  <c r="R256" i="7"/>
  <c r="A481" i="8"/>
  <c r="D83" i="7"/>
  <c r="F83" i="7"/>
  <c r="G83" i="7"/>
  <c r="H83" i="7"/>
  <c r="I83" i="7"/>
  <c r="L83" i="7"/>
  <c r="M83" i="7"/>
  <c r="N83" i="7"/>
  <c r="O83" i="7"/>
  <c r="R83" i="7"/>
  <c r="A480" i="8"/>
  <c r="D249" i="7"/>
  <c r="F249" i="7"/>
  <c r="G249" i="7"/>
  <c r="H249" i="7"/>
  <c r="I249" i="7"/>
  <c r="L249" i="7"/>
  <c r="M249" i="7"/>
  <c r="N249" i="7"/>
  <c r="O249" i="7"/>
  <c r="R249" i="7"/>
  <c r="A479" i="8"/>
  <c r="D203" i="7"/>
  <c r="F203" i="7"/>
  <c r="G203" i="7"/>
  <c r="H203" i="7"/>
  <c r="I203" i="7"/>
  <c r="L203" i="7"/>
  <c r="M203" i="7"/>
  <c r="N203" i="7"/>
  <c r="O203" i="7"/>
  <c r="R203" i="7"/>
  <c r="A478" i="8"/>
  <c r="D40" i="7"/>
  <c r="F40" i="7"/>
  <c r="G40" i="7"/>
  <c r="H40" i="7"/>
  <c r="I40" i="7"/>
  <c r="L40" i="7"/>
  <c r="M40" i="7"/>
  <c r="N40" i="7"/>
  <c r="O40" i="7"/>
  <c r="R40" i="7"/>
  <c r="A477" i="8"/>
  <c r="D37" i="7"/>
  <c r="F37" i="7"/>
  <c r="G37" i="7"/>
  <c r="H37" i="7"/>
  <c r="I37" i="7"/>
  <c r="L37" i="7"/>
  <c r="M37" i="7"/>
  <c r="N37" i="7"/>
  <c r="O37" i="7"/>
  <c r="R37" i="7"/>
  <c r="A476" i="8"/>
  <c r="D448" i="7"/>
  <c r="F448" i="7"/>
  <c r="G448" i="7"/>
  <c r="H448" i="7"/>
  <c r="I448" i="7"/>
  <c r="L448" i="7"/>
  <c r="M448" i="7"/>
  <c r="N448" i="7"/>
  <c r="O448" i="7"/>
  <c r="R448" i="7"/>
  <c r="A475" i="8"/>
  <c r="D331" i="7"/>
  <c r="F331" i="7"/>
  <c r="G331" i="7"/>
  <c r="H331" i="7"/>
  <c r="I331" i="7"/>
  <c r="L331" i="7"/>
  <c r="M331" i="7"/>
  <c r="N331" i="7"/>
  <c r="O331" i="7"/>
  <c r="R331" i="7"/>
  <c r="A474" i="8"/>
  <c r="D252" i="7"/>
  <c r="F252" i="7"/>
  <c r="G252" i="7"/>
  <c r="H252" i="7"/>
  <c r="I252" i="7"/>
  <c r="L252" i="7"/>
  <c r="M252" i="7"/>
  <c r="N252" i="7"/>
  <c r="O252" i="7"/>
  <c r="R252" i="7"/>
  <c r="A473" i="8"/>
  <c r="D251" i="7"/>
  <c r="F251" i="7"/>
  <c r="G251" i="7"/>
  <c r="H251" i="7"/>
  <c r="I251" i="7"/>
  <c r="L251" i="7"/>
  <c r="M251" i="7"/>
  <c r="N251" i="7"/>
  <c r="O251" i="7"/>
  <c r="R251" i="7"/>
  <c r="A472" i="8"/>
  <c r="D222" i="7"/>
  <c r="F222" i="7"/>
  <c r="G222" i="7"/>
  <c r="H222" i="7"/>
  <c r="I222" i="7"/>
  <c r="L222" i="7"/>
  <c r="M222" i="7"/>
  <c r="N222" i="7"/>
  <c r="O222" i="7"/>
  <c r="R222" i="7"/>
  <c r="A471" i="8"/>
  <c r="D198" i="7"/>
  <c r="F198" i="7"/>
  <c r="G198" i="7"/>
  <c r="H198" i="7"/>
  <c r="I198" i="7"/>
  <c r="L198" i="7"/>
  <c r="M198" i="7"/>
  <c r="N198" i="7"/>
  <c r="O198" i="7"/>
  <c r="R198" i="7"/>
  <c r="A470" i="8"/>
  <c r="D136" i="7"/>
  <c r="F136" i="7"/>
  <c r="G136" i="7"/>
  <c r="H136" i="7"/>
  <c r="I136" i="7"/>
  <c r="L136" i="7"/>
  <c r="M136" i="7"/>
  <c r="N136" i="7"/>
  <c r="O136" i="7"/>
  <c r="R136" i="7"/>
  <c r="A469" i="8"/>
  <c r="D84" i="7"/>
  <c r="F84" i="7"/>
  <c r="G84" i="7"/>
  <c r="H84" i="7"/>
  <c r="I84" i="7"/>
  <c r="L84" i="7"/>
  <c r="M84" i="7"/>
  <c r="N84" i="7"/>
  <c r="O84" i="7"/>
  <c r="R84" i="7"/>
  <c r="A468" i="8"/>
  <c r="D407" i="7"/>
  <c r="F407" i="7"/>
  <c r="G407" i="7"/>
  <c r="H407" i="7"/>
  <c r="I407" i="7"/>
  <c r="L407" i="7"/>
  <c r="M407" i="7"/>
  <c r="N407" i="7"/>
  <c r="O407" i="7"/>
  <c r="R407" i="7"/>
  <c r="A467" i="8"/>
  <c r="D319" i="7"/>
  <c r="F319" i="7"/>
  <c r="G319" i="7"/>
  <c r="H319" i="7"/>
  <c r="I319" i="7"/>
  <c r="L319" i="7"/>
  <c r="M319" i="7"/>
  <c r="N319" i="7"/>
  <c r="O319" i="7"/>
  <c r="R319" i="7"/>
  <c r="A466" i="8"/>
  <c r="D230" i="7"/>
  <c r="F230" i="7"/>
  <c r="G230" i="7"/>
  <c r="H230" i="7"/>
  <c r="I230" i="7"/>
  <c r="L230" i="7"/>
  <c r="M230" i="7"/>
  <c r="N230" i="7"/>
  <c r="O230" i="7"/>
  <c r="R230" i="7"/>
  <c r="A465" i="8"/>
  <c r="D10" i="7"/>
  <c r="F10" i="7"/>
  <c r="G10" i="7"/>
  <c r="H10" i="7"/>
  <c r="I10" i="7"/>
  <c r="L10" i="7"/>
  <c r="M10" i="7"/>
  <c r="N10" i="7"/>
  <c r="O10" i="7"/>
  <c r="R10" i="7"/>
  <c r="A464" i="8"/>
  <c r="D465" i="7"/>
  <c r="F465" i="7"/>
  <c r="G465" i="7"/>
  <c r="H465" i="7"/>
  <c r="I465" i="7"/>
  <c r="L465" i="7"/>
  <c r="M465" i="7"/>
  <c r="N465" i="7"/>
  <c r="O465" i="7"/>
  <c r="R465" i="7"/>
  <c r="A463" i="8"/>
  <c r="D248" i="7"/>
  <c r="F248" i="7"/>
  <c r="G248" i="7"/>
  <c r="H248" i="7"/>
  <c r="I248" i="7"/>
  <c r="L248" i="7"/>
  <c r="M248" i="7"/>
  <c r="N248" i="7"/>
  <c r="O248" i="7"/>
  <c r="R248" i="7"/>
  <c r="A462" i="8"/>
  <c r="D119" i="7"/>
  <c r="F119" i="7"/>
  <c r="G119" i="7"/>
  <c r="H119" i="7"/>
  <c r="I119" i="7"/>
  <c r="L119" i="7"/>
  <c r="M119" i="7"/>
  <c r="N119" i="7"/>
  <c r="O119" i="7"/>
  <c r="R119" i="7"/>
  <c r="A461" i="8"/>
  <c r="D118" i="7"/>
  <c r="F118" i="7"/>
  <c r="G118" i="7"/>
  <c r="H118" i="7"/>
  <c r="I118" i="7"/>
  <c r="L118" i="7"/>
  <c r="M118" i="7"/>
  <c r="N118" i="7"/>
  <c r="O118" i="7"/>
  <c r="R118" i="7"/>
  <c r="A460" i="8"/>
  <c r="D315" i="7"/>
  <c r="F315" i="7"/>
  <c r="G315" i="7"/>
  <c r="H315" i="7"/>
  <c r="I315" i="7"/>
  <c r="L315" i="7"/>
  <c r="M315" i="7"/>
  <c r="N315" i="7"/>
  <c r="O315" i="7"/>
  <c r="R315" i="7"/>
  <c r="A459" i="8"/>
  <c r="D258" i="7"/>
  <c r="F258" i="7"/>
  <c r="G258" i="7"/>
  <c r="H258" i="7"/>
  <c r="I258" i="7"/>
  <c r="L258" i="7"/>
  <c r="M258" i="7"/>
  <c r="N258" i="7"/>
  <c r="O258" i="7"/>
  <c r="R258" i="7"/>
  <c r="A458" i="8"/>
  <c r="D105" i="7"/>
  <c r="F105" i="7"/>
  <c r="G105" i="7"/>
  <c r="H105" i="7"/>
  <c r="I105" i="7"/>
  <c r="L105" i="7"/>
  <c r="M105" i="7"/>
  <c r="N105" i="7"/>
  <c r="O105" i="7"/>
  <c r="R105" i="7"/>
  <c r="A457" i="8"/>
  <c r="D86" i="7"/>
  <c r="F86" i="7"/>
  <c r="G86" i="7"/>
  <c r="H86" i="7"/>
  <c r="I86" i="7"/>
  <c r="L86" i="7"/>
  <c r="M86" i="7"/>
  <c r="N86" i="7"/>
  <c r="O86" i="7"/>
  <c r="R86" i="7"/>
  <c r="A456" i="8"/>
  <c r="D447" i="7"/>
  <c r="F447" i="7"/>
  <c r="G447" i="7"/>
  <c r="H447" i="7"/>
  <c r="I447" i="7"/>
  <c r="L447" i="7"/>
  <c r="M447" i="7"/>
  <c r="N447" i="7"/>
  <c r="O447" i="7"/>
  <c r="R447" i="7"/>
  <c r="A455" i="8"/>
  <c r="D378" i="7"/>
  <c r="F378" i="7"/>
  <c r="G378" i="7"/>
  <c r="H378" i="7"/>
  <c r="I378" i="7"/>
  <c r="L378" i="7"/>
  <c r="M378" i="7"/>
  <c r="N378" i="7"/>
  <c r="O378" i="7"/>
  <c r="R378" i="7"/>
  <c r="A454" i="8"/>
  <c r="D282" i="7"/>
  <c r="F282" i="7"/>
  <c r="G282" i="7"/>
  <c r="H282" i="7"/>
  <c r="I282" i="7"/>
  <c r="L282" i="7"/>
  <c r="M282" i="7"/>
  <c r="N282" i="7"/>
  <c r="O282" i="7"/>
  <c r="R282" i="7"/>
  <c r="A453" i="8"/>
  <c r="D261" i="7"/>
  <c r="F261" i="7"/>
  <c r="G261" i="7"/>
  <c r="H261" i="7"/>
  <c r="I261" i="7"/>
  <c r="L261" i="7"/>
  <c r="M261" i="7"/>
  <c r="N261" i="7"/>
  <c r="O261" i="7"/>
  <c r="R261" i="7"/>
  <c r="A452" i="8"/>
  <c r="D293" i="7"/>
  <c r="F293" i="7"/>
  <c r="G293" i="7"/>
  <c r="H293" i="7"/>
  <c r="I293" i="7"/>
  <c r="L293" i="7"/>
  <c r="M293" i="7"/>
  <c r="N293" i="7"/>
  <c r="O293" i="7"/>
  <c r="R293" i="7"/>
  <c r="A451" i="8"/>
  <c r="D164" i="7"/>
  <c r="F164" i="7"/>
  <c r="G164" i="7"/>
  <c r="H164" i="7"/>
  <c r="I164" i="7"/>
  <c r="L164" i="7"/>
  <c r="M164" i="7"/>
  <c r="N164" i="7"/>
  <c r="O164" i="7"/>
  <c r="R164" i="7"/>
  <c r="A450" i="8"/>
  <c r="D96" i="7"/>
  <c r="F96" i="7"/>
  <c r="G96" i="7"/>
  <c r="H96" i="7"/>
  <c r="I96" i="7"/>
  <c r="L96" i="7"/>
  <c r="M96" i="7"/>
  <c r="N96" i="7"/>
  <c r="O96" i="7"/>
  <c r="R96" i="7"/>
  <c r="A449" i="8"/>
  <c r="D82" i="7"/>
  <c r="F82" i="7"/>
  <c r="G82" i="7"/>
  <c r="H82" i="7"/>
  <c r="I82" i="7"/>
  <c r="L82" i="7"/>
  <c r="M82" i="7"/>
  <c r="N82" i="7"/>
  <c r="O82" i="7"/>
  <c r="R82" i="7"/>
  <c r="A448" i="8"/>
  <c r="D347" i="7"/>
  <c r="F347" i="7"/>
  <c r="G347" i="7"/>
  <c r="H347" i="7"/>
  <c r="I347" i="7"/>
  <c r="L347" i="7"/>
  <c r="M347" i="7"/>
  <c r="N347" i="7"/>
  <c r="O347" i="7"/>
  <c r="R347" i="7"/>
  <c r="A447" i="8"/>
  <c r="D243" i="7"/>
  <c r="F243" i="7"/>
  <c r="G243" i="7"/>
  <c r="H243" i="7"/>
  <c r="I243" i="7"/>
  <c r="L243" i="7"/>
  <c r="M243" i="7"/>
  <c r="N243" i="7"/>
  <c r="O243" i="7"/>
  <c r="R243" i="7"/>
  <c r="A446" i="8"/>
  <c r="D241" i="7"/>
  <c r="F241" i="7"/>
  <c r="G241" i="7"/>
  <c r="H241" i="7"/>
  <c r="I241" i="7"/>
  <c r="L241" i="7"/>
  <c r="M241" i="7"/>
  <c r="N241" i="7"/>
  <c r="O241" i="7"/>
  <c r="R241" i="7"/>
  <c r="A445" i="8"/>
  <c r="D97" i="7"/>
  <c r="F97" i="7"/>
  <c r="G97" i="7"/>
  <c r="H97" i="7"/>
  <c r="I97" i="7"/>
  <c r="L97" i="7"/>
  <c r="M97" i="7"/>
  <c r="N97" i="7"/>
  <c r="O97" i="7"/>
  <c r="R97" i="7"/>
  <c r="A444" i="8"/>
  <c r="D408" i="7"/>
  <c r="F408" i="7"/>
  <c r="G408" i="7"/>
  <c r="H408" i="7"/>
  <c r="I408" i="7"/>
  <c r="L408" i="7"/>
  <c r="M408" i="7"/>
  <c r="N408" i="7"/>
  <c r="O408" i="7"/>
  <c r="R408" i="7"/>
  <c r="A443" i="8"/>
  <c r="D211" i="7"/>
  <c r="F211" i="7"/>
  <c r="G211" i="7"/>
  <c r="H211" i="7"/>
  <c r="I211" i="7"/>
  <c r="L211" i="7"/>
  <c r="M211" i="7"/>
  <c r="N211" i="7"/>
  <c r="O211" i="7"/>
  <c r="R211" i="7"/>
  <c r="A442" i="8"/>
  <c r="D127" i="7"/>
  <c r="F127" i="7"/>
  <c r="G127" i="7"/>
  <c r="H127" i="7"/>
  <c r="I127" i="7"/>
  <c r="L127" i="7"/>
  <c r="M127" i="7"/>
  <c r="N127" i="7"/>
  <c r="O127" i="7"/>
  <c r="R127" i="7"/>
  <c r="A441" i="8"/>
  <c r="D121" i="7"/>
  <c r="F121" i="7"/>
  <c r="G121" i="7"/>
  <c r="H121" i="7"/>
  <c r="I121" i="7"/>
  <c r="L121" i="7"/>
  <c r="M121" i="7"/>
  <c r="N121" i="7"/>
  <c r="O121" i="7"/>
  <c r="R121" i="7"/>
  <c r="A440" i="8"/>
  <c r="D473" i="7"/>
  <c r="F473" i="7"/>
  <c r="G473" i="7"/>
  <c r="H473" i="7"/>
  <c r="I473" i="7"/>
  <c r="L473" i="7"/>
  <c r="M473" i="7"/>
  <c r="N473" i="7"/>
  <c r="O473" i="7"/>
  <c r="R473" i="7"/>
  <c r="A439" i="8"/>
  <c r="D472" i="7"/>
  <c r="F472" i="7"/>
  <c r="G472" i="7"/>
  <c r="H472" i="7"/>
  <c r="I472" i="7"/>
  <c r="L472" i="7"/>
  <c r="M472" i="7"/>
  <c r="N472" i="7"/>
  <c r="O472" i="7"/>
  <c r="R472" i="7"/>
  <c r="A438" i="8"/>
  <c r="D449" i="7"/>
  <c r="F449" i="7"/>
  <c r="G449" i="7"/>
  <c r="H449" i="7"/>
  <c r="I449" i="7"/>
  <c r="L449" i="7"/>
  <c r="M449" i="7"/>
  <c r="N449" i="7"/>
  <c r="O449" i="7"/>
  <c r="R449" i="7"/>
  <c r="A437" i="8"/>
  <c r="D327" i="7"/>
  <c r="F327" i="7"/>
  <c r="G327" i="7"/>
  <c r="H327" i="7"/>
  <c r="I327" i="7"/>
  <c r="L327" i="7"/>
  <c r="M327" i="7"/>
  <c r="N327" i="7"/>
  <c r="O327" i="7"/>
  <c r="R327" i="7"/>
  <c r="A436" i="8"/>
  <c r="D287" i="7"/>
  <c r="F287" i="7"/>
  <c r="G287" i="7"/>
  <c r="H287" i="7"/>
  <c r="I287" i="7"/>
  <c r="L287" i="7"/>
  <c r="M287" i="7"/>
  <c r="N287" i="7"/>
  <c r="O287" i="7"/>
  <c r="R287" i="7"/>
  <c r="A435" i="8"/>
  <c r="D124" i="7"/>
  <c r="F124" i="7"/>
  <c r="G124" i="7"/>
  <c r="H124" i="7"/>
  <c r="I124" i="7"/>
  <c r="L124" i="7"/>
  <c r="M124" i="7"/>
  <c r="N124" i="7"/>
  <c r="O124" i="7"/>
  <c r="R124" i="7"/>
  <c r="A434" i="8"/>
  <c r="D52" i="7"/>
  <c r="F52" i="7"/>
  <c r="G52" i="7"/>
  <c r="H52" i="7"/>
  <c r="I52" i="7"/>
  <c r="L52" i="7"/>
  <c r="M52" i="7"/>
  <c r="N52" i="7"/>
  <c r="O52" i="7"/>
  <c r="R52" i="7"/>
  <c r="A433" i="8"/>
  <c r="D7" i="7"/>
  <c r="F7" i="7"/>
  <c r="G7" i="7"/>
  <c r="H7" i="7"/>
  <c r="I7" i="7"/>
  <c r="L7" i="7"/>
  <c r="M7" i="7"/>
  <c r="N7" i="7"/>
  <c r="O7" i="7"/>
  <c r="R7" i="7"/>
  <c r="A432" i="8"/>
  <c r="D431" i="7"/>
  <c r="F431" i="7"/>
  <c r="G431" i="7"/>
  <c r="H431" i="7"/>
  <c r="I431" i="7"/>
  <c r="L431" i="7"/>
  <c r="M431" i="7"/>
  <c r="N431" i="7"/>
  <c r="O431" i="7"/>
  <c r="R431" i="7"/>
  <c r="A431" i="8"/>
  <c r="D415" i="7"/>
  <c r="F415" i="7"/>
  <c r="G415" i="7"/>
  <c r="H415" i="7"/>
  <c r="I415" i="7"/>
  <c r="L415" i="7"/>
  <c r="M415" i="7"/>
  <c r="N415" i="7"/>
  <c r="O415" i="7"/>
  <c r="R415" i="7"/>
  <c r="A430" i="8"/>
  <c r="D414" i="7"/>
  <c r="F414" i="7"/>
  <c r="G414" i="7"/>
  <c r="H414" i="7"/>
  <c r="I414" i="7"/>
  <c r="L414" i="7"/>
  <c r="M414" i="7"/>
  <c r="N414" i="7"/>
  <c r="O414" i="7"/>
  <c r="R414" i="7"/>
  <c r="A429" i="8"/>
  <c r="D373" i="7"/>
  <c r="F373" i="7"/>
  <c r="G373" i="7"/>
  <c r="H373" i="7"/>
  <c r="I373" i="7"/>
  <c r="L373" i="7"/>
  <c r="M373" i="7"/>
  <c r="N373" i="7"/>
  <c r="O373" i="7"/>
  <c r="R373" i="7"/>
  <c r="A428" i="8"/>
  <c r="D184" i="7"/>
  <c r="F184" i="7"/>
  <c r="G184" i="7"/>
  <c r="H184" i="7"/>
  <c r="I184" i="7"/>
  <c r="L184" i="7"/>
  <c r="M184" i="7"/>
  <c r="N184" i="7"/>
  <c r="O184" i="7"/>
  <c r="R184" i="7"/>
  <c r="A427" i="8"/>
  <c r="D50" i="7"/>
  <c r="F50" i="7"/>
  <c r="G50" i="7"/>
  <c r="H50" i="7"/>
  <c r="I50" i="7"/>
  <c r="L50" i="7"/>
  <c r="M50" i="7"/>
  <c r="N50" i="7"/>
  <c r="O50" i="7"/>
  <c r="R50" i="7"/>
  <c r="A426" i="8"/>
  <c r="D5" i="7"/>
  <c r="F5" i="7"/>
  <c r="G5" i="7"/>
  <c r="H5" i="7"/>
  <c r="I5" i="7"/>
  <c r="L5" i="7"/>
  <c r="M5" i="7"/>
  <c r="N5" i="7"/>
  <c r="O5" i="7"/>
  <c r="R5" i="7"/>
  <c r="A425" i="8"/>
  <c r="D3" i="7"/>
  <c r="F3" i="7"/>
  <c r="G3" i="7"/>
  <c r="H3" i="7"/>
  <c r="I3" i="7"/>
  <c r="L3" i="7"/>
  <c r="M3" i="7"/>
  <c r="N3" i="7"/>
  <c r="O3" i="7"/>
  <c r="R3" i="7"/>
  <c r="A424" i="8"/>
  <c r="D496" i="7"/>
  <c r="F496" i="7"/>
  <c r="G496" i="7"/>
  <c r="H496" i="7"/>
  <c r="I496" i="7"/>
  <c r="L496" i="7"/>
  <c r="M496" i="7"/>
  <c r="N496" i="7"/>
  <c r="O496" i="7"/>
  <c r="R496" i="7"/>
  <c r="A423" i="8"/>
  <c r="D286" i="7"/>
  <c r="F286" i="7"/>
  <c r="G286" i="7"/>
  <c r="H286" i="7"/>
  <c r="I286" i="7"/>
  <c r="L286" i="7"/>
  <c r="M286" i="7"/>
  <c r="N286" i="7"/>
  <c r="O286" i="7"/>
  <c r="R286" i="7"/>
  <c r="A422" i="8"/>
  <c r="D253" i="7"/>
  <c r="F253" i="7"/>
  <c r="G253" i="7"/>
  <c r="H253" i="7"/>
  <c r="I253" i="7"/>
  <c r="L253" i="7"/>
  <c r="M253" i="7"/>
  <c r="N253" i="7"/>
  <c r="O253" i="7"/>
  <c r="R253" i="7"/>
  <c r="A421" i="8"/>
  <c r="D32" i="7"/>
  <c r="F32" i="7"/>
  <c r="G32" i="7"/>
  <c r="H32" i="7"/>
  <c r="I32" i="7"/>
  <c r="L32" i="7"/>
  <c r="M32" i="7"/>
  <c r="N32" i="7"/>
  <c r="O32" i="7"/>
  <c r="R32" i="7"/>
  <c r="A420" i="8"/>
  <c r="D413" i="7"/>
  <c r="F413" i="7"/>
  <c r="G413" i="7"/>
  <c r="H413" i="7"/>
  <c r="I413" i="7"/>
  <c r="L413" i="7"/>
  <c r="M413" i="7"/>
  <c r="N413" i="7"/>
  <c r="O413" i="7"/>
  <c r="R413" i="7"/>
  <c r="A419" i="8"/>
  <c r="D63" i="7"/>
  <c r="F63" i="7"/>
  <c r="G63" i="7"/>
  <c r="H63" i="7"/>
  <c r="I63" i="7"/>
  <c r="L63" i="7"/>
  <c r="M63" i="7"/>
  <c r="N63" i="7"/>
  <c r="O63" i="7"/>
  <c r="R63" i="7"/>
  <c r="A418" i="8"/>
  <c r="D54" i="7"/>
  <c r="F54" i="7"/>
  <c r="G54" i="7"/>
  <c r="H54" i="7"/>
  <c r="I54" i="7"/>
  <c r="L54" i="7"/>
  <c r="M54" i="7"/>
  <c r="N54" i="7"/>
  <c r="O54" i="7"/>
  <c r="R54" i="7"/>
  <c r="A417" i="8"/>
  <c r="D29" i="7"/>
  <c r="F29" i="7"/>
  <c r="G29" i="7"/>
  <c r="H29" i="7"/>
  <c r="I29" i="7"/>
  <c r="L29" i="7"/>
  <c r="M29" i="7"/>
  <c r="N29" i="7"/>
  <c r="O29" i="7"/>
  <c r="R29" i="7"/>
  <c r="A416" i="8"/>
  <c r="D393" i="7"/>
  <c r="F393" i="7"/>
  <c r="G393" i="7"/>
  <c r="H393" i="7"/>
  <c r="I393" i="7"/>
  <c r="L393" i="7"/>
  <c r="M393" i="7"/>
  <c r="N393" i="7"/>
  <c r="O393" i="7"/>
  <c r="R393" i="7"/>
  <c r="A415" i="8"/>
  <c r="D259" i="7"/>
  <c r="F259" i="7"/>
  <c r="G259" i="7"/>
  <c r="H259" i="7"/>
  <c r="I259" i="7"/>
  <c r="L259" i="7"/>
  <c r="M259" i="7"/>
  <c r="N259" i="7"/>
  <c r="O259" i="7"/>
  <c r="R259" i="7"/>
  <c r="A414" i="8"/>
  <c r="D152" i="7"/>
  <c r="F152" i="7"/>
  <c r="G152" i="7"/>
  <c r="H152" i="7"/>
  <c r="I152" i="7"/>
  <c r="L152" i="7"/>
  <c r="M152" i="7"/>
  <c r="N152" i="7"/>
  <c r="O152" i="7"/>
  <c r="R152" i="7"/>
  <c r="A413" i="8"/>
  <c r="D20" i="7"/>
  <c r="F20" i="7"/>
  <c r="G20" i="7"/>
  <c r="H20" i="7"/>
  <c r="I20" i="7"/>
  <c r="L20" i="7"/>
  <c r="M20" i="7"/>
  <c r="N20" i="7"/>
  <c r="O20" i="7"/>
  <c r="R20" i="7"/>
  <c r="A412" i="8"/>
  <c r="D335" i="7"/>
  <c r="F335" i="7"/>
  <c r="G335" i="7"/>
  <c r="H335" i="7"/>
  <c r="I335" i="7"/>
  <c r="L335" i="7"/>
  <c r="M335" i="7"/>
  <c r="N335" i="7"/>
  <c r="O335" i="7"/>
  <c r="R335" i="7"/>
  <c r="A411" i="8"/>
  <c r="D135" i="7"/>
  <c r="F135" i="7"/>
  <c r="G135" i="7"/>
  <c r="H135" i="7"/>
  <c r="I135" i="7"/>
  <c r="L135" i="7"/>
  <c r="M135" i="7"/>
  <c r="N135" i="7"/>
  <c r="O135" i="7"/>
  <c r="R135" i="7"/>
  <c r="A410" i="8"/>
  <c r="D111" i="7"/>
  <c r="F111" i="7"/>
  <c r="G111" i="7"/>
  <c r="H111" i="7"/>
  <c r="I111" i="7"/>
  <c r="L111" i="7"/>
  <c r="M111" i="7"/>
  <c r="N111" i="7"/>
  <c r="O111" i="7"/>
  <c r="R111" i="7"/>
  <c r="A409" i="8"/>
  <c r="D8" i="7"/>
  <c r="F8" i="7"/>
  <c r="G8" i="7"/>
  <c r="H8" i="7"/>
  <c r="I8" i="7"/>
  <c r="L8" i="7"/>
  <c r="M8" i="7"/>
  <c r="N8" i="7"/>
  <c r="O8" i="7"/>
  <c r="R8" i="7"/>
  <c r="A408" i="8"/>
  <c r="D323" i="7"/>
  <c r="F323" i="7"/>
  <c r="G323" i="7"/>
  <c r="H323" i="7"/>
  <c r="I323" i="7"/>
  <c r="L323" i="7"/>
  <c r="M323" i="7"/>
  <c r="N323" i="7"/>
  <c r="O323" i="7"/>
  <c r="R323" i="7"/>
  <c r="A407" i="8"/>
  <c r="D307" i="7"/>
  <c r="F307" i="7"/>
  <c r="G307" i="7"/>
  <c r="H307" i="7"/>
  <c r="I307" i="7"/>
  <c r="L307" i="7"/>
  <c r="M307" i="7"/>
  <c r="N307" i="7"/>
  <c r="O307" i="7"/>
  <c r="R307" i="7"/>
  <c r="A406" i="8"/>
  <c r="D278" i="7"/>
  <c r="F278" i="7"/>
  <c r="G278" i="7"/>
  <c r="H278" i="7"/>
  <c r="I278" i="7"/>
  <c r="L278" i="7"/>
  <c r="M278" i="7"/>
  <c r="N278" i="7"/>
  <c r="O278" i="7"/>
  <c r="R278" i="7"/>
  <c r="A405" i="8"/>
  <c r="D174" i="7"/>
  <c r="F174" i="7"/>
  <c r="G174" i="7"/>
  <c r="H174" i="7"/>
  <c r="I174" i="7"/>
  <c r="L174" i="7"/>
  <c r="M174" i="7"/>
  <c r="N174" i="7"/>
  <c r="O174" i="7"/>
  <c r="R174" i="7"/>
  <c r="A404" i="8"/>
  <c r="D276" i="7"/>
  <c r="F276" i="7"/>
  <c r="G276" i="7"/>
  <c r="H276" i="7"/>
  <c r="I276" i="7"/>
  <c r="L276" i="7"/>
  <c r="M276" i="7"/>
  <c r="N276" i="7"/>
  <c r="O276" i="7"/>
  <c r="R276" i="7"/>
  <c r="A403" i="8"/>
  <c r="D213" i="7"/>
  <c r="F213" i="7"/>
  <c r="G213" i="7"/>
  <c r="H213" i="7"/>
  <c r="I213" i="7"/>
  <c r="L213" i="7"/>
  <c r="M213" i="7"/>
  <c r="N213" i="7"/>
  <c r="O213" i="7"/>
  <c r="R213" i="7"/>
  <c r="A402" i="8"/>
  <c r="D113" i="7"/>
  <c r="F113" i="7"/>
  <c r="G113" i="7"/>
  <c r="H113" i="7"/>
  <c r="I113" i="7"/>
  <c r="L113" i="7"/>
  <c r="M113" i="7"/>
  <c r="N113" i="7"/>
  <c r="O113" i="7"/>
  <c r="R113" i="7"/>
  <c r="A401" i="8"/>
  <c r="D81" i="7"/>
  <c r="F81" i="7"/>
  <c r="G81" i="7"/>
  <c r="H81" i="7"/>
  <c r="I81" i="7"/>
  <c r="L81" i="7"/>
  <c r="M81" i="7"/>
  <c r="N81" i="7"/>
  <c r="O81" i="7"/>
  <c r="R81" i="7"/>
  <c r="A400" i="8"/>
  <c r="D487" i="7"/>
  <c r="F487" i="7"/>
  <c r="G487" i="7"/>
  <c r="H487" i="7"/>
  <c r="I487" i="7"/>
  <c r="L487" i="7"/>
  <c r="M487" i="7"/>
  <c r="N487" i="7"/>
  <c r="O487" i="7"/>
  <c r="R487" i="7"/>
  <c r="A399" i="8"/>
  <c r="D478" i="7"/>
  <c r="F478" i="7"/>
  <c r="G478" i="7"/>
  <c r="H478" i="7"/>
  <c r="I478" i="7"/>
  <c r="L478" i="7"/>
  <c r="M478" i="7"/>
  <c r="N478" i="7"/>
  <c r="O478" i="7"/>
  <c r="R478" i="7"/>
  <c r="A398" i="8"/>
  <c r="D102" i="7"/>
  <c r="F102" i="7"/>
  <c r="G102" i="7"/>
  <c r="H102" i="7"/>
  <c r="I102" i="7"/>
  <c r="L102" i="7"/>
  <c r="M102" i="7"/>
  <c r="N102" i="7"/>
  <c r="O102" i="7"/>
  <c r="R102" i="7"/>
  <c r="A397" i="8"/>
  <c r="D16" i="7"/>
  <c r="F16" i="7"/>
  <c r="G16" i="7"/>
  <c r="H16" i="7"/>
  <c r="I16" i="7"/>
  <c r="L16" i="7"/>
  <c r="M16" i="7"/>
  <c r="N16" i="7"/>
  <c r="O16" i="7"/>
  <c r="R16" i="7"/>
  <c r="A396" i="8"/>
  <c r="D453" i="7"/>
  <c r="F453" i="7"/>
  <c r="G453" i="7"/>
  <c r="H453" i="7"/>
  <c r="I453" i="7"/>
  <c r="L453" i="7"/>
  <c r="M453" i="7"/>
  <c r="N453" i="7"/>
  <c r="O453" i="7"/>
  <c r="R453" i="7"/>
  <c r="A395" i="8"/>
  <c r="D238" i="7"/>
  <c r="F238" i="7"/>
  <c r="G238" i="7"/>
  <c r="H238" i="7"/>
  <c r="I238" i="7"/>
  <c r="L238" i="7"/>
  <c r="M238" i="7"/>
  <c r="N238" i="7"/>
  <c r="O238" i="7"/>
  <c r="R238" i="7"/>
  <c r="A394" i="8"/>
  <c r="D139" i="7"/>
  <c r="F139" i="7"/>
  <c r="G139" i="7"/>
  <c r="H139" i="7"/>
  <c r="I139" i="7"/>
  <c r="L139" i="7"/>
  <c r="M139" i="7"/>
  <c r="N139" i="7"/>
  <c r="O139" i="7"/>
  <c r="R139" i="7"/>
  <c r="A393" i="8"/>
  <c r="D22" i="7"/>
  <c r="F22" i="7"/>
  <c r="G22" i="7"/>
  <c r="H22" i="7"/>
  <c r="I22" i="7"/>
  <c r="L22" i="7"/>
  <c r="M22" i="7"/>
  <c r="N22" i="7"/>
  <c r="O22" i="7"/>
  <c r="R22" i="7"/>
  <c r="A392" i="8"/>
  <c r="D434" i="7"/>
  <c r="F434" i="7"/>
  <c r="G434" i="7"/>
  <c r="H434" i="7"/>
  <c r="I434" i="7"/>
  <c r="L434" i="7"/>
  <c r="M434" i="7"/>
  <c r="N434" i="7"/>
  <c r="O434" i="7"/>
  <c r="R434" i="7"/>
  <c r="A391" i="8"/>
  <c r="D412" i="7"/>
  <c r="F412" i="7"/>
  <c r="G412" i="7"/>
  <c r="H412" i="7"/>
  <c r="I412" i="7"/>
  <c r="L412" i="7"/>
  <c r="M412" i="7"/>
  <c r="N412" i="7"/>
  <c r="O412" i="7"/>
  <c r="R412" i="7"/>
  <c r="A390" i="8"/>
  <c r="D78" i="7"/>
  <c r="F78" i="7"/>
  <c r="G78" i="7"/>
  <c r="H78" i="7"/>
  <c r="I78" i="7"/>
  <c r="L78" i="7"/>
  <c r="M78" i="7"/>
  <c r="N78" i="7"/>
  <c r="O78" i="7"/>
  <c r="R78" i="7"/>
  <c r="A389" i="8"/>
  <c r="D56" i="7"/>
  <c r="F56" i="7"/>
  <c r="G56" i="7"/>
  <c r="H56" i="7"/>
  <c r="I56" i="7"/>
  <c r="L56" i="7"/>
  <c r="M56" i="7"/>
  <c r="N56" i="7"/>
  <c r="O56" i="7"/>
  <c r="R56" i="7"/>
  <c r="A388" i="8"/>
  <c r="D360" i="7"/>
  <c r="F360" i="7"/>
  <c r="G360" i="7"/>
  <c r="H360" i="7"/>
  <c r="I360" i="7"/>
  <c r="L360" i="7"/>
  <c r="M360" i="7"/>
  <c r="N360" i="7"/>
  <c r="O360" i="7"/>
  <c r="R360" i="7"/>
  <c r="A387" i="8"/>
  <c r="D116" i="7"/>
  <c r="F116" i="7"/>
  <c r="G116" i="7"/>
  <c r="H116" i="7"/>
  <c r="I116" i="7"/>
  <c r="L116" i="7"/>
  <c r="M116" i="7"/>
  <c r="N116" i="7"/>
  <c r="O116" i="7"/>
  <c r="R116" i="7"/>
  <c r="A386" i="8"/>
  <c r="D109" i="7"/>
  <c r="F109" i="7"/>
  <c r="G109" i="7"/>
  <c r="H109" i="7"/>
  <c r="I109" i="7"/>
  <c r="L109" i="7"/>
  <c r="M109" i="7"/>
  <c r="N109" i="7"/>
  <c r="O109" i="7"/>
  <c r="R109" i="7"/>
  <c r="A385" i="8"/>
  <c r="D80" i="7"/>
  <c r="F80" i="7"/>
  <c r="G80" i="7"/>
  <c r="H80" i="7"/>
  <c r="I80" i="7"/>
  <c r="L80" i="7"/>
  <c r="M80" i="7"/>
  <c r="N80" i="7"/>
  <c r="O80" i="7"/>
  <c r="R80" i="7"/>
  <c r="A384" i="8"/>
  <c r="D185" i="7"/>
  <c r="F185" i="7"/>
  <c r="G185" i="7"/>
  <c r="H185" i="7"/>
  <c r="I185" i="7"/>
  <c r="L185" i="7"/>
  <c r="M185" i="7"/>
  <c r="N185" i="7"/>
  <c r="O185" i="7"/>
  <c r="R185" i="7"/>
  <c r="A383" i="8"/>
  <c r="D168" i="7"/>
  <c r="F168" i="7"/>
  <c r="G168" i="7"/>
  <c r="H168" i="7"/>
  <c r="I168" i="7"/>
  <c r="L168" i="7"/>
  <c r="M168" i="7"/>
  <c r="N168" i="7"/>
  <c r="O168" i="7"/>
  <c r="R168" i="7"/>
  <c r="A382" i="8"/>
  <c r="D51" i="7"/>
  <c r="F51" i="7"/>
  <c r="G51" i="7"/>
  <c r="H51" i="7"/>
  <c r="I51" i="7"/>
  <c r="L51" i="7"/>
  <c r="M51" i="7"/>
  <c r="N51" i="7"/>
  <c r="O51" i="7"/>
  <c r="R51" i="7"/>
  <c r="A381" i="8"/>
  <c r="D36" i="7"/>
  <c r="F36" i="7"/>
  <c r="G36" i="7"/>
  <c r="H36" i="7"/>
  <c r="I36" i="7"/>
  <c r="L36" i="7"/>
  <c r="M36" i="7"/>
  <c r="N36" i="7"/>
  <c r="O36" i="7"/>
  <c r="R36" i="7"/>
  <c r="A380" i="8"/>
  <c r="D495" i="7"/>
  <c r="F495" i="7"/>
  <c r="G495" i="7"/>
  <c r="H495" i="7"/>
  <c r="I495" i="7"/>
  <c r="L495" i="7"/>
  <c r="M495" i="7"/>
  <c r="N495" i="7"/>
  <c r="O495" i="7"/>
  <c r="R495" i="7"/>
  <c r="A379" i="8"/>
  <c r="D339" i="7"/>
  <c r="F339" i="7"/>
  <c r="G339" i="7"/>
  <c r="H339" i="7"/>
  <c r="I339" i="7"/>
  <c r="L339" i="7"/>
  <c r="M339" i="7"/>
  <c r="N339" i="7"/>
  <c r="O339" i="7"/>
  <c r="R339" i="7"/>
  <c r="A378" i="8"/>
  <c r="D77" i="7"/>
  <c r="F77" i="7"/>
  <c r="G77" i="7"/>
  <c r="H77" i="7"/>
  <c r="I77" i="7"/>
  <c r="L77" i="7"/>
  <c r="M77" i="7"/>
  <c r="N77" i="7"/>
  <c r="O77" i="7"/>
  <c r="R77" i="7"/>
  <c r="A377" i="8"/>
  <c r="D67" i="7"/>
  <c r="F67" i="7"/>
  <c r="G67" i="7"/>
  <c r="H67" i="7"/>
  <c r="I67" i="7"/>
  <c r="L67" i="7"/>
  <c r="M67" i="7"/>
  <c r="N67" i="7"/>
  <c r="O67" i="7"/>
  <c r="R67" i="7"/>
  <c r="A376" i="8"/>
  <c r="D483" i="7"/>
  <c r="F483" i="7"/>
  <c r="G483" i="7"/>
  <c r="H483" i="7"/>
  <c r="I483" i="7"/>
  <c r="L483" i="7"/>
  <c r="M483" i="7"/>
  <c r="N483" i="7"/>
  <c r="O483" i="7"/>
  <c r="R483" i="7"/>
  <c r="A375" i="8"/>
  <c r="D317" i="7"/>
  <c r="F317" i="7"/>
  <c r="G317" i="7"/>
  <c r="H317" i="7"/>
  <c r="I317" i="7"/>
  <c r="L317" i="7"/>
  <c r="M317" i="7"/>
  <c r="N317" i="7"/>
  <c r="O317" i="7"/>
  <c r="R317" i="7"/>
  <c r="A374" i="8"/>
  <c r="D290" i="7"/>
  <c r="F290" i="7"/>
  <c r="G290" i="7"/>
  <c r="H290" i="7"/>
  <c r="I290" i="7"/>
  <c r="L290" i="7"/>
  <c r="M290" i="7"/>
  <c r="N290" i="7"/>
  <c r="O290" i="7"/>
  <c r="R290" i="7"/>
  <c r="A373" i="8"/>
  <c r="D255" i="7"/>
  <c r="F255" i="7"/>
  <c r="G255" i="7"/>
  <c r="H255" i="7"/>
  <c r="I255" i="7"/>
  <c r="L255" i="7"/>
  <c r="M255" i="7"/>
  <c r="N255" i="7"/>
  <c r="O255" i="7"/>
  <c r="R255" i="7"/>
  <c r="A372" i="8"/>
  <c r="D436" i="7"/>
  <c r="F436" i="7"/>
  <c r="G436" i="7"/>
  <c r="H436" i="7"/>
  <c r="I436" i="7"/>
  <c r="L436" i="7"/>
  <c r="M436" i="7"/>
  <c r="N436" i="7"/>
  <c r="O436" i="7"/>
  <c r="R436" i="7"/>
  <c r="A371" i="8"/>
  <c r="D411" i="7"/>
  <c r="F411" i="7"/>
  <c r="G411" i="7"/>
  <c r="H411" i="7"/>
  <c r="I411" i="7"/>
  <c r="L411" i="7"/>
  <c r="M411" i="7"/>
  <c r="N411" i="7"/>
  <c r="O411" i="7"/>
  <c r="R411" i="7"/>
  <c r="A370" i="8"/>
  <c r="D316" i="7"/>
  <c r="F316" i="7"/>
  <c r="G316" i="7"/>
  <c r="H316" i="7"/>
  <c r="I316" i="7"/>
  <c r="L316" i="7"/>
  <c r="M316" i="7"/>
  <c r="N316" i="7"/>
  <c r="O316" i="7"/>
  <c r="R316" i="7"/>
  <c r="A369" i="8"/>
  <c r="D169" i="7"/>
  <c r="F169" i="7"/>
  <c r="G169" i="7"/>
  <c r="H169" i="7"/>
  <c r="I169" i="7"/>
  <c r="L169" i="7"/>
  <c r="M169" i="7"/>
  <c r="N169" i="7"/>
  <c r="O169" i="7"/>
  <c r="R169" i="7"/>
  <c r="A368" i="8"/>
  <c r="D384" i="7"/>
  <c r="F384" i="7"/>
  <c r="G384" i="7"/>
  <c r="H384" i="7"/>
  <c r="I384" i="7"/>
  <c r="L384" i="7"/>
  <c r="M384" i="7"/>
  <c r="N384" i="7"/>
  <c r="O384" i="7"/>
  <c r="R384" i="7"/>
  <c r="A367" i="8"/>
  <c r="D322" i="7"/>
  <c r="F322" i="7"/>
  <c r="G322" i="7"/>
  <c r="H322" i="7"/>
  <c r="I322" i="7"/>
  <c r="L322" i="7"/>
  <c r="M322" i="7"/>
  <c r="N322" i="7"/>
  <c r="O322" i="7"/>
  <c r="R322" i="7"/>
  <c r="A366" i="8"/>
  <c r="D87" i="7"/>
  <c r="F87" i="7"/>
  <c r="G87" i="7"/>
  <c r="H87" i="7"/>
  <c r="I87" i="7"/>
  <c r="L87" i="7"/>
  <c r="M87" i="7"/>
  <c r="N87" i="7"/>
  <c r="O87" i="7"/>
  <c r="R87" i="7"/>
  <c r="A365" i="8"/>
  <c r="D27" i="7"/>
  <c r="F27" i="7"/>
  <c r="G27" i="7"/>
  <c r="H27" i="7"/>
  <c r="I27" i="7"/>
  <c r="L27" i="7"/>
  <c r="M27" i="7"/>
  <c r="N27" i="7"/>
  <c r="O27" i="7"/>
  <c r="R27" i="7"/>
  <c r="A364" i="8"/>
  <c r="D386" i="7"/>
  <c r="F386" i="7"/>
  <c r="G386" i="7"/>
  <c r="H386" i="7"/>
  <c r="I386" i="7"/>
  <c r="L386" i="7"/>
  <c r="M386" i="7"/>
  <c r="N386" i="7"/>
  <c r="O386" i="7"/>
  <c r="R386" i="7"/>
  <c r="A363" i="8"/>
  <c r="D302" i="7"/>
  <c r="F302" i="7"/>
  <c r="G302" i="7"/>
  <c r="H302" i="7"/>
  <c r="I302" i="7"/>
  <c r="L302" i="7"/>
  <c r="M302" i="7"/>
  <c r="N302" i="7"/>
  <c r="O302" i="7"/>
  <c r="R302" i="7"/>
  <c r="A362" i="8"/>
  <c r="D291" i="7"/>
  <c r="F291" i="7"/>
  <c r="G291" i="7"/>
  <c r="H291" i="7"/>
  <c r="I291" i="7"/>
  <c r="L291" i="7"/>
  <c r="M291" i="7"/>
  <c r="N291" i="7"/>
  <c r="O291" i="7"/>
  <c r="R291" i="7"/>
  <c r="A361" i="8"/>
  <c r="D101" i="7"/>
  <c r="F101" i="7"/>
  <c r="G101" i="7"/>
  <c r="H101" i="7"/>
  <c r="I101" i="7"/>
  <c r="L101" i="7"/>
  <c r="M101" i="7"/>
  <c r="N101" i="7"/>
  <c r="O101" i="7"/>
  <c r="R101" i="7"/>
  <c r="A360" i="8"/>
  <c r="D433" i="7"/>
  <c r="F433" i="7"/>
  <c r="G433" i="7"/>
  <c r="H433" i="7"/>
  <c r="I433" i="7"/>
  <c r="L433" i="7"/>
  <c r="M433" i="7"/>
  <c r="N433" i="7"/>
  <c r="O433" i="7"/>
  <c r="R433" i="7"/>
  <c r="A359" i="8"/>
  <c r="D337" i="7"/>
  <c r="F337" i="7"/>
  <c r="G337" i="7"/>
  <c r="H337" i="7"/>
  <c r="I337" i="7"/>
  <c r="L337" i="7"/>
  <c r="M337" i="7"/>
  <c r="N337" i="7"/>
  <c r="O337" i="7"/>
  <c r="R337" i="7"/>
  <c r="A358" i="8"/>
  <c r="D332" i="7"/>
  <c r="F332" i="7"/>
  <c r="G332" i="7"/>
  <c r="H332" i="7"/>
  <c r="I332" i="7"/>
  <c r="L332" i="7"/>
  <c r="M332" i="7"/>
  <c r="N332" i="7"/>
  <c r="O332" i="7"/>
  <c r="R332" i="7"/>
  <c r="A357" i="8"/>
  <c r="D34" i="7"/>
  <c r="F34" i="7"/>
  <c r="G34" i="7"/>
  <c r="H34" i="7"/>
  <c r="I34" i="7"/>
  <c r="L34" i="7"/>
  <c r="M34" i="7"/>
  <c r="N34" i="7"/>
  <c r="O34" i="7"/>
  <c r="R34" i="7"/>
  <c r="A356" i="8"/>
  <c r="D470" i="7"/>
  <c r="F470" i="7"/>
  <c r="G470" i="7"/>
  <c r="H470" i="7"/>
  <c r="I470" i="7"/>
  <c r="L470" i="7"/>
  <c r="M470" i="7"/>
  <c r="N470" i="7"/>
  <c r="O470" i="7"/>
  <c r="R470" i="7"/>
  <c r="A355" i="8"/>
  <c r="D371" i="7"/>
  <c r="F371" i="7"/>
  <c r="G371" i="7"/>
  <c r="H371" i="7"/>
  <c r="I371" i="7"/>
  <c r="L371" i="7"/>
  <c r="M371" i="7"/>
  <c r="N371" i="7"/>
  <c r="O371" i="7"/>
  <c r="R371" i="7"/>
  <c r="A354" i="8"/>
  <c r="D212" i="7"/>
  <c r="F212" i="7"/>
  <c r="G212" i="7"/>
  <c r="H212" i="7"/>
  <c r="I212" i="7"/>
  <c r="L212" i="7"/>
  <c r="M212" i="7"/>
  <c r="N212" i="7"/>
  <c r="O212" i="7"/>
  <c r="R212" i="7"/>
  <c r="A353" i="8"/>
  <c r="D13" i="7"/>
  <c r="F13" i="7"/>
  <c r="G13" i="7"/>
  <c r="H13" i="7"/>
  <c r="I13" i="7"/>
  <c r="L13" i="7"/>
  <c r="M13" i="7"/>
  <c r="N13" i="7"/>
  <c r="O13" i="7"/>
  <c r="R13" i="7"/>
  <c r="A352" i="8"/>
  <c r="D438" i="7"/>
  <c r="F438" i="7"/>
  <c r="G438" i="7"/>
  <c r="H438" i="7"/>
  <c r="I438" i="7"/>
  <c r="L438" i="7"/>
  <c r="M438" i="7"/>
  <c r="N438" i="7"/>
  <c r="O438" i="7"/>
  <c r="R438" i="7"/>
  <c r="A351" i="8"/>
  <c r="D208" i="7"/>
  <c r="F208" i="7"/>
  <c r="G208" i="7"/>
  <c r="H208" i="7"/>
  <c r="I208" i="7"/>
  <c r="L208" i="7"/>
  <c r="M208" i="7"/>
  <c r="N208" i="7"/>
  <c r="O208" i="7"/>
  <c r="R208" i="7"/>
  <c r="A350" i="8"/>
  <c r="D180" i="7"/>
  <c r="F180" i="7"/>
  <c r="G180" i="7"/>
  <c r="H180" i="7"/>
  <c r="I180" i="7"/>
  <c r="L180" i="7"/>
  <c r="M180" i="7"/>
  <c r="N180" i="7"/>
  <c r="O180" i="7"/>
  <c r="R180" i="7"/>
  <c r="A349" i="8"/>
  <c r="D176" i="7"/>
  <c r="F176" i="7"/>
  <c r="G176" i="7"/>
  <c r="H176" i="7"/>
  <c r="I176" i="7"/>
  <c r="L176" i="7"/>
  <c r="M176" i="7"/>
  <c r="N176" i="7"/>
  <c r="O176" i="7"/>
  <c r="R176" i="7"/>
  <c r="A348" i="8"/>
  <c r="D397" i="7"/>
  <c r="F397" i="7"/>
  <c r="G397" i="7"/>
  <c r="H397" i="7"/>
  <c r="I397" i="7"/>
  <c r="L397" i="7"/>
  <c r="M397" i="7"/>
  <c r="N397" i="7"/>
  <c r="O397" i="7"/>
  <c r="R397" i="7"/>
  <c r="A347" i="8"/>
  <c r="D340" i="7"/>
  <c r="F340" i="7"/>
  <c r="G340" i="7"/>
  <c r="H340" i="7"/>
  <c r="I340" i="7"/>
  <c r="L340" i="7"/>
  <c r="M340" i="7"/>
  <c r="N340" i="7"/>
  <c r="O340" i="7"/>
  <c r="R340" i="7"/>
  <c r="A346" i="8"/>
  <c r="D143" i="7"/>
  <c r="F143" i="7"/>
  <c r="G143" i="7"/>
  <c r="H143" i="7"/>
  <c r="I143" i="7"/>
  <c r="L143" i="7"/>
  <c r="M143" i="7"/>
  <c r="N143" i="7"/>
  <c r="O143" i="7"/>
  <c r="R143" i="7"/>
  <c r="A345" i="8"/>
  <c r="D90" i="7"/>
  <c r="F90" i="7"/>
  <c r="G90" i="7"/>
  <c r="H90" i="7"/>
  <c r="I90" i="7"/>
  <c r="L90" i="7"/>
  <c r="M90" i="7"/>
  <c r="N90" i="7"/>
  <c r="O90" i="7"/>
  <c r="R90" i="7"/>
  <c r="A344" i="8"/>
  <c r="D457" i="7"/>
  <c r="F457" i="7"/>
  <c r="G457" i="7"/>
  <c r="H457" i="7"/>
  <c r="I457" i="7"/>
  <c r="L457" i="7"/>
  <c r="M457" i="7"/>
  <c r="N457" i="7"/>
  <c r="O457" i="7"/>
  <c r="R457" i="7"/>
  <c r="A343" i="8"/>
  <c r="D387" i="7"/>
  <c r="F387" i="7"/>
  <c r="G387" i="7"/>
  <c r="H387" i="7"/>
  <c r="I387" i="7"/>
  <c r="L387" i="7"/>
  <c r="M387" i="7"/>
  <c r="N387" i="7"/>
  <c r="O387" i="7"/>
  <c r="R387" i="7"/>
  <c r="A342" i="8"/>
  <c r="D356" i="7"/>
  <c r="F356" i="7"/>
  <c r="G356" i="7"/>
  <c r="H356" i="7"/>
  <c r="I356" i="7"/>
  <c r="L356" i="7"/>
  <c r="M356" i="7"/>
  <c r="N356" i="7"/>
  <c r="O356" i="7"/>
  <c r="R356" i="7"/>
  <c r="A341" i="8"/>
  <c r="D100" i="7"/>
  <c r="F100" i="7"/>
  <c r="G100" i="7"/>
  <c r="H100" i="7"/>
  <c r="I100" i="7"/>
  <c r="L100" i="7"/>
  <c r="M100" i="7"/>
  <c r="N100" i="7"/>
  <c r="O100" i="7"/>
  <c r="R100" i="7"/>
  <c r="A340" i="8"/>
  <c r="D409" i="7"/>
  <c r="F409" i="7"/>
  <c r="G409" i="7"/>
  <c r="H409" i="7"/>
  <c r="I409" i="7"/>
  <c r="L409" i="7"/>
  <c r="M409" i="7"/>
  <c r="N409" i="7"/>
  <c r="O409" i="7"/>
  <c r="R409" i="7"/>
  <c r="A339" i="8"/>
  <c r="D367" i="7"/>
  <c r="F367" i="7"/>
  <c r="G367" i="7"/>
  <c r="H367" i="7"/>
  <c r="I367" i="7"/>
  <c r="L367" i="7"/>
  <c r="M367" i="7"/>
  <c r="N367" i="7"/>
  <c r="O367" i="7"/>
  <c r="R367" i="7"/>
  <c r="A338" i="8"/>
  <c r="D190" i="7"/>
  <c r="F190" i="7"/>
  <c r="G190" i="7"/>
  <c r="H190" i="7"/>
  <c r="I190" i="7"/>
  <c r="L190" i="7"/>
  <c r="M190" i="7"/>
  <c r="N190" i="7"/>
  <c r="O190" i="7"/>
  <c r="R190" i="7"/>
  <c r="A337" i="8"/>
  <c r="D39" i="7"/>
  <c r="F39" i="7"/>
  <c r="G39" i="7"/>
  <c r="H39" i="7"/>
  <c r="I39" i="7"/>
  <c r="L39" i="7"/>
  <c r="M39" i="7"/>
  <c r="N39" i="7"/>
  <c r="O39" i="7"/>
  <c r="R39" i="7"/>
  <c r="A336" i="8"/>
  <c r="D358" i="7"/>
  <c r="F358" i="7"/>
  <c r="G358" i="7"/>
  <c r="H358" i="7"/>
  <c r="I358" i="7"/>
  <c r="L358" i="7"/>
  <c r="M358" i="7"/>
  <c r="N358" i="7"/>
  <c r="O358" i="7"/>
  <c r="R358" i="7"/>
  <c r="A335" i="8"/>
  <c r="D183" i="7"/>
  <c r="F183" i="7"/>
  <c r="G183" i="7"/>
  <c r="H183" i="7"/>
  <c r="I183" i="7"/>
  <c r="L183" i="7"/>
  <c r="M183" i="7"/>
  <c r="N183" i="7"/>
  <c r="O183" i="7"/>
  <c r="R183" i="7"/>
  <c r="A334" i="8"/>
  <c r="D161" i="7"/>
  <c r="F161" i="7"/>
  <c r="G161" i="7"/>
  <c r="H161" i="7"/>
  <c r="I161" i="7"/>
  <c r="L161" i="7"/>
  <c r="M161" i="7"/>
  <c r="N161" i="7"/>
  <c r="O161" i="7"/>
  <c r="R161" i="7"/>
  <c r="A333" i="8"/>
  <c r="D73" i="7"/>
  <c r="F73" i="7"/>
  <c r="G73" i="7"/>
  <c r="H73" i="7"/>
  <c r="I73" i="7"/>
  <c r="L73" i="7"/>
  <c r="M73" i="7"/>
  <c r="N73" i="7"/>
  <c r="O73" i="7"/>
  <c r="R73" i="7"/>
  <c r="A332" i="8"/>
  <c r="D485" i="7"/>
  <c r="F485" i="7"/>
  <c r="G485" i="7"/>
  <c r="H485" i="7"/>
  <c r="I485" i="7"/>
  <c r="L485" i="7"/>
  <c r="M485" i="7"/>
  <c r="N485" i="7"/>
  <c r="O485" i="7"/>
  <c r="R485" i="7"/>
  <c r="A331" i="8"/>
  <c r="D476" i="7"/>
  <c r="F476" i="7"/>
  <c r="G476" i="7"/>
  <c r="H476" i="7"/>
  <c r="I476" i="7"/>
  <c r="L476" i="7"/>
  <c r="M476" i="7"/>
  <c r="N476" i="7"/>
  <c r="O476" i="7"/>
  <c r="R476" i="7"/>
  <c r="A330" i="8"/>
  <c r="D257" i="7"/>
  <c r="F257" i="7"/>
  <c r="G257" i="7"/>
  <c r="H257" i="7"/>
  <c r="I257" i="7"/>
  <c r="L257" i="7"/>
  <c r="M257" i="7"/>
  <c r="N257" i="7"/>
  <c r="O257" i="7"/>
  <c r="R257" i="7"/>
  <c r="A329" i="8"/>
  <c r="D244" i="7"/>
  <c r="F244" i="7"/>
  <c r="G244" i="7"/>
  <c r="H244" i="7"/>
  <c r="I244" i="7"/>
  <c r="L244" i="7"/>
  <c r="M244" i="7"/>
  <c r="N244" i="7"/>
  <c r="O244" i="7"/>
  <c r="R244" i="7"/>
  <c r="A328" i="8"/>
  <c r="D298" i="7"/>
  <c r="F298" i="7"/>
  <c r="G298" i="7"/>
  <c r="H298" i="7"/>
  <c r="I298" i="7"/>
  <c r="L298" i="7"/>
  <c r="M298" i="7"/>
  <c r="N298" i="7"/>
  <c r="O298" i="7"/>
  <c r="R298" i="7"/>
  <c r="A327" i="8"/>
  <c r="D233" i="7"/>
  <c r="F233" i="7"/>
  <c r="G233" i="7"/>
  <c r="H233" i="7"/>
  <c r="I233" i="7"/>
  <c r="L233" i="7"/>
  <c r="M233" i="7"/>
  <c r="N233" i="7"/>
  <c r="O233" i="7"/>
  <c r="R233" i="7"/>
  <c r="A326" i="8"/>
  <c r="D215" i="7"/>
  <c r="F215" i="7"/>
  <c r="G215" i="7"/>
  <c r="H215" i="7"/>
  <c r="I215" i="7"/>
  <c r="L215" i="7"/>
  <c r="M215" i="7"/>
  <c r="N215" i="7"/>
  <c r="O215" i="7"/>
  <c r="R215" i="7"/>
  <c r="A325" i="8"/>
  <c r="D17" i="7"/>
  <c r="F17" i="7"/>
  <c r="G17" i="7"/>
  <c r="H17" i="7"/>
  <c r="I17" i="7"/>
  <c r="L17" i="7"/>
  <c r="M17" i="7"/>
  <c r="N17" i="7"/>
  <c r="O17" i="7"/>
  <c r="R17" i="7"/>
  <c r="A324" i="8"/>
  <c r="D197" i="7"/>
  <c r="F197" i="7"/>
  <c r="G197" i="7"/>
  <c r="H197" i="7"/>
  <c r="I197" i="7"/>
  <c r="L197" i="7"/>
  <c r="M197" i="7"/>
  <c r="N197" i="7"/>
  <c r="O197" i="7"/>
  <c r="R197" i="7"/>
  <c r="A323" i="8"/>
  <c r="D137" i="7"/>
  <c r="F137" i="7"/>
  <c r="G137" i="7"/>
  <c r="H137" i="7"/>
  <c r="I137" i="7"/>
  <c r="L137" i="7"/>
  <c r="M137" i="7"/>
  <c r="N137" i="7"/>
  <c r="O137" i="7"/>
  <c r="R137" i="7"/>
  <c r="A322" i="8"/>
  <c r="D110" i="7"/>
  <c r="F110" i="7"/>
  <c r="G110" i="7"/>
  <c r="H110" i="7"/>
  <c r="I110" i="7"/>
  <c r="L110" i="7"/>
  <c r="M110" i="7"/>
  <c r="N110" i="7"/>
  <c r="O110" i="7"/>
  <c r="R110" i="7"/>
  <c r="A321" i="8"/>
  <c r="D4" i="7"/>
  <c r="F4" i="7"/>
  <c r="G4" i="7"/>
  <c r="H4" i="7"/>
  <c r="I4" i="7"/>
  <c r="L4" i="7"/>
  <c r="M4" i="7"/>
  <c r="N4" i="7"/>
  <c r="O4" i="7"/>
  <c r="R4" i="7"/>
  <c r="A320" i="8"/>
  <c r="D491" i="7"/>
  <c r="F491" i="7"/>
  <c r="G491" i="7"/>
  <c r="H491" i="7"/>
  <c r="I491" i="7"/>
  <c r="L491" i="7"/>
  <c r="M491" i="7"/>
  <c r="N491" i="7"/>
  <c r="O491" i="7"/>
  <c r="R491" i="7"/>
  <c r="A319" i="8"/>
  <c r="D351" i="7"/>
  <c r="F351" i="7"/>
  <c r="G351" i="7"/>
  <c r="H351" i="7"/>
  <c r="I351" i="7"/>
  <c r="L351" i="7"/>
  <c r="M351" i="7"/>
  <c r="N351" i="7"/>
  <c r="O351" i="7"/>
  <c r="R351" i="7"/>
  <c r="A318" i="8"/>
  <c r="D308" i="7"/>
  <c r="F308" i="7"/>
  <c r="G308" i="7"/>
  <c r="H308" i="7"/>
  <c r="I308" i="7"/>
  <c r="L308" i="7"/>
  <c r="M308" i="7"/>
  <c r="N308" i="7"/>
  <c r="O308" i="7"/>
  <c r="R308" i="7"/>
  <c r="A317" i="8"/>
  <c r="D58" i="7"/>
  <c r="F58" i="7"/>
  <c r="G58" i="7"/>
  <c r="H58" i="7"/>
  <c r="I58" i="7"/>
  <c r="L58" i="7"/>
  <c r="M58" i="7"/>
  <c r="N58" i="7"/>
  <c r="O58" i="7"/>
  <c r="R58" i="7"/>
  <c r="A316" i="8"/>
  <c r="D497" i="7"/>
  <c r="F497" i="7"/>
  <c r="G497" i="7"/>
  <c r="H497" i="7"/>
  <c r="I497" i="7"/>
  <c r="L497" i="7"/>
  <c r="M497" i="7"/>
  <c r="N497" i="7"/>
  <c r="O497" i="7"/>
  <c r="R497" i="7"/>
  <c r="A315" i="8"/>
  <c r="D486" i="7"/>
  <c r="F486" i="7"/>
  <c r="G486" i="7"/>
  <c r="H486" i="7"/>
  <c r="I486" i="7"/>
  <c r="L486" i="7"/>
  <c r="M486" i="7"/>
  <c r="N486" i="7"/>
  <c r="O486" i="7"/>
  <c r="R486" i="7"/>
  <c r="A314" i="8"/>
  <c r="D72" i="7"/>
  <c r="F72" i="7"/>
  <c r="G72" i="7"/>
  <c r="H72" i="7"/>
  <c r="I72" i="7"/>
  <c r="L72" i="7"/>
  <c r="M72" i="7"/>
  <c r="N72" i="7"/>
  <c r="O72" i="7"/>
  <c r="R72" i="7"/>
  <c r="A313" i="8"/>
  <c r="D66" i="7"/>
  <c r="F66" i="7"/>
  <c r="G66" i="7"/>
  <c r="H66" i="7"/>
  <c r="I66" i="7"/>
  <c r="L66" i="7"/>
  <c r="M66" i="7"/>
  <c r="N66" i="7"/>
  <c r="O66" i="7"/>
  <c r="R66" i="7"/>
  <c r="A312" i="8"/>
  <c r="D444" i="7"/>
  <c r="F444" i="7"/>
  <c r="G444" i="7"/>
  <c r="H444" i="7"/>
  <c r="I444" i="7"/>
  <c r="L444" i="7"/>
  <c r="M444" i="7"/>
  <c r="N444" i="7"/>
  <c r="O444" i="7"/>
  <c r="R444" i="7"/>
  <c r="A311" i="8"/>
  <c r="D311" i="7"/>
  <c r="F311" i="7"/>
  <c r="G311" i="7"/>
  <c r="H311" i="7"/>
  <c r="I311" i="7"/>
  <c r="L311" i="7"/>
  <c r="M311" i="7"/>
  <c r="N311" i="7"/>
  <c r="O311" i="7"/>
  <c r="R311" i="7"/>
  <c r="A310" i="8"/>
  <c r="D289" i="7"/>
  <c r="F289" i="7"/>
  <c r="G289" i="7"/>
  <c r="H289" i="7"/>
  <c r="I289" i="7"/>
  <c r="L289" i="7"/>
  <c r="M289" i="7"/>
  <c r="N289" i="7"/>
  <c r="O289" i="7"/>
  <c r="R289" i="7"/>
  <c r="A309" i="8"/>
  <c r="D38" i="7"/>
  <c r="F38" i="7"/>
  <c r="G38" i="7"/>
  <c r="H38" i="7"/>
  <c r="I38" i="7"/>
  <c r="L38" i="7"/>
  <c r="M38" i="7"/>
  <c r="N38" i="7"/>
  <c r="O38" i="7"/>
  <c r="R38" i="7"/>
  <c r="A308" i="8"/>
  <c r="D477" i="7"/>
  <c r="F477" i="7"/>
  <c r="G477" i="7"/>
  <c r="H477" i="7"/>
  <c r="I477" i="7"/>
  <c r="L477" i="7"/>
  <c r="M477" i="7"/>
  <c r="N477" i="7"/>
  <c r="O477" i="7"/>
  <c r="R477" i="7"/>
  <c r="A307" i="8"/>
  <c r="D402" i="7"/>
  <c r="F402" i="7"/>
  <c r="G402" i="7"/>
  <c r="H402" i="7"/>
  <c r="I402" i="7"/>
  <c r="L402" i="7"/>
  <c r="M402" i="7"/>
  <c r="N402" i="7"/>
  <c r="O402" i="7"/>
  <c r="R402" i="7"/>
  <c r="A306" i="8"/>
  <c r="D193" i="7"/>
  <c r="F193" i="7"/>
  <c r="G193" i="7"/>
  <c r="H193" i="7"/>
  <c r="I193" i="7"/>
  <c r="L193" i="7"/>
  <c r="M193" i="7"/>
  <c r="N193" i="7"/>
  <c r="O193" i="7"/>
  <c r="R193" i="7"/>
  <c r="A305" i="8"/>
  <c r="D65" i="7"/>
  <c r="F65" i="7"/>
  <c r="G65" i="7"/>
  <c r="H65" i="7"/>
  <c r="I65" i="7"/>
  <c r="L65" i="7"/>
  <c r="M65" i="7"/>
  <c r="N65" i="7"/>
  <c r="O65" i="7"/>
  <c r="R65" i="7"/>
  <c r="A304" i="8"/>
  <c r="D325" i="7"/>
  <c r="F325" i="7"/>
  <c r="G325" i="7"/>
  <c r="H325" i="7"/>
  <c r="I325" i="7"/>
  <c r="L325" i="7"/>
  <c r="M325" i="7"/>
  <c r="N325" i="7"/>
  <c r="O325" i="7"/>
  <c r="R325" i="7"/>
  <c r="A303" i="8"/>
  <c r="D219" i="7"/>
  <c r="F219" i="7"/>
  <c r="G219" i="7"/>
  <c r="H219" i="7"/>
  <c r="I219" i="7"/>
  <c r="L219" i="7"/>
  <c r="M219" i="7"/>
  <c r="N219" i="7"/>
  <c r="O219" i="7"/>
  <c r="R219" i="7"/>
  <c r="A302" i="8"/>
  <c r="D163" i="7"/>
  <c r="F163" i="7"/>
  <c r="G163" i="7"/>
  <c r="H163" i="7"/>
  <c r="I163" i="7"/>
  <c r="L163" i="7"/>
  <c r="M163" i="7"/>
  <c r="N163" i="7"/>
  <c r="O163" i="7"/>
  <c r="R163" i="7"/>
  <c r="A301" i="8"/>
  <c r="D70" i="7"/>
  <c r="F70" i="7"/>
  <c r="G70" i="7"/>
  <c r="H70" i="7"/>
  <c r="I70" i="7"/>
  <c r="L70" i="7"/>
  <c r="M70" i="7"/>
  <c r="N70" i="7"/>
  <c r="O70" i="7"/>
  <c r="R70" i="7"/>
  <c r="A300" i="8"/>
  <c r="D361" i="7"/>
  <c r="F361" i="7"/>
  <c r="G361" i="7"/>
  <c r="H361" i="7"/>
  <c r="I361" i="7"/>
  <c r="L361" i="7"/>
  <c r="M361" i="7"/>
  <c r="N361" i="7"/>
  <c r="O361" i="7"/>
  <c r="R361" i="7"/>
  <c r="A299" i="8"/>
  <c r="D318" i="7"/>
  <c r="F318" i="7"/>
  <c r="G318" i="7"/>
  <c r="H318" i="7"/>
  <c r="I318" i="7"/>
  <c r="L318" i="7"/>
  <c r="M318" i="7"/>
  <c r="N318" i="7"/>
  <c r="O318" i="7"/>
  <c r="R318" i="7"/>
  <c r="A298" i="8"/>
  <c r="D303" i="7"/>
  <c r="F303" i="7"/>
  <c r="G303" i="7"/>
  <c r="H303" i="7"/>
  <c r="I303" i="7"/>
  <c r="L303" i="7"/>
  <c r="M303" i="7"/>
  <c r="N303" i="7"/>
  <c r="O303" i="7"/>
  <c r="R303" i="7"/>
  <c r="A297" i="8"/>
  <c r="D301" i="7"/>
  <c r="F301" i="7"/>
  <c r="G301" i="7"/>
  <c r="H301" i="7"/>
  <c r="I301" i="7"/>
  <c r="L301" i="7"/>
  <c r="M301" i="7"/>
  <c r="N301" i="7"/>
  <c r="O301" i="7"/>
  <c r="R301" i="7"/>
  <c r="A296" i="8"/>
  <c r="D405" i="7"/>
  <c r="F405" i="7"/>
  <c r="G405" i="7"/>
  <c r="H405" i="7"/>
  <c r="I405" i="7"/>
  <c r="L405" i="7"/>
  <c r="M405" i="7"/>
  <c r="N405" i="7"/>
  <c r="O405" i="7"/>
  <c r="R405" i="7"/>
  <c r="A295" i="8"/>
  <c r="D353" i="7"/>
  <c r="F353" i="7"/>
  <c r="G353" i="7"/>
  <c r="H353" i="7"/>
  <c r="I353" i="7"/>
  <c r="L353" i="7"/>
  <c r="M353" i="7"/>
  <c r="N353" i="7"/>
  <c r="O353" i="7"/>
  <c r="R353" i="7"/>
  <c r="A294" i="8"/>
  <c r="D285" i="7"/>
  <c r="F285" i="7"/>
  <c r="G285" i="7"/>
  <c r="H285" i="7"/>
  <c r="I285" i="7"/>
  <c r="L285" i="7"/>
  <c r="M285" i="7"/>
  <c r="N285" i="7"/>
  <c r="O285" i="7"/>
  <c r="R285" i="7"/>
  <c r="A293" i="8"/>
  <c r="D269" i="7"/>
  <c r="F269" i="7"/>
  <c r="G269" i="7"/>
  <c r="H269" i="7"/>
  <c r="I269" i="7"/>
  <c r="L269" i="7"/>
  <c r="M269" i="7"/>
  <c r="N269" i="7"/>
  <c r="O269" i="7"/>
  <c r="R269" i="7"/>
  <c r="A292" i="8"/>
  <c r="D454" i="7"/>
  <c r="F454" i="7"/>
  <c r="G454" i="7"/>
  <c r="H454" i="7"/>
  <c r="I454" i="7"/>
  <c r="L454" i="7"/>
  <c r="M454" i="7"/>
  <c r="N454" i="7"/>
  <c r="O454" i="7"/>
  <c r="R454" i="7"/>
  <c r="A291" i="8"/>
  <c r="D406" i="7"/>
  <c r="F406" i="7"/>
  <c r="G406" i="7"/>
  <c r="H406" i="7"/>
  <c r="I406" i="7"/>
  <c r="L406" i="7"/>
  <c r="M406" i="7"/>
  <c r="N406" i="7"/>
  <c r="O406" i="7"/>
  <c r="R406" i="7"/>
  <c r="A290" i="8"/>
  <c r="D396" i="7"/>
  <c r="F396" i="7"/>
  <c r="G396" i="7"/>
  <c r="H396" i="7"/>
  <c r="I396" i="7"/>
  <c r="L396" i="7"/>
  <c r="M396" i="7"/>
  <c r="N396" i="7"/>
  <c r="O396" i="7"/>
  <c r="R396" i="7"/>
  <c r="A289" i="8"/>
  <c r="D254" i="7"/>
  <c r="F254" i="7"/>
  <c r="G254" i="7"/>
  <c r="H254" i="7"/>
  <c r="I254" i="7"/>
  <c r="L254" i="7"/>
  <c r="M254" i="7"/>
  <c r="N254" i="7"/>
  <c r="O254" i="7"/>
  <c r="R254" i="7"/>
  <c r="A288" i="8"/>
  <c r="D443" i="7"/>
  <c r="F443" i="7"/>
  <c r="G443" i="7"/>
  <c r="H443" i="7"/>
  <c r="I443" i="7"/>
  <c r="L443" i="7"/>
  <c r="M443" i="7"/>
  <c r="N443" i="7"/>
  <c r="O443" i="7"/>
  <c r="R443" i="7"/>
  <c r="A287" i="8"/>
  <c r="D297" i="7"/>
  <c r="F297" i="7"/>
  <c r="G297" i="7"/>
  <c r="H297" i="7"/>
  <c r="I297" i="7"/>
  <c r="L297" i="7"/>
  <c r="M297" i="7"/>
  <c r="N297" i="7"/>
  <c r="O297" i="7"/>
  <c r="R297" i="7"/>
  <c r="A286" i="8"/>
  <c r="D201" i="7"/>
  <c r="F201" i="7"/>
  <c r="G201" i="7"/>
  <c r="H201" i="7"/>
  <c r="I201" i="7"/>
  <c r="L201" i="7"/>
  <c r="M201" i="7"/>
  <c r="N201" i="7"/>
  <c r="O201" i="7"/>
  <c r="R201" i="7"/>
  <c r="A285" i="8"/>
  <c r="D85" i="7"/>
  <c r="F85" i="7"/>
  <c r="G85" i="7"/>
  <c r="H85" i="7"/>
  <c r="I85" i="7"/>
  <c r="L85" i="7"/>
  <c r="M85" i="7"/>
  <c r="N85" i="7"/>
  <c r="O85" i="7"/>
  <c r="R85" i="7"/>
  <c r="A284" i="8"/>
  <c r="D430" i="7"/>
  <c r="F430" i="7"/>
  <c r="G430" i="7"/>
  <c r="H430" i="7"/>
  <c r="I430" i="7"/>
  <c r="L430" i="7"/>
  <c r="M430" i="7"/>
  <c r="N430" i="7"/>
  <c r="O430" i="7"/>
  <c r="R430" i="7"/>
  <c r="A283" i="8"/>
  <c r="D383" i="7"/>
  <c r="F383" i="7"/>
  <c r="G383" i="7"/>
  <c r="H383" i="7"/>
  <c r="I383" i="7"/>
  <c r="L383" i="7"/>
  <c r="M383" i="7"/>
  <c r="N383" i="7"/>
  <c r="O383" i="7"/>
  <c r="R383" i="7"/>
  <c r="A282" i="8"/>
  <c r="D170" i="7"/>
  <c r="F170" i="7"/>
  <c r="G170" i="7"/>
  <c r="H170" i="7"/>
  <c r="I170" i="7"/>
  <c r="L170" i="7"/>
  <c r="M170" i="7"/>
  <c r="N170" i="7"/>
  <c r="O170" i="7"/>
  <c r="R170" i="7"/>
  <c r="A281" i="8"/>
  <c r="D48" i="7"/>
  <c r="F48" i="7"/>
  <c r="G48" i="7"/>
  <c r="H48" i="7"/>
  <c r="I48" i="7"/>
  <c r="L48" i="7"/>
  <c r="M48" i="7"/>
  <c r="N48" i="7"/>
  <c r="O48" i="7"/>
  <c r="R48" i="7"/>
  <c r="A280" i="8"/>
  <c r="D451" i="7"/>
  <c r="F451" i="7"/>
  <c r="G451" i="7"/>
  <c r="H451" i="7"/>
  <c r="I451" i="7"/>
  <c r="L451" i="7"/>
  <c r="M451" i="7"/>
  <c r="N451" i="7"/>
  <c r="O451" i="7"/>
  <c r="R451" i="7"/>
  <c r="A279" i="8"/>
  <c r="D418" i="7"/>
  <c r="F418" i="7"/>
  <c r="G418" i="7"/>
  <c r="H418" i="7"/>
  <c r="I418" i="7"/>
  <c r="L418" i="7"/>
  <c r="M418" i="7"/>
  <c r="N418" i="7"/>
  <c r="O418" i="7"/>
  <c r="R418" i="7"/>
  <c r="A278" i="8"/>
  <c r="D312" i="7"/>
  <c r="F312" i="7"/>
  <c r="G312" i="7"/>
  <c r="H312" i="7"/>
  <c r="I312" i="7"/>
  <c r="L312" i="7"/>
  <c r="M312" i="7"/>
  <c r="N312" i="7"/>
  <c r="O312" i="7"/>
  <c r="R312" i="7"/>
  <c r="A277" i="8"/>
  <c r="D55" i="7"/>
  <c r="F55" i="7"/>
  <c r="G55" i="7"/>
  <c r="H55" i="7"/>
  <c r="I55" i="7"/>
  <c r="L55" i="7"/>
  <c r="M55" i="7"/>
  <c r="N55" i="7"/>
  <c r="O55" i="7"/>
  <c r="R55" i="7"/>
  <c r="A276" i="8"/>
  <c r="D388" i="7"/>
  <c r="F388" i="7"/>
  <c r="G388" i="7"/>
  <c r="H388" i="7"/>
  <c r="I388" i="7"/>
  <c r="L388" i="7"/>
  <c r="M388" i="7"/>
  <c r="N388" i="7"/>
  <c r="O388" i="7"/>
  <c r="R388" i="7"/>
  <c r="A275" i="8"/>
  <c r="D357" i="7"/>
  <c r="F357" i="7"/>
  <c r="G357" i="7"/>
  <c r="H357" i="7"/>
  <c r="I357" i="7"/>
  <c r="L357" i="7"/>
  <c r="M357" i="7"/>
  <c r="N357" i="7"/>
  <c r="O357" i="7"/>
  <c r="R357" i="7"/>
  <c r="A274" i="8"/>
  <c r="D99" i="7"/>
  <c r="F99" i="7"/>
  <c r="G99" i="7"/>
  <c r="H99" i="7"/>
  <c r="I99" i="7"/>
  <c r="L99" i="7"/>
  <c r="M99" i="7"/>
  <c r="N99" i="7"/>
  <c r="O99" i="7"/>
  <c r="R99" i="7"/>
  <c r="A273" i="8"/>
  <c r="D24" i="7"/>
  <c r="F24" i="7"/>
  <c r="G24" i="7"/>
  <c r="H24" i="7"/>
  <c r="I24" i="7"/>
  <c r="L24" i="7"/>
  <c r="M24" i="7"/>
  <c r="N24" i="7"/>
  <c r="O24" i="7"/>
  <c r="R24" i="7"/>
  <c r="A272" i="8"/>
  <c r="D464" i="7"/>
  <c r="F464" i="7"/>
  <c r="G464" i="7"/>
  <c r="H464" i="7"/>
  <c r="I464" i="7"/>
  <c r="L464" i="7"/>
  <c r="M464" i="7"/>
  <c r="N464" i="7"/>
  <c r="O464" i="7"/>
  <c r="R464" i="7"/>
  <c r="A271" i="8"/>
  <c r="D390" i="7"/>
  <c r="F390" i="7"/>
  <c r="G390" i="7"/>
  <c r="H390" i="7"/>
  <c r="I390" i="7"/>
  <c r="L390" i="7"/>
  <c r="M390" i="7"/>
  <c r="N390" i="7"/>
  <c r="O390" i="7"/>
  <c r="R390" i="7"/>
  <c r="A270" i="8"/>
  <c r="D349" i="7"/>
  <c r="F349" i="7"/>
  <c r="G349" i="7"/>
  <c r="H349" i="7"/>
  <c r="I349" i="7"/>
  <c r="L349" i="7"/>
  <c r="M349" i="7"/>
  <c r="N349" i="7"/>
  <c r="O349" i="7"/>
  <c r="R349" i="7"/>
  <c r="A269" i="8"/>
  <c r="D33" i="7"/>
  <c r="F33" i="7"/>
  <c r="G33" i="7"/>
  <c r="H33" i="7"/>
  <c r="I33" i="7"/>
  <c r="L33" i="7"/>
  <c r="M33" i="7"/>
  <c r="N33" i="7"/>
  <c r="O33" i="7"/>
  <c r="R33" i="7"/>
  <c r="A268" i="8"/>
  <c r="D435" i="7"/>
  <c r="F435" i="7"/>
  <c r="G435" i="7"/>
  <c r="H435" i="7"/>
  <c r="I435" i="7"/>
  <c r="L435" i="7"/>
  <c r="M435" i="7"/>
  <c r="N435" i="7"/>
  <c r="O435" i="7"/>
  <c r="R435" i="7"/>
  <c r="A267" i="8"/>
  <c r="D398" i="7"/>
  <c r="F398" i="7"/>
  <c r="G398" i="7"/>
  <c r="H398" i="7"/>
  <c r="I398" i="7"/>
  <c r="L398" i="7"/>
  <c r="M398" i="7"/>
  <c r="N398" i="7"/>
  <c r="O398" i="7"/>
  <c r="R398" i="7"/>
  <c r="A266" i="8"/>
  <c r="D330" i="7"/>
  <c r="F330" i="7"/>
  <c r="G330" i="7"/>
  <c r="H330" i="7"/>
  <c r="I330" i="7"/>
  <c r="L330" i="7"/>
  <c r="M330" i="7"/>
  <c r="N330" i="7"/>
  <c r="O330" i="7"/>
  <c r="R330" i="7"/>
  <c r="A265" i="8"/>
  <c r="D299" i="7"/>
  <c r="F299" i="7"/>
  <c r="G299" i="7"/>
  <c r="H299" i="7"/>
  <c r="I299" i="7"/>
  <c r="L299" i="7"/>
  <c r="M299" i="7"/>
  <c r="N299" i="7"/>
  <c r="O299" i="7"/>
  <c r="R299" i="7"/>
  <c r="A264" i="8"/>
  <c r="D488" i="7"/>
  <c r="F488" i="7"/>
  <c r="G488" i="7"/>
  <c r="H488" i="7"/>
  <c r="I488" i="7"/>
  <c r="L488" i="7"/>
  <c r="M488" i="7"/>
  <c r="N488" i="7"/>
  <c r="O488" i="7"/>
  <c r="R488" i="7"/>
  <c r="A263" i="8"/>
  <c r="D320" i="7"/>
  <c r="F320" i="7"/>
  <c r="G320" i="7"/>
  <c r="H320" i="7"/>
  <c r="I320" i="7"/>
  <c r="L320" i="7"/>
  <c r="M320" i="7"/>
  <c r="N320" i="7"/>
  <c r="O320" i="7"/>
  <c r="R320" i="7"/>
  <c r="A262" i="8"/>
  <c r="D217" i="7"/>
  <c r="F217" i="7"/>
  <c r="G217" i="7"/>
  <c r="H217" i="7"/>
  <c r="I217" i="7"/>
  <c r="L217" i="7"/>
  <c r="M217" i="7"/>
  <c r="N217" i="7"/>
  <c r="O217" i="7"/>
  <c r="R217" i="7"/>
  <c r="A261" i="8"/>
  <c r="D130" i="7"/>
  <c r="F130" i="7"/>
  <c r="G130" i="7"/>
  <c r="H130" i="7"/>
  <c r="I130" i="7"/>
  <c r="L130" i="7"/>
  <c r="M130" i="7"/>
  <c r="N130" i="7"/>
  <c r="O130" i="7"/>
  <c r="R130" i="7"/>
  <c r="A260" i="8"/>
  <c r="D463" i="7"/>
  <c r="F463" i="7"/>
  <c r="G463" i="7"/>
  <c r="H463" i="7"/>
  <c r="I463" i="7"/>
  <c r="L463" i="7"/>
  <c r="M463" i="7"/>
  <c r="N463" i="7"/>
  <c r="O463" i="7"/>
  <c r="R463" i="7"/>
  <c r="A259" i="8"/>
  <c r="D445" i="7"/>
  <c r="F445" i="7"/>
  <c r="G445" i="7"/>
  <c r="H445" i="7"/>
  <c r="I445" i="7"/>
  <c r="L445" i="7"/>
  <c r="M445" i="7"/>
  <c r="N445" i="7"/>
  <c r="O445" i="7"/>
  <c r="R445" i="7"/>
  <c r="A258" i="8"/>
  <c r="D220" i="7"/>
  <c r="F220" i="7"/>
  <c r="G220" i="7"/>
  <c r="H220" i="7"/>
  <c r="I220" i="7"/>
  <c r="L220" i="7"/>
  <c r="M220" i="7"/>
  <c r="N220" i="7"/>
  <c r="O220" i="7"/>
  <c r="R220" i="7"/>
  <c r="A257" i="8"/>
  <c r="D125" i="7"/>
  <c r="F125" i="7"/>
  <c r="G125" i="7"/>
  <c r="H125" i="7"/>
  <c r="I125" i="7"/>
  <c r="L125" i="7"/>
  <c r="M125" i="7"/>
  <c r="N125" i="7"/>
  <c r="O125" i="7"/>
  <c r="R125" i="7"/>
  <c r="A256" i="8"/>
  <c r="D420" i="7"/>
  <c r="F420" i="7"/>
  <c r="G420" i="7"/>
  <c r="H420" i="7"/>
  <c r="I420" i="7"/>
  <c r="L420" i="7"/>
  <c r="M420" i="7"/>
  <c r="N420" i="7"/>
  <c r="O420" i="7"/>
  <c r="R420" i="7"/>
  <c r="A255" i="8"/>
  <c r="D419" i="7"/>
  <c r="F419" i="7"/>
  <c r="G419" i="7"/>
  <c r="H419" i="7"/>
  <c r="I419" i="7"/>
  <c r="L419" i="7"/>
  <c r="M419" i="7"/>
  <c r="N419" i="7"/>
  <c r="O419" i="7"/>
  <c r="R419" i="7"/>
  <c r="A254" i="8"/>
  <c r="D172" i="7"/>
  <c r="F172" i="7"/>
  <c r="G172" i="7"/>
  <c r="H172" i="7"/>
  <c r="I172" i="7"/>
  <c r="L172" i="7"/>
  <c r="M172" i="7"/>
  <c r="N172" i="7"/>
  <c r="O172" i="7"/>
  <c r="R172" i="7"/>
  <c r="A253" i="8"/>
  <c r="D145" i="7"/>
  <c r="F145" i="7"/>
  <c r="G145" i="7"/>
  <c r="H145" i="7"/>
  <c r="I145" i="7"/>
  <c r="L145" i="7"/>
  <c r="M145" i="7"/>
  <c r="N145" i="7"/>
  <c r="O145" i="7"/>
  <c r="R145" i="7"/>
  <c r="A252" i="8"/>
  <c r="D439" i="7"/>
  <c r="F439" i="7"/>
  <c r="G439" i="7"/>
  <c r="H439" i="7"/>
  <c r="I439" i="7"/>
  <c r="L439" i="7"/>
  <c r="M439" i="7"/>
  <c r="N439" i="7"/>
  <c r="O439" i="7"/>
  <c r="R439" i="7"/>
  <c r="A251" i="8"/>
  <c r="D324" i="7"/>
  <c r="F324" i="7"/>
  <c r="G324" i="7"/>
  <c r="H324" i="7"/>
  <c r="I324" i="7"/>
  <c r="L324" i="7"/>
  <c r="M324" i="7"/>
  <c r="N324" i="7"/>
  <c r="O324" i="7"/>
  <c r="R324" i="7"/>
  <c r="A250" i="8"/>
  <c r="D146" i="7"/>
  <c r="F146" i="7"/>
  <c r="G146" i="7"/>
  <c r="H146" i="7"/>
  <c r="I146" i="7"/>
  <c r="L146" i="7"/>
  <c r="M146" i="7"/>
  <c r="N146" i="7"/>
  <c r="O146" i="7"/>
  <c r="R146" i="7"/>
  <c r="A249" i="8"/>
  <c r="D21" i="7"/>
  <c r="F21" i="7"/>
  <c r="G21" i="7"/>
  <c r="H21" i="7"/>
  <c r="I21" i="7"/>
  <c r="L21" i="7"/>
  <c r="M21" i="7"/>
  <c r="N21" i="7"/>
  <c r="O21" i="7"/>
  <c r="R21" i="7"/>
  <c r="A248" i="8"/>
  <c r="D450" i="7"/>
  <c r="F450" i="7"/>
  <c r="G450" i="7"/>
  <c r="H450" i="7"/>
  <c r="I450" i="7"/>
  <c r="L450" i="7"/>
  <c r="M450" i="7"/>
  <c r="N450" i="7"/>
  <c r="O450" i="7"/>
  <c r="R450" i="7"/>
  <c r="A247" i="8"/>
  <c r="D379" i="7"/>
  <c r="F379" i="7"/>
  <c r="G379" i="7"/>
  <c r="H379" i="7"/>
  <c r="I379" i="7"/>
  <c r="L379" i="7"/>
  <c r="M379" i="7"/>
  <c r="N379" i="7"/>
  <c r="O379" i="7"/>
  <c r="R379" i="7"/>
  <c r="A246" i="8"/>
  <c r="D265" i="7"/>
  <c r="F265" i="7"/>
  <c r="G265" i="7"/>
  <c r="H265" i="7"/>
  <c r="I265" i="7"/>
  <c r="L265" i="7"/>
  <c r="M265" i="7"/>
  <c r="N265" i="7"/>
  <c r="O265" i="7"/>
  <c r="R265" i="7"/>
  <c r="A245" i="8"/>
  <c r="D126" i="7"/>
  <c r="F126" i="7"/>
  <c r="G126" i="7"/>
  <c r="H126" i="7"/>
  <c r="I126" i="7"/>
  <c r="L126" i="7"/>
  <c r="M126" i="7"/>
  <c r="N126" i="7"/>
  <c r="O126" i="7"/>
  <c r="R126" i="7"/>
  <c r="A244" i="8"/>
  <c r="D370" i="7"/>
  <c r="F370" i="7"/>
  <c r="G370" i="7"/>
  <c r="H370" i="7"/>
  <c r="I370" i="7"/>
  <c r="L370" i="7"/>
  <c r="M370" i="7"/>
  <c r="N370" i="7"/>
  <c r="O370" i="7"/>
  <c r="R370" i="7"/>
  <c r="A243" i="8"/>
  <c r="D305" i="7"/>
  <c r="F305" i="7"/>
  <c r="G305" i="7"/>
  <c r="H305" i="7"/>
  <c r="I305" i="7"/>
  <c r="L305" i="7"/>
  <c r="M305" i="7"/>
  <c r="N305" i="7"/>
  <c r="O305" i="7"/>
  <c r="R305" i="7"/>
  <c r="A242" i="8"/>
  <c r="D61" i="7"/>
  <c r="F61" i="7"/>
  <c r="G61" i="7"/>
  <c r="H61" i="7"/>
  <c r="I61" i="7"/>
  <c r="L61" i="7"/>
  <c r="M61" i="7"/>
  <c r="N61" i="7"/>
  <c r="O61" i="7"/>
  <c r="R61" i="7"/>
  <c r="A241" i="8"/>
  <c r="D12" i="7"/>
  <c r="F12" i="7"/>
  <c r="G12" i="7"/>
  <c r="H12" i="7"/>
  <c r="I12" i="7"/>
  <c r="L12" i="7"/>
  <c r="M12" i="7"/>
  <c r="N12" i="7"/>
  <c r="O12" i="7"/>
  <c r="R12" i="7"/>
  <c r="A240" i="8"/>
  <c r="D194" i="7"/>
  <c r="F194" i="7"/>
  <c r="G194" i="7"/>
  <c r="H194" i="7"/>
  <c r="I194" i="7"/>
  <c r="L194" i="7"/>
  <c r="M194" i="7"/>
  <c r="N194" i="7"/>
  <c r="O194" i="7"/>
  <c r="R194" i="7"/>
  <c r="A239" i="8"/>
  <c r="D165" i="7"/>
  <c r="F165" i="7"/>
  <c r="G165" i="7"/>
  <c r="H165" i="7"/>
  <c r="I165" i="7"/>
  <c r="L165" i="7"/>
  <c r="M165" i="7"/>
  <c r="N165" i="7"/>
  <c r="O165" i="7"/>
  <c r="R165" i="7"/>
  <c r="A238" i="8"/>
  <c r="D151" i="7"/>
  <c r="F151" i="7"/>
  <c r="G151" i="7"/>
  <c r="H151" i="7"/>
  <c r="I151" i="7"/>
  <c r="L151" i="7"/>
  <c r="M151" i="7"/>
  <c r="N151" i="7"/>
  <c r="O151" i="7"/>
  <c r="R151" i="7"/>
  <c r="A237" i="8"/>
  <c r="D43" i="7"/>
  <c r="F43" i="7"/>
  <c r="G43" i="7"/>
  <c r="H43" i="7"/>
  <c r="I43" i="7"/>
  <c r="L43" i="7"/>
  <c r="M43" i="7"/>
  <c r="N43" i="7"/>
  <c r="O43" i="7"/>
  <c r="R43" i="7"/>
  <c r="A236" i="8"/>
  <c r="D295" i="7"/>
  <c r="F295" i="7"/>
  <c r="G295" i="7"/>
  <c r="H295" i="7"/>
  <c r="I295" i="7"/>
  <c r="L295" i="7"/>
  <c r="M295" i="7"/>
  <c r="N295" i="7"/>
  <c r="O295" i="7"/>
  <c r="R295" i="7"/>
  <c r="A235" i="8"/>
  <c r="D182" i="7"/>
  <c r="F182" i="7"/>
  <c r="G182" i="7"/>
  <c r="H182" i="7"/>
  <c r="I182" i="7"/>
  <c r="L182" i="7"/>
  <c r="M182" i="7"/>
  <c r="N182" i="7"/>
  <c r="O182" i="7"/>
  <c r="R182" i="7"/>
  <c r="A234" i="8"/>
  <c r="D98" i="7"/>
  <c r="F98" i="7"/>
  <c r="G98" i="7"/>
  <c r="H98" i="7"/>
  <c r="I98" i="7"/>
  <c r="L98" i="7"/>
  <c r="M98" i="7"/>
  <c r="N98" i="7"/>
  <c r="O98" i="7"/>
  <c r="R98" i="7"/>
  <c r="A233" i="8"/>
  <c r="D94" i="7"/>
  <c r="F94" i="7"/>
  <c r="G94" i="7"/>
  <c r="H94" i="7"/>
  <c r="I94" i="7"/>
  <c r="L94" i="7"/>
  <c r="M94" i="7"/>
  <c r="N94" i="7"/>
  <c r="O94" i="7"/>
  <c r="R94" i="7"/>
  <c r="A232" i="8"/>
  <c r="D468" i="7"/>
  <c r="F468" i="7"/>
  <c r="G468" i="7"/>
  <c r="H468" i="7"/>
  <c r="I468" i="7"/>
  <c r="L468" i="7"/>
  <c r="M468" i="7"/>
  <c r="N468" i="7"/>
  <c r="O468" i="7"/>
  <c r="R468" i="7"/>
  <c r="A231" i="8"/>
  <c r="D426" i="7"/>
  <c r="F426" i="7"/>
  <c r="G426" i="7"/>
  <c r="H426" i="7"/>
  <c r="I426" i="7"/>
  <c r="L426" i="7"/>
  <c r="M426" i="7"/>
  <c r="N426" i="7"/>
  <c r="O426" i="7"/>
  <c r="R426" i="7"/>
  <c r="A230" i="8"/>
  <c r="D240" i="7"/>
  <c r="F240" i="7"/>
  <c r="G240" i="7"/>
  <c r="H240" i="7"/>
  <c r="I240" i="7"/>
  <c r="L240" i="7"/>
  <c r="M240" i="7"/>
  <c r="N240" i="7"/>
  <c r="O240" i="7"/>
  <c r="R240" i="7"/>
  <c r="A229" i="8"/>
  <c r="D59" i="7"/>
  <c r="F59" i="7"/>
  <c r="G59" i="7"/>
  <c r="H59" i="7"/>
  <c r="I59" i="7"/>
  <c r="L59" i="7"/>
  <c r="M59" i="7"/>
  <c r="N59" i="7"/>
  <c r="O59" i="7"/>
  <c r="R59" i="7"/>
  <c r="A228" i="8"/>
  <c r="D410" i="7"/>
  <c r="F410" i="7"/>
  <c r="G410" i="7"/>
  <c r="H410" i="7"/>
  <c r="I410" i="7"/>
  <c r="L410" i="7"/>
  <c r="M410" i="7"/>
  <c r="N410" i="7"/>
  <c r="O410" i="7"/>
  <c r="R410" i="7"/>
  <c r="A227" i="8"/>
  <c r="D385" i="7"/>
  <c r="F385" i="7"/>
  <c r="G385" i="7"/>
  <c r="H385" i="7"/>
  <c r="I385" i="7"/>
  <c r="L385" i="7"/>
  <c r="M385" i="7"/>
  <c r="N385" i="7"/>
  <c r="O385" i="7"/>
  <c r="R385" i="7"/>
  <c r="A226" i="8"/>
  <c r="D274" i="7"/>
  <c r="F274" i="7"/>
  <c r="G274" i="7"/>
  <c r="H274" i="7"/>
  <c r="I274" i="7"/>
  <c r="L274" i="7"/>
  <c r="M274" i="7"/>
  <c r="N274" i="7"/>
  <c r="O274" i="7"/>
  <c r="R274" i="7"/>
  <c r="A225" i="8"/>
  <c r="D272" i="7"/>
  <c r="F272" i="7"/>
  <c r="G272" i="7"/>
  <c r="H272" i="7"/>
  <c r="I272" i="7"/>
  <c r="L272" i="7"/>
  <c r="M272" i="7"/>
  <c r="N272" i="7"/>
  <c r="O272" i="7"/>
  <c r="R272" i="7"/>
  <c r="A224" i="8"/>
  <c r="D234" i="7"/>
  <c r="F234" i="7"/>
  <c r="G234" i="7"/>
  <c r="H234" i="7"/>
  <c r="I234" i="7"/>
  <c r="L234" i="7"/>
  <c r="M234" i="7"/>
  <c r="N234" i="7"/>
  <c r="O234" i="7"/>
  <c r="R234" i="7"/>
  <c r="A223" i="8"/>
  <c r="D195" i="7"/>
  <c r="F195" i="7"/>
  <c r="G195" i="7"/>
  <c r="H195" i="7"/>
  <c r="I195" i="7"/>
  <c r="L195" i="7"/>
  <c r="M195" i="7"/>
  <c r="N195" i="7"/>
  <c r="O195" i="7"/>
  <c r="R195" i="7"/>
  <c r="A222" i="8"/>
  <c r="D140" i="7"/>
  <c r="F140" i="7"/>
  <c r="G140" i="7"/>
  <c r="H140" i="7"/>
  <c r="I140" i="7"/>
  <c r="L140" i="7"/>
  <c r="M140" i="7"/>
  <c r="N140" i="7"/>
  <c r="O140" i="7"/>
  <c r="R140" i="7"/>
  <c r="A221" i="8"/>
  <c r="D46" i="7"/>
  <c r="F46" i="7"/>
  <c r="G46" i="7"/>
  <c r="H46" i="7"/>
  <c r="I46" i="7"/>
  <c r="L46" i="7"/>
  <c r="M46" i="7"/>
  <c r="N46" i="7"/>
  <c r="O46" i="7"/>
  <c r="R46" i="7"/>
  <c r="A220" i="8"/>
  <c r="D494" i="7"/>
  <c r="F494" i="7"/>
  <c r="G494" i="7"/>
  <c r="H494" i="7"/>
  <c r="I494" i="7"/>
  <c r="L494" i="7"/>
  <c r="M494" i="7"/>
  <c r="N494" i="7"/>
  <c r="O494" i="7"/>
  <c r="R494" i="7"/>
  <c r="A219" i="8"/>
  <c r="D456" i="7"/>
  <c r="F456" i="7"/>
  <c r="G456" i="7"/>
  <c r="H456" i="7"/>
  <c r="I456" i="7"/>
  <c r="L456" i="7"/>
  <c r="M456" i="7"/>
  <c r="N456" i="7"/>
  <c r="O456" i="7"/>
  <c r="R456" i="7"/>
  <c r="A218" i="8"/>
  <c r="D306" i="7"/>
  <c r="F306" i="7"/>
  <c r="G306" i="7"/>
  <c r="H306" i="7"/>
  <c r="I306" i="7"/>
  <c r="L306" i="7"/>
  <c r="M306" i="7"/>
  <c r="N306" i="7"/>
  <c r="O306" i="7"/>
  <c r="R306" i="7"/>
  <c r="A217" i="8"/>
  <c r="D91" i="7"/>
  <c r="F91" i="7"/>
  <c r="G91" i="7"/>
  <c r="H91" i="7"/>
  <c r="I91" i="7"/>
  <c r="L91" i="7"/>
  <c r="M91" i="7"/>
  <c r="N91" i="7"/>
  <c r="O91" i="7"/>
  <c r="R91" i="7"/>
  <c r="A216" i="8"/>
  <c r="D359" i="7"/>
  <c r="F359" i="7"/>
  <c r="G359" i="7"/>
  <c r="H359" i="7"/>
  <c r="I359" i="7"/>
  <c r="L359" i="7"/>
  <c r="M359" i="7"/>
  <c r="N359" i="7"/>
  <c r="O359" i="7"/>
  <c r="R359" i="7"/>
  <c r="A215" i="8"/>
  <c r="D218" i="7"/>
  <c r="F218" i="7"/>
  <c r="G218" i="7"/>
  <c r="H218" i="7"/>
  <c r="I218" i="7"/>
  <c r="L218" i="7"/>
  <c r="M218" i="7"/>
  <c r="N218" i="7"/>
  <c r="O218" i="7"/>
  <c r="R218" i="7"/>
  <c r="A214" i="8"/>
  <c r="D209" i="7"/>
  <c r="F209" i="7"/>
  <c r="G209" i="7"/>
  <c r="H209" i="7"/>
  <c r="I209" i="7"/>
  <c r="L209" i="7"/>
  <c r="M209" i="7"/>
  <c r="N209" i="7"/>
  <c r="O209" i="7"/>
  <c r="R209" i="7"/>
  <c r="A213" i="8"/>
  <c r="D178" i="7"/>
  <c r="F178" i="7"/>
  <c r="G178" i="7"/>
  <c r="H178" i="7"/>
  <c r="I178" i="7"/>
  <c r="L178" i="7"/>
  <c r="M178" i="7"/>
  <c r="N178" i="7"/>
  <c r="O178" i="7"/>
  <c r="R178" i="7"/>
  <c r="A212" i="8"/>
  <c r="D368" i="7"/>
  <c r="F368" i="7"/>
  <c r="G368" i="7"/>
  <c r="H368" i="7"/>
  <c r="I368" i="7"/>
  <c r="L368" i="7"/>
  <c r="M368" i="7"/>
  <c r="N368" i="7"/>
  <c r="O368" i="7"/>
  <c r="R368" i="7"/>
  <c r="A211" i="8"/>
  <c r="D247" i="7"/>
  <c r="F247" i="7"/>
  <c r="G247" i="7"/>
  <c r="H247" i="7"/>
  <c r="I247" i="7"/>
  <c r="L247" i="7"/>
  <c r="M247" i="7"/>
  <c r="N247" i="7"/>
  <c r="O247" i="7"/>
  <c r="R247" i="7"/>
  <c r="A210" i="8"/>
  <c r="D223" i="7"/>
  <c r="F223" i="7"/>
  <c r="G223" i="7"/>
  <c r="H223" i="7"/>
  <c r="I223" i="7"/>
  <c r="L223" i="7"/>
  <c r="M223" i="7"/>
  <c r="N223" i="7"/>
  <c r="O223" i="7"/>
  <c r="R223" i="7"/>
  <c r="A209" i="8"/>
  <c r="D18" i="7"/>
  <c r="F18" i="7"/>
  <c r="G18" i="7"/>
  <c r="H18" i="7"/>
  <c r="I18" i="7"/>
  <c r="L18" i="7"/>
  <c r="M18" i="7"/>
  <c r="N18" i="7"/>
  <c r="O18" i="7"/>
  <c r="R18" i="7"/>
  <c r="A208" i="8"/>
  <c r="D423" i="7"/>
  <c r="F423" i="7"/>
  <c r="G423" i="7"/>
  <c r="H423" i="7"/>
  <c r="I423" i="7"/>
  <c r="L423" i="7"/>
  <c r="M423" i="7"/>
  <c r="N423" i="7"/>
  <c r="O423" i="7"/>
  <c r="R423" i="7"/>
  <c r="A207" i="8"/>
  <c r="D300" i="7"/>
  <c r="F300" i="7"/>
  <c r="G300" i="7"/>
  <c r="H300" i="7"/>
  <c r="I300" i="7"/>
  <c r="L300" i="7"/>
  <c r="M300" i="7"/>
  <c r="N300" i="7"/>
  <c r="O300" i="7"/>
  <c r="R300" i="7"/>
  <c r="A206" i="8"/>
  <c r="D162" i="7"/>
  <c r="F162" i="7"/>
  <c r="G162" i="7"/>
  <c r="H162" i="7"/>
  <c r="I162" i="7"/>
  <c r="L162" i="7"/>
  <c r="M162" i="7"/>
  <c r="N162" i="7"/>
  <c r="O162" i="7"/>
  <c r="R162" i="7"/>
  <c r="A205" i="8"/>
  <c r="D74" i="7"/>
  <c r="F74" i="7"/>
  <c r="G74" i="7"/>
  <c r="H74" i="7"/>
  <c r="I74" i="7"/>
  <c r="L74" i="7"/>
  <c r="M74" i="7"/>
  <c r="N74" i="7"/>
  <c r="O74" i="7"/>
  <c r="R74" i="7"/>
  <c r="A204" i="8"/>
  <c r="D441" i="7"/>
  <c r="F441" i="7"/>
  <c r="G441" i="7"/>
  <c r="H441" i="7"/>
  <c r="I441" i="7"/>
  <c r="L441" i="7"/>
  <c r="M441" i="7"/>
  <c r="N441" i="7"/>
  <c r="O441" i="7"/>
  <c r="R441" i="7"/>
  <c r="A203" i="8"/>
  <c r="D389" i="7"/>
  <c r="F389" i="7"/>
  <c r="G389" i="7"/>
  <c r="H389" i="7"/>
  <c r="I389" i="7"/>
  <c r="L389" i="7"/>
  <c r="M389" i="7"/>
  <c r="N389" i="7"/>
  <c r="O389" i="7"/>
  <c r="R389" i="7"/>
  <c r="A202" i="8"/>
  <c r="D304" i="7"/>
  <c r="F304" i="7"/>
  <c r="G304" i="7"/>
  <c r="H304" i="7"/>
  <c r="I304" i="7"/>
  <c r="L304" i="7"/>
  <c r="M304" i="7"/>
  <c r="N304" i="7"/>
  <c r="O304" i="7"/>
  <c r="R304" i="7"/>
  <c r="A201" i="8"/>
  <c r="D260" i="7"/>
  <c r="F260" i="7"/>
  <c r="G260" i="7"/>
  <c r="H260" i="7"/>
  <c r="I260" i="7"/>
  <c r="L260" i="7"/>
  <c r="M260" i="7"/>
  <c r="N260" i="7"/>
  <c r="O260" i="7"/>
  <c r="R260" i="7"/>
  <c r="A200" i="8"/>
  <c r="D467" i="7"/>
  <c r="F467" i="7"/>
  <c r="G467" i="7"/>
  <c r="H467" i="7"/>
  <c r="I467" i="7"/>
  <c r="L467" i="7"/>
  <c r="M467" i="7"/>
  <c r="N467" i="7"/>
  <c r="O467" i="7"/>
  <c r="R467" i="7"/>
  <c r="A199" i="8"/>
  <c r="D239" i="7"/>
  <c r="F239" i="7"/>
  <c r="G239" i="7"/>
  <c r="H239" i="7"/>
  <c r="I239" i="7"/>
  <c r="L239" i="7"/>
  <c r="M239" i="7"/>
  <c r="N239" i="7"/>
  <c r="O239" i="7"/>
  <c r="R239" i="7"/>
  <c r="A198" i="8"/>
  <c r="D144" i="7"/>
  <c r="F144" i="7"/>
  <c r="G144" i="7"/>
  <c r="H144" i="7"/>
  <c r="I144" i="7"/>
  <c r="L144" i="7"/>
  <c r="M144" i="7"/>
  <c r="N144" i="7"/>
  <c r="O144" i="7"/>
  <c r="R144" i="7"/>
  <c r="A197" i="8"/>
  <c r="D11" i="7"/>
  <c r="F11" i="7"/>
  <c r="G11" i="7"/>
  <c r="H11" i="7"/>
  <c r="I11" i="7"/>
  <c r="L11" i="7"/>
  <c r="M11" i="7"/>
  <c r="N11" i="7"/>
  <c r="O11" i="7"/>
  <c r="R11" i="7"/>
  <c r="A196" i="8"/>
  <c r="D275" i="7"/>
  <c r="F275" i="7"/>
  <c r="G275" i="7"/>
  <c r="H275" i="7"/>
  <c r="I275" i="7"/>
  <c r="L275" i="7"/>
  <c r="M275" i="7"/>
  <c r="N275" i="7"/>
  <c r="O275" i="7"/>
  <c r="R275" i="7"/>
  <c r="A195" i="8"/>
  <c r="D207" i="7"/>
  <c r="F207" i="7"/>
  <c r="G207" i="7"/>
  <c r="H207" i="7"/>
  <c r="I207" i="7"/>
  <c r="L207" i="7"/>
  <c r="M207" i="7"/>
  <c r="N207" i="7"/>
  <c r="O207" i="7"/>
  <c r="R207" i="7"/>
  <c r="A194" i="8"/>
  <c r="D202" i="7"/>
  <c r="F202" i="7"/>
  <c r="G202" i="7"/>
  <c r="H202" i="7"/>
  <c r="I202" i="7"/>
  <c r="L202" i="7"/>
  <c r="M202" i="7"/>
  <c r="N202" i="7"/>
  <c r="O202" i="7"/>
  <c r="R202" i="7"/>
  <c r="A193" i="8"/>
  <c r="D132" i="7"/>
  <c r="F132" i="7"/>
  <c r="G132" i="7"/>
  <c r="H132" i="7"/>
  <c r="I132" i="7"/>
  <c r="L132" i="7"/>
  <c r="M132" i="7"/>
  <c r="N132" i="7"/>
  <c r="O132" i="7"/>
  <c r="R132" i="7"/>
  <c r="A192" i="8"/>
  <c r="D192" i="7"/>
  <c r="F192" i="7"/>
  <c r="G192" i="7"/>
  <c r="H192" i="7"/>
  <c r="I192" i="7"/>
  <c r="L192" i="7"/>
  <c r="M192" i="7"/>
  <c r="N192" i="7"/>
  <c r="O192" i="7"/>
  <c r="R192" i="7"/>
  <c r="A191" i="8"/>
  <c r="D108" i="7"/>
  <c r="F108" i="7"/>
  <c r="G108" i="7"/>
  <c r="H108" i="7"/>
  <c r="I108" i="7"/>
  <c r="L108" i="7"/>
  <c r="M108" i="7"/>
  <c r="N108" i="7"/>
  <c r="O108" i="7"/>
  <c r="R108" i="7"/>
  <c r="A190" i="8"/>
  <c r="D95" i="7"/>
  <c r="F95" i="7"/>
  <c r="G95" i="7"/>
  <c r="H95" i="7"/>
  <c r="I95" i="7"/>
  <c r="L95" i="7"/>
  <c r="M95" i="7"/>
  <c r="N95" i="7"/>
  <c r="O95" i="7"/>
  <c r="R95" i="7"/>
  <c r="A189" i="8"/>
  <c r="D44" i="7"/>
  <c r="F44" i="7"/>
  <c r="G44" i="7"/>
  <c r="H44" i="7"/>
  <c r="I44" i="7"/>
  <c r="L44" i="7"/>
  <c r="M44" i="7"/>
  <c r="N44" i="7"/>
  <c r="O44" i="7"/>
  <c r="R44" i="7"/>
  <c r="A188" i="8"/>
  <c r="D474" i="7"/>
  <c r="F474" i="7"/>
  <c r="G474" i="7"/>
  <c r="H474" i="7"/>
  <c r="I474" i="7"/>
  <c r="L474" i="7"/>
  <c r="M474" i="7"/>
  <c r="N474" i="7"/>
  <c r="O474" i="7"/>
  <c r="R474" i="7"/>
  <c r="A187" i="8"/>
  <c r="D374" i="7"/>
  <c r="F374" i="7"/>
  <c r="G374" i="7"/>
  <c r="H374" i="7"/>
  <c r="I374" i="7"/>
  <c r="L374" i="7"/>
  <c r="M374" i="7"/>
  <c r="N374" i="7"/>
  <c r="O374" i="7"/>
  <c r="R374" i="7"/>
  <c r="A186" i="8"/>
  <c r="D364" i="7"/>
  <c r="F364" i="7"/>
  <c r="G364" i="7"/>
  <c r="H364" i="7"/>
  <c r="I364" i="7"/>
  <c r="L364" i="7"/>
  <c r="M364" i="7"/>
  <c r="N364" i="7"/>
  <c r="O364" i="7"/>
  <c r="R364" i="7"/>
  <c r="A185" i="8"/>
  <c r="D187" i="7"/>
  <c r="F187" i="7"/>
  <c r="G187" i="7"/>
  <c r="H187" i="7"/>
  <c r="I187" i="7"/>
  <c r="L187" i="7"/>
  <c r="M187" i="7"/>
  <c r="N187" i="7"/>
  <c r="O187" i="7"/>
  <c r="R187" i="7"/>
  <c r="A184" i="8"/>
  <c r="D461" i="7"/>
  <c r="F461" i="7"/>
  <c r="G461" i="7"/>
  <c r="H461" i="7"/>
  <c r="I461" i="7"/>
  <c r="L461" i="7"/>
  <c r="M461" i="7"/>
  <c r="N461" i="7"/>
  <c r="O461" i="7"/>
  <c r="R461" i="7"/>
  <c r="A183" i="8"/>
  <c r="D401" i="7"/>
  <c r="F401" i="7"/>
  <c r="G401" i="7"/>
  <c r="H401" i="7"/>
  <c r="I401" i="7"/>
  <c r="L401" i="7"/>
  <c r="M401" i="7"/>
  <c r="N401" i="7"/>
  <c r="O401" i="7"/>
  <c r="R401" i="7"/>
  <c r="A182" i="8"/>
  <c r="D231" i="7"/>
  <c r="F231" i="7"/>
  <c r="G231" i="7"/>
  <c r="H231" i="7"/>
  <c r="I231" i="7"/>
  <c r="L231" i="7"/>
  <c r="M231" i="7"/>
  <c r="N231" i="7"/>
  <c r="O231" i="7"/>
  <c r="R231" i="7"/>
  <c r="A181" i="8"/>
  <c r="D76" i="7"/>
  <c r="F76" i="7"/>
  <c r="G76" i="7"/>
  <c r="H76" i="7"/>
  <c r="I76" i="7"/>
  <c r="L76" i="7"/>
  <c r="M76" i="7"/>
  <c r="N76" i="7"/>
  <c r="O76" i="7"/>
  <c r="R76" i="7"/>
  <c r="A180" i="8"/>
  <c r="D458" i="7"/>
  <c r="F458" i="7"/>
  <c r="G458" i="7"/>
  <c r="H458" i="7"/>
  <c r="I458" i="7"/>
  <c r="L458" i="7"/>
  <c r="M458" i="7"/>
  <c r="N458" i="7"/>
  <c r="O458" i="7"/>
  <c r="R458" i="7"/>
  <c r="A179" i="8"/>
  <c r="D442" i="7"/>
  <c r="F442" i="7"/>
  <c r="G442" i="7"/>
  <c r="H442" i="7"/>
  <c r="I442" i="7"/>
  <c r="L442" i="7"/>
  <c r="M442" i="7"/>
  <c r="N442" i="7"/>
  <c r="O442" i="7"/>
  <c r="R442" i="7"/>
  <c r="A178" i="8"/>
  <c r="D376" i="7"/>
  <c r="F376" i="7"/>
  <c r="G376" i="7"/>
  <c r="H376" i="7"/>
  <c r="I376" i="7"/>
  <c r="L376" i="7"/>
  <c r="M376" i="7"/>
  <c r="N376" i="7"/>
  <c r="O376" i="7"/>
  <c r="R376" i="7"/>
  <c r="A177" i="8"/>
  <c r="D9" i="7"/>
  <c r="F9" i="7"/>
  <c r="G9" i="7"/>
  <c r="H9" i="7"/>
  <c r="I9" i="7"/>
  <c r="L9" i="7"/>
  <c r="M9" i="7"/>
  <c r="N9" i="7"/>
  <c r="O9" i="7"/>
  <c r="R9" i="7"/>
  <c r="A176" i="8"/>
  <c r="D310" i="7"/>
  <c r="F310" i="7"/>
  <c r="G310" i="7"/>
  <c r="H310" i="7"/>
  <c r="I310" i="7"/>
  <c r="L310" i="7"/>
  <c r="M310" i="7"/>
  <c r="N310" i="7"/>
  <c r="O310" i="7"/>
  <c r="R310" i="7"/>
  <c r="A175" i="8"/>
  <c r="D279" i="7"/>
  <c r="F279" i="7"/>
  <c r="G279" i="7"/>
  <c r="H279" i="7"/>
  <c r="I279" i="7"/>
  <c r="L279" i="7"/>
  <c r="M279" i="7"/>
  <c r="N279" i="7"/>
  <c r="O279" i="7"/>
  <c r="R279" i="7"/>
  <c r="A174" i="8"/>
  <c r="D210" i="7"/>
  <c r="F210" i="7"/>
  <c r="G210" i="7"/>
  <c r="H210" i="7"/>
  <c r="I210" i="7"/>
  <c r="L210" i="7"/>
  <c r="M210" i="7"/>
  <c r="N210" i="7"/>
  <c r="O210" i="7"/>
  <c r="R210" i="7"/>
  <c r="A173" i="8"/>
  <c r="D166" i="7"/>
  <c r="F166" i="7"/>
  <c r="G166" i="7"/>
  <c r="H166" i="7"/>
  <c r="I166" i="7"/>
  <c r="L166" i="7"/>
  <c r="M166" i="7"/>
  <c r="N166" i="7"/>
  <c r="O166" i="7"/>
  <c r="R166" i="7"/>
  <c r="A172" i="8"/>
  <c r="D475" i="7"/>
  <c r="F475" i="7"/>
  <c r="G475" i="7"/>
  <c r="H475" i="7"/>
  <c r="I475" i="7"/>
  <c r="L475" i="7"/>
  <c r="M475" i="7"/>
  <c r="N475" i="7"/>
  <c r="O475" i="7"/>
  <c r="R475" i="7"/>
  <c r="A171" i="8"/>
  <c r="D181" i="7"/>
  <c r="F181" i="7"/>
  <c r="G181" i="7"/>
  <c r="H181" i="7"/>
  <c r="I181" i="7"/>
  <c r="L181" i="7"/>
  <c r="M181" i="7"/>
  <c r="N181" i="7"/>
  <c r="O181" i="7"/>
  <c r="R181" i="7"/>
  <c r="A170" i="8"/>
  <c r="D148" i="7"/>
  <c r="F148" i="7"/>
  <c r="G148" i="7"/>
  <c r="H148" i="7"/>
  <c r="I148" i="7"/>
  <c r="L148" i="7"/>
  <c r="M148" i="7"/>
  <c r="N148" i="7"/>
  <c r="O148" i="7"/>
  <c r="R148" i="7"/>
  <c r="A169" i="8"/>
  <c r="D142" i="7"/>
  <c r="F142" i="7"/>
  <c r="G142" i="7"/>
  <c r="H142" i="7"/>
  <c r="I142" i="7"/>
  <c r="L142" i="7"/>
  <c r="M142" i="7"/>
  <c r="N142" i="7"/>
  <c r="O142" i="7"/>
  <c r="R142" i="7"/>
  <c r="A168" i="8"/>
  <c r="D479" i="7"/>
  <c r="F479" i="7"/>
  <c r="G479" i="7"/>
  <c r="H479" i="7"/>
  <c r="I479" i="7"/>
  <c r="L479" i="7"/>
  <c r="M479" i="7"/>
  <c r="N479" i="7"/>
  <c r="O479" i="7"/>
  <c r="R479" i="7"/>
  <c r="A167" i="8"/>
  <c r="D237" i="7"/>
  <c r="F237" i="7"/>
  <c r="G237" i="7"/>
  <c r="H237" i="7"/>
  <c r="I237" i="7"/>
  <c r="L237" i="7"/>
  <c r="M237" i="7"/>
  <c r="N237" i="7"/>
  <c r="O237" i="7"/>
  <c r="R237" i="7"/>
  <c r="A166" i="8"/>
  <c r="D42" i="7"/>
  <c r="F42" i="7"/>
  <c r="G42" i="7"/>
  <c r="H42" i="7"/>
  <c r="I42" i="7"/>
  <c r="L42" i="7"/>
  <c r="M42" i="7"/>
  <c r="N42" i="7"/>
  <c r="O42" i="7"/>
  <c r="R42" i="7"/>
  <c r="A165" i="8"/>
  <c r="D28" i="7"/>
  <c r="F28" i="7"/>
  <c r="G28" i="7"/>
  <c r="H28" i="7"/>
  <c r="I28" i="7"/>
  <c r="L28" i="7"/>
  <c r="M28" i="7"/>
  <c r="N28" i="7"/>
  <c r="O28" i="7"/>
  <c r="R28" i="7"/>
  <c r="A164" i="8"/>
  <c r="D314" i="7"/>
  <c r="F314" i="7"/>
  <c r="G314" i="7"/>
  <c r="H314" i="7"/>
  <c r="I314" i="7"/>
  <c r="L314" i="7"/>
  <c r="M314" i="7"/>
  <c r="N314" i="7"/>
  <c r="O314" i="7"/>
  <c r="R314" i="7"/>
  <c r="A163" i="8"/>
  <c r="D266" i="7"/>
  <c r="F266" i="7"/>
  <c r="G266" i="7"/>
  <c r="H266" i="7"/>
  <c r="I266" i="7"/>
  <c r="L266" i="7"/>
  <c r="M266" i="7"/>
  <c r="N266" i="7"/>
  <c r="O266" i="7"/>
  <c r="R266" i="7"/>
  <c r="A162" i="8"/>
  <c r="D227" i="7"/>
  <c r="F227" i="7"/>
  <c r="G227" i="7"/>
  <c r="H227" i="7"/>
  <c r="I227" i="7"/>
  <c r="L227" i="7"/>
  <c r="M227" i="7"/>
  <c r="N227" i="7"/>
  <c r="O227" i="7"/>
  <c r="R227" i="7"/>
  <c r="A161" i="8"/>
  <c r="D60" i="7"/>
  <c r="F60" i="7"/>
  <c r="G60" i="7"/>
  <c r="H60" i="7"/>
  <c r="I60" i="7"/>
  <c r="L60" i="7"/>
  <c r="M60" i="7"/>
  <c r="N60" i="7"/>
  <c r="O60" i="7"/>
  <c r="R60" i="7"/>
  <c r="A160" i="8"/>
  <c r="D462" i="7"/>
  <c r="F462" i="7"/>
  <c r="G462" i="7"/>
  <c r="H462" i="7"/>
  <c r="I462" i="7"/>
  <c r="L462" i="7"/>
  <c r="M462" i="7"/>
  <c r="N462" i="7"/>
  <c r="O462" i="7"/>
  <c r="R462" i="7"/>
  <c r="A159" i="8"/>
  <c r="D150" i="7"/>
  <c r="F150" i="7"/>
  <c r="G150" i="7"/>
  <c r="H150" i="7"/>
  <c r="I150" i="7"/>
  <c r="L150" i="7"/>
  <c r="M150" i="7"/>
  <c r="N150" i="7"/>
  <c r="O150" i="7"/>
  <c r="R150" i="7"/>
  <c r="A158" i="8"/>
  <c r="D71" i="7"/>
  <c r="F71" i="7"/>
  <c r="G71" i="7"/>
  <c r="H71" i="7"/>
  <c r="I71" i="7"/>
  <c r="L71" i="7"/>
  <c r="M71" i="7"/>
  <c r="N71" i="7"/>
  <c r="O71" i="7"/>
  <c r="R71" i="7"/>
  <c r="A157" i="8"/>
  <c r="D47" i="7"/>
  <c r="F47" i="7"/>
  <c r="G47" i="7"/>
  <c r="H47" i="7"/>
  <c r="I47" i="7"/>
  <c r="L47" i="7"/>
  <c r="M47" i="7"/>
  <c r="N47" i="7"/>
  <c r="O47" i="7"/>
  <c r="R47" i="7"/>
  <c r="A156" i="8"/>
  <c r="D404" i="7"/>
  <c r="F404" i="7"/>
  <c r="G404" i="7"/>
  <c r="H404" i="7"/>
  <c r="I404" i="7"/>
  <c r="L404" i="7"/>
  <c r="M404" i="7"/>
  <c r="N404" i="7"/>
  <c r="O404" i="7"/>
  <c r="R404" i="7"/>
  <c r="A155" i="8"/>
  <c r="D158" i="7"/>
  <c r="F158" i="7"/>
  <c r="G158" i="7"/>
  <c r="H158" i="7"/>
  <c r="I158" i="7"/>
  <c r="L158" i="7"/>
  <c r="M158" i="7"/>
  <c r="N158" i="7"/>
  <c r="O158" i="7"/>
  <c r="R158" i="7"/>
  <c r="A154" i="8"/>
  <c r="D112" i="7"/>
  <c r="F112" i="7"/>
  <c r="G112" i="7"/>
  <c r="H112" i="7"/>
  <c r="I112" i="7"/>
  <c r="L112" i="7"/>
  <c r="M112" i="7"/>
  <c r="N112" i="7"/>
  <c r="O112" i="7"/>
  <c r="R112" i="7"/>
  <c r="A153" i="8"/>
  <c r="D104" i="7"/>
  <c r="F104" i="7"/>
  <c r="G104" i="7"/>
  <c r="H104" i="7"/>
  <c r="I104" i="7"/>
  <c r="L104" i="7"/>
  <c r="M104" i="7"/>
  <c r="N104" i="7"/>
  <c r="O104" i="7"/>
  <c r="R104" i="7"/>
  <c r="A152" i="8"/>
  <c r="D399" i="7"/>
  <c r="F399" i="7"/>
  <c r="G399" i="7"/>
  <c r="H399" i="7"/>
  <c r="I399" i="7"/>
  <c r="L399" i="7"/>
  <c r="M399" i="7"/>
  <c r="N399" i="7"/>
  <c r="O399" i="7"/>
  <c r="R399" i="7"/>
  <c r="A151" i="8"/>
  <c r="D381" i="7"/>
  <c r="F381" i="7"/>
  <c r="G381" i="7"/>
  <c r="H381" i="7"/>
  <c r="I381" i="7"/>
  <c r="L381" i="7"/>
  <c r="M381" i="7"/>
  <c r="N381" i="7"/>
  <c r="O381" i="7"/>
  <c r="R381" i="7"/>
  <c r="A150" i="8"/>
  <c r="D294" i="7"/>
  <c r="F294" i="7"/>
  <c r="G294" i="7"/>
  <c r="H294" i="7"/>
  <c r="I294" i="7"/>
  <c r="L294" i="7"/>
  <c r="M294" i="7"/>
  <c r="N294" i="7"/>
  <c r="O294" i="7"/>
  <c r="R294" i="7"/>
  <c r="A149" i="8"/>
  <c r="D115" i="7"/>
  <c r="F115" i="7"/>
  <c r="G115" i="7"/>
  <c r="H115" i="7"/>
  <c r="I115" i="7"/>
  <c r="L115" i="7"/>
  <c r="M115" i="7"/>
  <c r="N115" i="7"/>
  <c r="O115" i="7"/>
  <c r="R115" i="7"/>
  <c r="A148" i="8"/>
  <c r="D482" i="7"/>
  <c r="F482" i="7"/>
  <c r="G482" i="7"/>
  <c r="H482" i="7"/>
  <c r="I482" i="7"/>
  <c r="L482" i="7"/>
  <c r="M482" i="7"/>
  <c r="N482" i="7"/>
  <c r="O482" i="7"/>
  <c r="R482" i="7"/>
  <c r="A147" i="8"/>
  <c r="D366" i="7"/>
  <c r="F366" i="7"/>
  <c r="G366" i="7"/>
  <c r="H366" i="7"/>
  <c r="I366" i="7"/>
  <c r="L366" i="7"/>
  <c r="M366" i="7"/>
  <c r="N366" i="7"/>
  <c r="O366" i="7"/>
  <c r="R366" i="7"/>
  <c r="A146" i="8"/>
  <c r="D342" i="7"/>
  <c r="F342" i="7"/>
  <c r="G342" i="7"/>
  <c r="H342" i="7"/>
  <c r="I342" i="7"/>
  <c r="L342" i="7"/>
  <c r="M342" i="7"/>
  <c r="N342" i="7"/>
  <c r="O342" i="7"/>
  <c r="R342" i="7"/>
  <c r="A145" i="8"/>
  <c r="D23" i="7"/>
  <c r="F23" i="7"/>
  <c r="G23" i="7"/>
  <c r="H23" i="7"/>
  <c r="I23" i="7"/>
  <c r="L23" i="7"/>
  <c r="M23" i="7"/>
  <c r="N23" i="7"/>
  <c r="O23" i="7"/>
  <c r="R23" i="7"/>
  <c r="A144" i="8"/>
  <c r="D380" i="7"/>
  <c r="F380" i="7"/>
  <c r="G380" i="7"/>
  <c r="H380" i="7"/>
  <c r="I380" i="7"/>
  <c r="L380" i="7"/>
  <c r="M380" i="7"/>
  <c r="N380" i="7"/>
  <c r="O380" i="7"/>
  <c r="R380" i="7"/>
  <c r="A143" i="8"/>
  <c r="D246" i="7"/>
  <c r="F246" i="7"/>
  <c r="G246" i="7"/>
  <c r="H246" i="7"/>
  <c r="I246" i="7"/>
  <c r="L246" i="7"/>
  <c r="M246" i="7"/>
  <c r="N246" i="7"/>
  <c r="O246" i="7"/>
  <c r="R246" i="7"/>
  <c r="A142" i="8"/>
  <c r="D133" i="7"/>
  <c r="F133" i="7"/>
  <c r="G133" i="7"/>
  <c r="H133" i="7"/>
  <c r="I133" i="7"/>
  <c r="L133" i="7"/>
  <c r="M133" i="7"/>
  <c r="N133" i="7"/>
  <c r="O133" i="7"/>
  <c r="R133" i="7"/>
  <c r="A141" i="8"/>
  <c r="D75" i="7"/>
  <c r="F75" i="7"/>
  <c r="G75" i="7"/>
  <c r="H75" i="7"/>
  <c r="I75" i="7"/>
  <c r="L75" i="7"/>
  <c r="M75" i="7"/>
  <c r="N75" i="7"/>
  <c r="O75" i="7"/>
  <c r="R75" i="7"/>
  <c r="A140" i="8"/>
  <c r="D489" i="7"/>
  <c r="F489" i="7"/>
  <c r="G489" i="7"/>
  <c r="H489" i="7"/>
  <c r="I489" i="7"/>
  <c r="L489" i="7"/>
  <c r="M489" i="7"/>
  <c r="N489" i="7"/>
  <c r="O489" i="7"/>
  <c r="R489" i="7"/>
  <c r="A139" i="8"/>
  <c r="D92" i="7"/>
  <c r="F92" i="7"/>
  <c r="G92" i="7"/>
  <c r="H92" i="7"/>
  <c r="I92" i="7"/>
  <c r="L92" i="7"/>
  <c r="M92" i="7"/>
  <c r="N92" i="7"/>
  <c r="O92" i="7"/>
  <c r="R92" i="7"/>
  <c r="A138" i="8"/>
  <c r="D49" i="7"/>
  <c r="F49" i="7"/>
  <c r="G49" i="7"/>
  <c r="H49" i="7"/>
  <c r="I49" i="7"/>
  <c r="L49" i="7"/>
  <c r="M49" i="7"/>
  <c r="N49" i="7"/>
  <c r="O49" i="7"/>
  <c r="R49" i="7"/>
  <c r="A137" i="8"/>
  <c r="D45" i="7"/>
  <c r="F45" i="7"/>
  <c r="G45" i="7"/>
  <c r="H45" i="7"/>
  <c r="I45" i="7"/>
  <c r="L45" i="7"/>
  <c r="M45" i="7"/>
  <c r="N45" i="7"/>
  <c r="O45" i="7"/>
  <c r="R45" i="7"/>
  <c r="A136" i="8"/>
  <c r="D455" i="7"/>
  <c r="F455" i="7"/>
  <c r="G455" i="7"/>
  <c r="H455" i="7"/>
  <c r="I455" i="7"/>
  <c r="L455" i="7"/>
  <c r="M455" i="7"/>
  <c r="N455" i="7"/>
  <c r="O455" i="7"/>
  <c r="R455" i="7"/>
  <c r="A135" i="8"/>
  <c r="D346" i="7"/>
  <c r="F346" i="7"/>
  <c r="G346" i="7"/>
  <c r="H346" i="7"/>
  <c r="I346" i="7"/>
  <c r="L346" i="7"/>
  <c r="M346" i="7"/>
  <c r="N346" i="7"/>
  <c r="O346" i="7"/>
  <c r="R346" i="7"/>
  <c r="A134" i="8"/>
  <c r="D232" i="7"/>
  <c r="F232" i="7"/>
  <c r="G232" i="7"/>
  <c r="H232" i="7"/>
  <c r="I232" i="7"/>
  <c r="L232" i="7"/>
  <c r="M232" i="7"/>
  <c r="N232" i="7"/>
  <c r="O232" i="7"/>
  <c r="R232" i="7"/>
  <c r="A133" i="8"/>
  <c r="D179" i="7"/>
  <c r="F179" i="7"/>
  <c r="G179" i="7"/>
  <c r="H179" i="7"/>
  <c r="I179" i="7"/>
  <c r="L179" i="7"/>
  <c r="M179" i="7"/>
  <c r="N179" i="7"/>
  <c r="O179" i="7"/>
  <c r="R179" i="7"/>
  <c r="A132" i="8"/>
  <c r="D492" i="7"/>
  <c r="F492" i="7"/>
  <c r="G492" i="7"/>
  <c r="H492" i="7"/>
  <c r="I492" i="7"/>
  <c r="L492" i="7"/>
  <c r="M492" i="7"/>
  <c r="N492" i="7"/>
  <c r="O492" i="7"/>
  <c r="R492" i="7"/>
  <c r="A131" i="8"/>
  <c r="D188" i="7"/>
  <c r="F188" i="7"/>
  <c r="G188" i="7"/>
  <c r="H188" i="7"/>
  <c r="I188" i="7"/>
  <c r="L188" i="7"/>
  <c r="M188" i="7"/>
  <c r="N188" i="7"/>
  <c r="O188" i="7"/>
  <c r="R188" i="7"/>
  <c r="A130" i="8"/>
  <c r="D122" i="7"/>
  <c r="F122" i="7"/>
  <c r="G122" i="7"/>
  <c r="H122" i="7"/>
  <c r="I122" i="7"/>
  <c r="L122" i="7"/>
  <c r="M122" i="7"/>
  <c r="N122" i="7"/>
  <c r="O122" i="7"/>
  <c r="R122" i="7"/>
  <c r="A129" i="8"/>
  <c r="D62" i="7"/>
  <c r="F62" i="7"/>
  <c r="G62" i="7"/>
  <c r="H62" i="7"/>
  <c r="I62" i="7"/>
  <c r="L62" i="7"/>
  <c r="M62" i="7"/>
  <c r="N62" i="7"/>
  <c r="O62" i="7"/>
  <c r="R62" i="7"/>
  <c r="A128" i="8"/>
  <c r="D424" i="7"/>
  <c r="F424" i="7"/>
  <c r="G424" i="7"/>
  <c r="H424" i="7"/>
  <c r="I424" i="7"/>
  <c r="L424" i="7"/>
  <c r="M424" i="7"/>
  <c r="N424" i="7"/>
  <c r="O424" i="7"/>
  <c r="R424" i="7"/>
  <c r="A127" i="8"/>
  <c r="D206" i="7"/>
  <c r="F206" i="7"/>
  <c r="G206" i="7"/>
  <c r="H206" i="7"/>
  <c r="I206" i="7"/>
  <c r="L206" i="7"/>
  <c r="M206" i="7"/>
  <c r="N206" i="7"/>
  <c r="O206" i="7"/>
  <c r="R206" i="7"/>
  <c r="A126" i="8"/>
  <c r="D103" i="7"/>
  <c r="F103" i="7"/>
  <c r="G103" i="7"/>
  <c r="H103" i="7"/>
  <c r="I103" i="7"/>
  <c r="L103" i="7"/>
  <c r="M103" i="7"/>
  <c r="N103" i="7"/>
  <c r="O103" i="7"/>
  <c r="R103" i="7"/>
  <c r="A125" i="8"/>
  <c r="D64" i="7"/>
  <c r="F64" i="7"/>
  <c r="G64" i="7"/>
  <c r="H64" i="7"/>
  <c r="I64" i="7"/>
  <c r="L64" i="7"/>
  <c r="M64" i="7"/>
  <c r="N64" i="7"/>
  <c r="O64" i="7"/>
  <c r="R64" i="7"/>
  <c r="A124" i="8"/>
  <c r="D460" i="7"/>
  <c r="F460" i="7"/>
  <c r="G460" i="7"/>
  <c r="H460" i="7"/>
  <c r="I460" i="7"/>
  <c r="L460" i="7"/>
  <c r="M460" i="7"/>
  <c r="N460" i="7"/>
  <c r="O460" i="7"/>
  <c r="R460" i="7"/>
  <c r="A123" i="8"/>
  <c r="D345" i="7"/>
  <c r="F345" i="7"/>
  <c r="G345" i="7"/>
  <c r="H345" i="7"/>
  <c r="I345" i="7"/>
  <c r="L345" i="7"/>
  <c r="M345" i="7"/>
  <c r="N345" i="7"/>
  <c r="O345" i="7"/>
  <c r="R345" i="7"/>
  <c r="A122" i="8"/>
  <c r="D224" i="7"/>
  <c r="F224" i="7"/>
  <c r="G224" i="7"/>
  <c r="H224" i="7"/>
  <c r="I224" i="7"/>
  <c r="L224" i="7"/>
  <c r="M224" i="7"/>
  <c r="N224" i="7"/>
  <c r="O224" i="7"/>
  <c r="R224" i="7"/>
  <c r="A121" i="8"/>
  <c r="D26" i="7"/>
  <c r="F26" i="7"/>
  <c r="G26" i="7"/>
  <c r="H26" i="7"/>
  <c r="I26" i="7"/>
  <c r="L26" i="7"/>
  <c r="M26" i="7"/>
  <c r="N26" i="7"/>
  <c r="O26" i="7"/>
  <c r="R26" i="7"/>
  <c r="A120" i="8"/>
  <c r="D493" i="7"/>
  <c r="F493" i="7"/>
  <c r="G493" i="7"/>
  <c r="H493" i="7"/>
  <c r="I493" i="7"/>
  <c r="L493" i="7"/>
  <c r="M493" i="7"/>
  <c r="N493" i="7"/>
  <c r="O493" i="7"/>
  <c r="R493" i="7"/>
  <c r="A119" i="8"/>
  <c r="D452" i="7"/>
  <c r="F452" i="7"/>
  <c r="G452" i="7"/>
  <c r="H452" i="7"/>
  <c r="I452" i="7"/>
  <c r="L452" i="7"/>
  <c r="M452" i="7"/>
  <c r="N452" i="7"/>
  <c r="O452" i="7"/>
  <c r="R452" i="7"/>
  <c r="A118" i="8"/>
  <c r="D372" i="7"/>
  <c r="F372" i="7"/>
  <c r="G372" i="7"/>
  <c r="H372" i="7"/>
  <c r="I372" i="7"/>
  <c r="L372" i="7"/>
  <c r="M372" i="7"/>
  <c r="N372" i="7"/>
  <c r="O372" i="7"/>
  <c r="R372" i="7"/>
  <c r="A117" i="8"/>
  <c r="D147" i="7"/>
  <c r="F147" i="7"/>
  <c r="G147" i="7"/>
  <c r="H147" i="7"/>
  <c r="I147" i="7"/>
  <c r="L147" i="7"/>
  <c r="M147" i="7"/>
  <c r="N147" i="7"/>
  <c r="O147" i="7"/>
  <c r="R147" i="7"/>
  <c r="A116" i="8"/>
  <c r="D328" i="7"/>
  <c r="F328" i="7"/>
  <c r="G328" i="7"/>
  <c r="H328" i="7"/>
  <c r="I328" i="7"/>
  <c r="L328" i="7"/>
  <c r="M328" i="7"/>
  <c r="N328" i="7"/>
  <c r="O328" i="7"/>
  <c r="R328" i="7"/>
  <c r="A115" i="8"/>
  <c r="D155" i="7"/>
  <c r="F155" i="7"/>
  <c r="G155" i="7"/>
  <c r="H155" i="7"/>
  <c r="I155" i="7"/>
  <c r="L155" i="7"/>
  <c r="M155" i="7"/>
  <c r="N155" i="7"/>
  <c r="O155" i="7"/>
  <c r="R155" i="7"/>
  <c r="A114" i="8"/>
  <c r="D68" i="7"/>
  <c r="F68" i="7"/>
  <c r="G68" i="7"/>
  <c r="H68" i="7"/>
  <c r="I68" i="7"/>
  <c r="L68" i="7"/>
  <c r="M68" i="7"/>
  <c r="N68" i="7"/>
  <c r="O68" i="7"/>
  <c r="R68" i="7"/>
  <c r="A113" i="8"/>
  <c r="D35" i="7"/>
  <c r="F35" i="7"/>
  <c r="G35" i="7"/>
  <c r="H35" i="7"/>
  <c r="I35" i="7"/>
  <c r="L35" i="7"/>
  <c r="M35" i="7"/>
  <c r="N35" i="7"/>
  <c r="O35" i="7"/>
  <c r="R35" i="7"/>
  <c r="A112" i="8"/>
  <c r="D446" i="7"/>
  <c r="F446" i="7"/>
  <c r="G446" i="7"/>
  <c r="H446" i="7"/>
  <c r="I446" i="7"/>
  <c r="L446" i="7"/>
  <c r="M446" i="7"/>
  <c r="N446" i="7"/>
  <c r="O446" i="7"/>
  <c r="R446" i="7"/>
  <c r="A111" i="8"/>
  <c r="D437" i="7"/>
  <c r="F437" i="7"/>
  <c r="G437" i="7"/>
  <c r="H437" i="7"/>
  <c r="I437" i="7"/>
  <c r="L437" i="7"/>
  <c r="M437" i="7"/>
  <c r="N437" i="7"/>
  <c r="O437" i="7"/>
  <c r="R437" i="7"/>
  <c r="A110" i="8"/>
  <c r="D277" i="7"/>
  <c r="F277" i="7"/>
  <c r="G277" i="7"/>
  <c r="H277" i="7"/>
  <c r="I277" i="7"/>
  <c r="L277" i="7"/>
  <c r="M277" i="7"/>
  <c r="N277" i="7"/>
  <c r="O277" i="7"/>
  <c r="R277" i="7"/>
  <c r="A109" i="8"/>
  <c r="D69" i="7"/>
  <c r="F69" i="7"/>
  <c r="G69" i="7"/>
  <c r="H69" i="7"/>
  <c r="I69" i="7"/>
  <c r="L69" i="7"/>
  <c r="M69" i="7"/>
  <c r="N69" i="7"/>
  <c r="O69" i="7"/>
  <c r="R69" i="7"/>
  <c r="A108" i="8"/>
  <c r="D336" i="7"/>
  <c r="F336" i="7"/>
  <c r="G336" i="7"/>
  <c r="H336" i="7"/>
  <c r="I336" i="7"/>
  <c r="L336" i="7"/>
  <c r="M336" i="7"/>
  <c r="N336" i="7"/>
  <c r="O336" i="7"/>
  <c r="R336" i="7"/>
  <c r="A107" i="8"/>
  <c r="D221" i="7"/>
  <c r="F221" i="7"/>
  <c r="G221" i="7"/>
  <c r="H221" i="7"/>
  <c r="I221" i="7"/>
  <c r="L221" i="7"/>
  <c r="M221" i="7"/>
  <c r="N221" i="7"/>
  <c r="O221" i="7"/>
  <c r="R221" i="7"/>
  <c r="A106" i="8"/>
  <c r="D106" i="7"/>
  <c r="F106" i="7"/>
  <c r="G106" i="7"/>
  <c r="H106" i="7"/>
  <c r="I106" i="7"/>
  <c r="L106" i="7"/>
  <c r="M106" i="7"/>
  <c r="N106" i="7"/>
  <c r="O106" i="7"/>
  <c r="R106" i="7"/>
  <c r="A105" i="8"/>
  <c r="D89" i="7"/>
  <c r="F89" i="7"/>
  <c r="G89" i="7"/>
  <c r="H89" i="7"/>
  <c r="I89" i="7"/>
  <c r="L89" i="7"/>
  <c r="M89" i="7"/>
  <c r="N89" i="7"/>
  <c r="O89" i="7"/>
  <c r="R89" i="7"/>
  <c r="A104" i="8"/>
  <c r="D469" i="7"/>
  <c r="F469" i="7"/>
  <c r="G469" i="7"/>
  <c r="H469" i="7"/>
  <c r="I469" i="7"/>
  <c r="L469" i="7"/>
  <c r="M469" i="7"/>
  <c r="N469" i="7"/>
  <c r="O469" i="7"/>
  <c r="R469" i="7"/>
  <c r="A103" i="8"/>
  <c r="D391" i="7"/>
  <c r="F391" i="7"/>
  <c r="G391" i="7"/>
  <c r="H391" i="7"/>
  <c r="I391" i="7"/>
  <c r="L391" i="7"/>
  <c r="M391" i="7"/>
  <c r="N391" i="7"/>
  <c r="O391" i="7"/>
  <c r="R391" i="7"/>
  <c r="A102" i="8"/>
  <c r="D236" i="7"/>
  <c r="F236" i="7"/>
  <c r="G236" i="7"/>
  <c r="H236" i="7"/>
  <c r="I236" i="7"/>
  <c r="L236" i="7"/>
  <c r="M236" i="7"/>
  <c r="N236" i="7"/>
  <c r="O236" i="7"/>
  <c r="R236" i="7"/>
  <c r="A101" i="8"/>
  <c r="D199" i="7"/>
  <c r="F199" i="7"/>
  <c r="G199" i="7"/>
  <c r="H199" i="7"/>
  <c r="I199" i="7"/>
  <c r="L199" i="7"/>
  <c r="M199" i="7"/>
  <c r="N199" i="7"/>
  <c r="O199" i="7"/>
  <c r="R199" i="7"/>
  <c r="A100" i="8"/>
  <c r="D296" i="7"/>
  <c r="F296" i="7"/>
  <c r="G296" i="7"/>
  <c r="H296" i="7"/>
  <c r="I296" i="7"/>
  <c r="L296" i="7"/>
  <c r="M296" i="7"/>
  <c r="N296" i="7"/>
  <c r="O296" i="7"/>
  <c r="R296" i="7"/>
  <c r="A99" i="8"/>
  <c r="D281" i="7"/>
  <c r="F281" i="7"/>
  <c r="G281" i="7"/>
  <c r="H281" i="7"/>
  <c r="I281" i="7"/>
  <c r="L281" i="7"/>
  <c r="M281" i="7"/>
  <c r="N281" i="7"/>
  <c r="O281" i="7"/>
  <c r="R281" i="7"/>
  <c r="A98" i="8"/>
  <c r="D280" i="7"/>
  <c r="F280" i="7"/>
  <c r="G280" i="7"/>
  <c r="H280" i="7"/>
  <c r="I280" i="7"/>
  <c r="L280" i="7"/>
  <c r="M280" i="7"/>
  <c r="N280" i="7"/>
  <c r="O280" i="7"/>
  <c r="R280" i="7"/>
  <c r="A97" i="8"/>
  <c r="D228" i="7"/>
  <c r="F228" i="7"/>
  <c r="G228" i="7"/>
  <c r="H228" i="7"/>
  <c r="I228" i="7"/>
  <c r="L228" i="7"/>
  <c r="M228" i="7"/>
  <c r="N228" i="7"/>
  <c r="O228" i="7"/>
  <c r="R228" i="7"/>
  <c r="A96" i="8"/>
  <c r="D362" i="7"/>
  <c r="F362" i="7"/>
  <c r="G362" i="7"/>
  <c r="H362" i="7"/>
  <c r="I362" i="7"/>
  <c r="L362" i="7"/>
  <c r="M362" i="7"/>
  <c r="N362" i="7"/>
  <c r="O362" i="7"/>
  <c r="R362" i="7"/>
  <c r="A95" i="8"/>
  <c r="D348" i="7"/>
  <c r="F348" i="7"/>
  <c r="G348" i="7"/>
  <c r="H348" i="7"/>
  <c r="I348" i="7"/>
  <c r="L348" i="7"/>
  <c r="M348" i="7"/>
  <c r="N348" i="7"/>
  <c r="O348" i="7"/>
  <c r="R348" i="7"/>
  <c r="A94" i="8"/>
  <c r="D245" i="7"/>
  <c r="F245" i="7"/>
  <c r="G245" i="7"/>
  <c r="H245" i="7"/>
  <c r="I245" i="7"/>
  <c r="L245" i="7"/>
  <c r="M245" i="7"/>
  <c r="N245" i="7"/>
  <c r="O245" i="7"/>
  <c r="R245" i="7"/>
  <c r="A93" i="8"/>
  <c r="D242" i="7"/>
  <c r="F242" i="7"/>
  <c r="G242" i="7"/>
  <c r="H242" i="7"/>
  <c r="I242" i="7"/>
  <c r="L242" i="7"/>
  <c r="M242" i="7"/>
  <c r="N242" i="7"/>
  <c r="O242" i="7"/>
  <c r="R242" i="7"/>
  <c r="A92" i="8"/>
  <c r="D417" i="7"/>
  <c r="F417" i="7"/>
  <c r="G417" i="7"/>
  <c r="H417" i="7"/>
  <c r="I417" i="7"/>
  <c r="L417" i="7"/>
  <c r="M417" i="7"/>
  <c r="N417" i="7"/>
  <c r="O417" i="7"/>
  <c r="R417" i="7"/>
  <c r="A91" i="8"/>
  <c r="D283" i="7"/>
  <c r="F283" i="7"/>
  <c r="G283" i="7"/>
  <c r="H283" i="7"/>
  <c r="I283" i="7"/>
  <c r="L283" i="7"/>
  <c r="M283" i="7"/>
  <c r="N283" i="7"/>
  <c r="O283" i="7"/>
  <c r="R283" i="7"/>
  <c r="A90" i="8"/>
  <c r="D171" i="7"/>
  <c r="F171" i="7"/>
  <c r="G171" i="7"/>
  <c r="H171" i="7"/>
  <c r="I171" i="7"/>
  <c r="L171" i="7"/>
  <c r="M171" i="7"/>
  <c r="N171" i="7"/>
  <c r="O171" i="7"/>
  <c r="R171" i="7"/>
  <c r="A89" i="8"/>
  <c r="D114" i="7"/>
  <c r="F114" i="7"/>
  <c r="G114" i="7"/>
  <c r="H114" i="7"/>
  <c r="I114" i="7"/>
  <c r="L114" i="7"/>
  <c r="M114" i="7"/>
  <c r="N114" i="7"/>
  <c r="O114" i="7"/>
  <c r="R114" i="7"/>
  <c r="A88" i="8"/>
  <c r="D498" i="7"/>
  <c r="F498" i="7"/>
  <c r="G498" i="7"/>
  <c r="H498" i="7"/>
  <c r="I498" i="7"/>
  <c r="L498" i="7"/>
  <c r="M498" i="7"/>
  <c r="N498" i="7"/>
  <c r="O498" i="7"/>
  <c r="R498" i="7"/>
  <c r="A87" i="8"/>
  <c r="D480" i="7"/>
  <c r="F480" i="7"/>
  <c r="G480" i="7"/>
  <c r="H480" i="7"/>
  <c r="I480" i="7"/>
  <c r="L480" i="7"/>
  <c r="M480" i="7"/>
  <c r="N480" i="7"/>
  <c r="O480" i="7"/>
  <c r="R480" i="7"/>
  <c r="A86" i="8"/>
  <c r="D329" i="7"/>
  <c r="F329" i="7"/>
  <c r="G329" i="7"/>
  <c r="H329" i="7"/>
  <c r="I329" i="7"/>
  <c r="L329" i="7"/>
  <c r="M329" i="7"/>
  <c r="N329" i="7"/>
  <c r="O329" i="7"/>
  <c r="R329" i="7"/>
  <c r="A85" i="8"/>
  <c r="D191" i="7"/>
  <c r="F191" i="7"/>
  <c r="G191" i="7"/>
  <c r="H191" i="7"/>
  <c r="I191" i="7"/>
  <c r="L191" i="7"/>
  <c r="M191" i="7"/>
  <c r="N191" i="7"/>
  <c r="O191" i="7"/>
  <c r="R191" i="7"/>
  <c r="A84" i="8"/>
  <c r="D416" i="7"/>
  <c r="F416" i="7"/>
  <c r="G416" i="7"/>
  <c r="H416" i="7"/>
  <c r="I416" i="7"/>
  <c r="L416" i="7"/>
  <c r="M416" i="7"/>
  <c r="N416" i="7"/>
  <c r="O416" i="7"/>
  <c r="R416" i="7"/>
  <c r="A83" i="8"/>
  <c r="D363" i="7"/>
  <c r="F363" i="7"/>
  <c r="G363" i="7"/>
  <c r="H363" i="7"/>
  <c r="I363" i="7"/>
  <c r="L363" i="7"/>
  <c r="M363" i="7"/>
  <c r="N363" i="7"/>
  <c r="O363" i="7"/>
  <c r="R363" i="7"/>
  <c r="A82" i="8"/>
  <c r="D333" i="7"/>
  <c r="F333" i="7"/>
  <c r="G333" i="7"/>
  <c r="H333" i="7"/>
  <c r="I333" i="7"/>
  <c r="L333" i="7"/>
  <c r="M333" i="7"/>
  <c r="N333" i="7"/>
  <c r="O333" i="7"/>
  <c r="R333" i="7"/>
  <c r="A81" i="8"/>
  <c r="D177" i="7"/>
  <c r="F177" i="7"/>
  <c r="G177" i="7"/>
  <c r="H177" i="7"/>
  <c r="I177" i="7"/>
  <c r="L177" i="7"/>
  <c r="M177" i="7"/>
  <c r="N177" i="7"/>
  <c r="O177" i="7"/>
  <c r="R177" i="7"/>
  <c r="A80" i="8"/>
  <c r="D352" i="7"/>
  <c r="F352" i="7"/>
  <c r="G352" i="7"/>
  <c r="H352" i="7"/>
  <c r="I352" i="7"/>
  <c r="L352" i="7"/>
  <c r="M352" i="7"/>
  <c r="N352" i="7"/>
  <c r="O352" i="7"/>
  <c r="R352" i="7"/>
  <c r="A79" i="8"/>
  <c r="D321" i="7"/>
  <c r="F321" i="7"/>
  <c r="G321" i="7"/>
  <c r="H321" i="7"/>
  <c r="I321" i="7"/>
  <c r="L321" i="7"/>
  <c r="M321" i="7"/>
  <c r="N321" i="7"/>
  <c r="O321" i="7"/>
  <c r="R321" i="7"/>
  <c r="A78" i="8"/>
  <c r="D268" i="7"/>
  <c r="F268" i="7"/>
  <c r="G268" i="7"/>
  <c r="H268" i="7"/>
  <c r="I268" i="7"/>
  <c r="L268" i="7"/>
  <c r="M268" i="7"/>
  <c r="N268" i="7"/>
  <c r="O268" i="7"/>
  <c r="R268" i="7"/>
  <c r="A77" i="8"/>
  <c r="D204" i="7"/>
  <c r="F204" i="7"/>
  <c r="G204" i="7"/>
  <c r="H204" i="7"/>
  <c r="I204" i="7"/>
  <c r="L204" i="7"/>
  <c r="M204" i="7"/>
  <c r="N204" i="7"/>
  <c r="O204" i="7"/>
  <c r="R204" i="7"/>
  <c r="A76" i="8"/>
  <c r="D309" i="7"/>
  <c r="F309" i="7"/>
  <c r="G309" i="7"/>
  <c r="H309" i="7"/>
  <c r="I309" i="7"/>
  <c r="L309" i="7"/>
  <c r="M309" i="7"/>
  <c r="N309" i="7"/>
  <c r="O309" i="7"/>
  <c r="R309" i="7"/>
  <c r="A75" i="8"/>
  <c r="D250" i="7"/>
  <c r="F250" i="7"/>
  <c r="G250" i="7"/>
  <c r="H250" i="7"/>
  <c r="I250" i="7"/>
  <c r="L250" i="7"/>
  <c r="M250" i="7"/>
  <c r="N250" i="7"/>
  <c r="O250" i="7"/>
  <c r="R250" i="7"/>
  <c r="A74" i="8"/>
  <c r="D196" i="7"/>
  <c r="F196" i="7"/>
  <c r="G196" i="7"/>
  <c r="H196" i="7"/>
  <c r="I196" i="7"/>
  <c r="L196" i="7"/>
  <c r="M196" i="7"/>
  <c r="N196" i="7"/>
  <c r="O196" i="7"/>
  <c r="R196" i="7"/>
  <c r="A73" i="8"/>
  <c r="D107" i="7"/>
  <c r="F107" i="7"/>
  <c r="G107" i="7"/>
  <c r="H107" i="7"/>
  <c r="I107" i="7"/>
  <c r="L107" i="7"/>
  <c r="M107" i="7"/>
  <c r="N107" i="7"/>
  <c r="O107" i="7"/>
  <c r="R107" i="7"/>
  <c r="A72" i="8"/>
  <c r="D459" i="7"/>
  <c r="F459" i="7"/>
  <c r="G459" i="7"/>
  <c r="H459" i="7"/>
  <c r="I459" i="7"/>
  <c r="L459" i="7"/>
  <c r="M459" i="7"/>
  <c r="N459" i="7"/>
  <c r="O459" i="7"/>
  <c r="R459" i="7"/>
  <c r="A71" i="8"/>
  <c r="D334" i="7"/>
  <c r="F334" i="7"/>
  <c r="G334" i="7"/>
  <c r="H334" i="7"/>
  <c r="I334" i="7"/>
  <c r="L334" i="7"/>
  <c r="M334" i="7"/>
  <c r="N334" i="7"/>
  <c r="O334" i="7"/>
  <c r="R334" i="7"/>
  <c r="A70" i="8"/>
  <c r="D156" i="7"/>
  <c r="F156" i="7"/>
  <c r="G156" i="7"/>
  <c r="H156" i="7"/>
  <c r="I156" i="7"/>
  <c r="L156" i="7"/>
  <c r="M156" i="7"/>
  <c r="N156" i="7"/>
  <c r="O156" i="7"/>
  <c r="R156" i="7"/>
  <c r="A69" i="8"/>
  <c r="D53" i="7"/>
  <c r="F53" i="7"/>
  <c r="G53" i="7"/>
  <c r="H53" i="7"/>
  <c r="I53" i="7"/>
  <c r="L53" i="7"/>
  <c r="M53" i="7"/>
  <c r="N53" i="7"/>
  <c r="O53" i="7"/>
  <c r="R53" i="7"/>
  <c r="A68" i="8"/>
  <c r="D313" i="7"/>
  <c r="F313" i="7"/>
  <c r="G313" i="7"/>
  <c r="H313" i="7"/>
  <c r="I313" i="7"/>
  <c r="L313" i="7"/>
  <c r="M313" i="7"/>
  <c r="N313" i="7"/>
  <c r="O313" i="7"/>
  <c r="R313" i="7"/>
  <c r="A67" i="8"/>
  <c r="D160" i="7"/>
  <c r="F160" i="7"/>
  <c r="G160" i="7"/>
  <c r="H160" i="7"/>
  <c r="I160" i="7"/>
  <c r="L160" i="7"/>
  <c r="M160" i="7"/>
  <c r="N160" i="7"/>
  <c r="O160" i="7"/>
  <c r="R160" i="7"/>
  <c r="A66" i="8"/>
  <c r="D129" i="7"/>
  <c r="F129" i="7"/>
  <c r="G129" i="7"/>
  <c r="H129" i="7"/>
  <c r="I129" i="7"/>
  <c r="L129" i="7"/>
  <c r="M129" i="7"/>
  <c r="N129" i="7"/>
  <c r="O129" i="7"/>
  <c r="R129" i="7"/>
  <c r="A65" i="8"/>
  <c r="D25" i="7"/>
  <c r="F25" i="7"/>
  <c r="G25" i="7"/>
  <c r="H25" i="7"/>
  <c r="I25" i="7"/>
  <c r="L25" i="7"/>
  <c r="M25" i="7"/>
  <c r="N25" i="7"/>
  <c r="O25" i="7"/>
  <c r="R25" i="7"/>
  <c r="A64" i="8"/>
  <c r="D422" i="7"/>
  <c r="F422" i="7"/>
  <c r="G422" i="7"/>
  <c r="H422" i="7"/>
  <c r="I422" i="7"/>
  <c r="L422" i="7"/>
  <c r="M422" i="7"/>
  <c r="N422" i="7"/>
  <c r="O422" i="7"/>
  <c r="R422" i="7"/>
  <c r="A63" i="8"/>
  <c r="D394" i="7"/>
  <c r="F394" i="7"/>
  <c r="G394" i="7"/>
  <c r="H394" i="7"/>
  <c r="I394" i="7"/>
  <c r="L394" i="7"/>
  <c r="M394" i="7"/>
  <c r="N394" i="7"/>
  <c r="O394" i="7"/>
  <c r="R394" i="7"/>
  <c r="A62" i="8"/>
  <c r="D79" i="7"/>
  <c r="F79" i="7"/>
  <c r="G79" i="7"/>
  <c r="H79" i="7"/>
  <c r="I79" i="7"/>
  <c r="L79" i="7"/>
  <c r="M79" i="7"/>
  <c r="N79" i="7"/>
  <c r="O79" i="7"/>
  <c r="R79" i="7"/>
  <c r="A61" i="8"/>
  <c r="D31" i="7"/>
  <c r="F31" i="7"/>
  <c r="G31" i="7"/>
  <c r="H31" i="7"/>
  <c r="I31" i="7"/>
  <c r="L31" i="7"/>
  <c r="M31" i="7"/>
  <c r="N31" i="7"/>
  <c r="O31" i="7"/>
  <c r="R31" i="7"/>
  <c r="A60" i="8"/>
  <c r="D271" i="7"/>
  <c r="F271" i="7"/>
  <c r="G271" i="7"/>
  <c r="H271" i="7"/>
  <c r="I271" i="7"/>
  <c r="L271" i="7"/>
  <c r="M271" i="7"/>
  <c r="N271" i="7"/>
  <c r="O271" i="7"/>
  <c r="R271" i="7"/>
  <c r="A59" i="8"/>
  <c r="D189" i="7"/>
  <c r="F189" i="7"/>
  <c r="G189" i="7"/>
  <c r="H189" i="7"/>
  <c r="I189" i="7"/>
  <c r="L189" i="7"/>
  <c r="M189" i="7"/>
  <c r="N189" i="7"/>
  <c r="O189" i="7"/>
  <c r="R189" i="7"/>
  <c r="A58" i="8"/>
  <c r="D167" i="7"/>
  <c r="F167" i="7"/>
  <c r="G167" i="7"/>
  <c r="H167" i="7"/>
  <c r="I167" i="7"/>
  <c r="L167" i="7"/>
  <c r="M167" i="7"/>
  <c r="N167" i="7"/>
  <c r="O167" i="7"/>
  <c r="R167" i="7"/>
  <c r="A57" i="8"/>
  <c r="D128" i="7"/>
  <c r="F128" i="7"/>
  <c r="G128" i="7"/>
  <c r="H128" i="7"/>
  <c r="I128" i="7"/>
  <c r="L128" i="7"/>
  <c r="M128" i="7"/>
  <c r="N128" i="7"/>
  <c r="O128" i="7"/>
  <c r="R128" i="7"/>
  <c r="A56" i="8"/>
  <c r="D440" i="7"/>
  <c r="F440" i="7"/>
  <c r="G440" i="7"/>
  <c r="H440" i="7"/>
  <c r="I440" i="7"/>
  <c r="L440" i="7"/>
  <c r="M440" i="7"/>
  <c r="N440" i="7"/>
  <c r="O440" i="7"/>
  <c r="R440" i="7"/>
  <c r="A55" i="8"/>
  <c r="D400" i="7"/>
  <c r="F400" i="7"/>
  <c r="G400" i="7"/>
  <c r="H400" i="7"/>
  <c r="I400" i="7"/>
  <c r="L400" i="7"/>
  <c r="M400" i="7"/>
  <c r="N400" i="7"/>
  <c r="O400" i="7"/>
  <c r="R400" i="7"/>
  <c r="A54" i="8"/>
  <c r="D288" i="7"/>
  <c r="F288" i="7"/>
  <c r="G288" i="7"/>
  <c r="H288" i="7"/>
  <c r="I288" i="7"/>
  <c r="L288" i="7"/>
  <c r="M288" i="7"/>
  <c r="N288" i="7"/>
  <c r="O288" i="7"/>
  <c r="R288" i="7"/>
  <c r="A53" i="8"/>
  <c r="D141" i="7"/>
  <c r="F141" i="7"/>
  <c r="G141" i="7"/>
  <c r="H141" i="7"/>
  <c r="I141" i="7"/>
  <c r="L141" i="7"/>
  <c r="M141" i="7"/>
  <c r="N141" i="7"/>
  <c r="O141" i="7"/>
  <c r="R141" i="7"/>
  <c r="A52" i="8"/>
  <c r="D428" i="7"/>
  <c r="F428" i="7"/>
  <c r="G428" i="7"/>
  <c r="H428" i="7"/>
  <c r="I428" i="7"/>
  <c r="L428" i="7"/>
  <c r="M428" i="7"/>
  <c r="N428" i="7"/>
  <c r="O428" i="7"/>
  <c r="R428" i="7"/>
  <c r="A51" i="8"/>
  <c r="D216" i="7"/>
  <c r="F216" i="7"/>
  <c r="G216" i="7"/>
  <c r="H216" i="7"/>
  <c r="I216" i="7"/>
  <c r="L216" i="7"/>
  <c r="M216" i="7"/>
  <c r="N216" i="7"/>
  <c r="O216" i="7"/>
  <c r="R216" i="7"/>
  <c r="A50" i="8"/>
  <c r="D153" i="7"/>
  <c r="F153" i="7"/>
  <c r="G153" i="7"/>
  <c r="H153" i="7"/>
  <c r="I153" i="7"/>
  <c r="L153" i="7"/>
  <c r="M153" i="7"/>
  <c r="N153" i="7"/>
  <c r="O153" i="7"/>
  <c r="R153" i="7"/>
  <c r="A49" i="8"/>
  <c r="D134" i="7"/>
  <c r="F134" i="7"/>
  <c r="G134" i="7"/>
  <c r="H134" i="7"/>
  <c r="I134" i="7"/>
  <c r="L134" i="7"/>
  <c r="M134" i="7"/>
  <c r="N134" i="7"/>
  <c r="O134" i="7"/>
  <c r="R134" i="7"/>
  <c r="A48" i="8"/>
  <c r="D355" i="7"/>
  <c r="F355" i="7"/>
  <c r="G355" i="7"/>
  <c r="H355" i="7"/>
  <c r="I355" i="7"/>
  <c r="L355" i="7"/>
  <c r="M355" i="7"/>
  <c r="N355" i="7"/>
  <c r="O355" i="7"/>
  <c r="R355" i="7"/>
  <c r="A47" i="8"/>
  <c r="D131" i="7"/>
  <c r="F131" i="7"/>
  <c r="G131" i="7"/>
  <c r="H131" i="7"/>
  <c r="I131" i="7"/>
  <c r="L131" i="7"/>
  <c r="M131" i="7"/>
  <c r="N131" i="7"/>
  <c r="O131" i="7"/>
  <c r="R131" i="7"/>
  <c r="A46" i="8"/>
  <c r="D120" i="7"/>
  <c r="F120" i="7"/>
  <c r="G120" i="7"/>
  <c r="H120" i="7"/>
  <c r="I120" i="7"/>
  <c r="L120" i="7"/>
  <c r="M120" i="7"/>
  <c r="N120" i="7"/>
  <c r="O120" i="7"/>
  <c r="R120" i="7"/>
  <c r="A45" i="8"/>
  <c r="D19" i="7"/>
  <c r="F19" i="7"/>
  <c r="G19" i="7"/>
  <c r="H19" i="7"/>
  <c r="I19" i="7"/>
  <c r="L19" i="7"/>
  <c r="M19" i="7"/>
  <c r="N19" i="7"/>
  <c r="O19" i="7"/>
  <c r="R19" i="7"/>
  <c r="A44" i="8"/>
  <c r="D343" i="7"/>
  <c r="F343" i="7"/>
  <c r="G343" i="7"/>
  <c r="H343" i="7"/>
  <c r="I343" i="7"/>
  <c r="L343" i="7"/>
  <c r="M343" i="7"/>
  <c r="N343" i="7"/>
  <c r="O343" i="7"/>
  <c r="R343" i="7"/>
  <c r="A43" i="8"/>
  <c r="D292" i="7"/>
  <c r="F292" i="7"/>
  <c r="G292" i="7"/>
  <c r="H292" i="7"/>
  <c r="I292" i="7"/>
  <c r="L292" i="7"/>
  <c r="M292" i="7"/>
  <c r="N292" i="7"/>
  <c r="O292" i="7"/>
  <c r="R292" i="7"/>
  <c r="A42" i="8"/>
  <c r="D175" i="7"/>
  <c r="F175" i="7"/>
  <c r="G175" i="7"/>
  <c r="H175" i="7"/>
  <c r="I175" i="7"/>
  <c r="L175" i="7"/>
  <c r="M175" i="7"/>
  <c r="N175" i="7"/>
  <c r="O175" i="7"/>
  <c r="R175" i="7"/>
  <c r="A41" i="8"/>
  <c r="D123" i="7"/>
  <c r="F123" i="7"/>
  <c r="G123" i="7"/>
  <c r="H123" i="7"/>
  <c r="I123" i="7"/>
  <c r="L123" i="7"/>
  <c r="M123" i="7"/>
  <c r="N123" i="7"/>
  <c r="O123" i="7"/>
  <c r="R123" i="7"/>
  <c r="A40" i="8"/>
  <c r="D375" i="7"/>
  <c r="F375" i="7"/>
  <c r="G375" i="7"/>
  <c r="H375" i="7"/>
  <c r="I375" i="7"/>
  <c r="L375" i="7"/>
  <c r="M375" i="7"/>
  <c r="N375" i="7"/>
  <c r="O375" i="7"/>
  <c r="R375" i="7"/>
  <c r="A39" i="8"/>
  <c r="D225" i="7"/>
  <c r="F225" i="7"/>
  <c r="G225" i="7"/>
  <c r="H225" i="7"/>
  <c r="I225" i="7"/>
  <c r="L225" i="7"/>
  <c r="M225" i="7"/>
  <c r="N225" i="7"/>
  <c r="O225" i="7"/>
  <c r="R225" i="7"/>
  <c r="A38" i="8"/>
  <c r="D186" i="7"/>
  <c r="F186" i="7"/>
  <c r="G186" i="7"/>
  <c r="H186" i="7"/>
  <c r="I186" i="7"/>
  <c r="L186" i="7"/>
  <c r="M186" i="7"/>
  <c r="N186" i="7"/>
  <c r="O186" i="7"/>
  <c r="R186" i="7"/>
  <c r="A37" i="8"/>
  <c r="D117" i="7"/>
  <c r="F117" i="7"/>
  <c r="G117" i="7"/>
  <c r="H117" i="7"/>
  <c r="I117" i="7"/>
  <c r="L117" i="7"/>
  <c r="M117" i="7"/>
  <c r="N117" i="7"/>
  <c r="O117" i="7"/>
  <c r="R117" i="7"/>
  <c r="A36" i="8"/>
  <c r="D481" i="7"/>
  <c r="F481" i="7"/>
  <c r="G481" i="7"/>
  <c r="H481" i="7"/>
  <c r="I481" i="7"/>
  <c r="L481" i="7"/>
  <c r="M481" i="7"/>
  <c r="N481" i="7"/>
  <c r="O481" i="7"/>
  <c r="R481" i="7"/>
  <c r="A35" i="8"/>
  <c r="D273" i="7"/>
  <c r="F273" i="7"/>
  <c r="G273" i="7"/>
  <c r="H273" i="7"/>
  <c r="I273" i="7"/>
  <c r="L273" i="7"/>
  <c r="M273" i="7"/>
  <c r="N273" i="7"/>
  <c r="O273" i="7"/>
  <c r="R273" i="7"/>
  <c r="A34" i="8"/>
  <c r="D270" i="7"/>
  <c r="F270" i="7"/>
  <c r="G270" i="7"/>
  <c r="H270" i="7"/>
  <c r="I270" i="7"/>
  <c r="L270" i="7"/>
  <c r="M270" i="7"/>
  <c r="N270" i="7"/>
  <c r="O270" i="7"/>
  <c r="R270" i="7"/>
  <c r="A33" i="8"/>
  <c r="D41" i="7"/>
  <c r="F41" i="7"/>
  <c r="G41" i="7"/>
  <c r="H41" i="7"/>
  <c r="I41" i="7"/>
  <c r="L41" i="7"/>
  <c r="M41" i="7"/>
  <c r="N41" i="7"/>
  <c r="O41" i="7"/>
  <c r="R41" i="7"/>
  <c r="A32" i="8"/>
  <c r="D429" i="7"/>
  <c r="F429" i="7"/>
  <c r="G429" i="7"/>
  <c r="H429" i="7"/>
  <c r="I429" i="7"/>
  <c r="L429" i="7"/>
  <c r="M429" i="7"/>
  <c r="N429" i="7"/>
  <c r="O429" i="7"/>
  <c r="R429" i="7"/>
  <c r="A31" i="8"/>
  <c r="D395" i="7"/>
  <c r="F395" i="7"/>
  <c r="G395" i="7"/>
  <c r="H395" i="7"/>
  <c r="I395" i="7"/>
  <c r="L395" i="7"/>
  <c r="M395" i="7"/>
  <c r="N395" i="7"/>
  <c r="O395" i="7"/>
  <c r="R395" i="7"/>
  <c r="A30" i="8"/>
  <c r="D138" i="7"/>
  <c r="F138" i="7"/>
  <c r="G138" i="7"/>
  <c r="H138" i="7"/>
  <c r="I138" i="7"/>
  <c r="L138" i="7"/>
  <c r="M138" i="7"/>
  <c r="N138" i="7"/>
  <c r="O138" i="7"/>
  <c r="R138" i="7"/>
  <c r="A29" i="8"/>
  <c r="D30" i="7"/>
  <c r="F30" i="7"/>
  <c r="G30" i="7"/>
  <c r="H30" i="7"/>
  <c r="I30" i="7"/>
  <c r="L30" i="7"/>
  <c r="M30" i="7"/>
  <c r="N30" i="7"/>
  <c r="O30" i="7"/>
  <c r="R30" i="7"/>
  <c r="A28" i="8"/>
  <c r="D490" i="7"/>
  <c r="F490" i="7"/>
  <c r="G490" i="7"/>
  <c r="H490" i="7"/>
  <c r="I490" i="7"/>
  <c r="L490" i="7"/>
  <c r="M490" i="7"/>
  <c r="N490" i="7"/>
  <c r="O490" i="7"/>
  <c r="R490" i="7"/>
  <c r="A27" i="8"/>
  <c r="D263" i="7"/>
  <c r="F263" i="7"/>
  <c r="G263" i="7"/>
  <c r="H263" i="7"/>
  <c r="I263" i="7"/>
  <c r="L263" i="7"/>
  <c r="M263" i="7"/>
  <c r="N263" i="7"/>
  <c r="O263" i="7"/>
  <c r="R263" i="7"/>
  <c r="A26" i="8"/>
  <c r="D200" i="7"/>
  <c r="F200" i="7"/>
  <c r="G200" i="7"/>
  <c r="H200" i="7"/>
  <c r="I200" i="7"/>
  <c r="L200" i="7"/>
  <c r="M200" i="7"/>
  <c r="N200" i="7"/>
  <c r="O200" i="7"/>
  <c r="R200" i="7"/>
  <c r="A25" i="8"/>
  <c r="D88" i="7"/>
  <c r="F88" i="7"/>
  <c r="G88" i="7"/>
  <c r="H88" i="7"/>
  <c r="I88" i="7"/>
  <c r="L88" i="7"/>
  <c r="M88" i="7"/>
  <c r="N88" i="7"/>
  <c r="O88" i="7"/>
  <c r="R88" i="7"/>
  <c r="A24" i="8"/>
  <c r="D471" i="7"/>
  <c r="F471" i="7"/>
  <c r="G471" i="7"/>
  <c r="H471" i="7"/>
  <c r="I471" i="7"/>
  <c r="L471" i="7"/>
  <c r="M471" i="7"/>
  <c r="N471" i="7"/>
  <c r="O471" i="7"/>
  <c r="R471" i="7"/>
  <c r="A23" i="8"/>
  <c r="D427" i="7"/>
  <c r="F427" i="7"/>
  <c r="G427" i="7"/>
  <c r="H427" i="7"/>
  <c r="I427" i="7"/>
  <c r="L427" i="7"/>
  <c r="M427" i="7"/>
  <c r="N427" i="7"/>
  <c r="O427" i="7"/>
  <c r="R427" i="7"/>
  <c r="A22" i="8"/>
  <c r="D226" i="7"/>
  <c r="F226" i="7"/>
  <c r="G226" i="7"/>
  <c r="H226" i="7"/>
  <c r="I226" i="7"/>
  <c r="L226" i="7"/>
  <c r="M226" i="7"/>
  <c r="N226" i="7"/>
  <c r="O226" i="7"/>
  <c r="R226" i="7"/>
  <c r="A21" i="8"/>
  <c r="D173" i="7"/>
  <c r="F173" i="7"/>
  <c r="G173" i="7"/>
  <c r="H173" i="7"/>
  <c r="I173" i="7"/>
  <c r="L173" i="7"/>
  <c r="M173" i="7"/>
  <c r="N173" i="7"/>
  <c r="O173" i="7"/>
  <c r="R173" i="7"/>
  <c r="A20" i="8"/>
  <c r="D466" i="7"/>
  <c r="F466" i="7"/>
  <c r="G466" i="7"/>
  <c r="H466" i="7"/>
  <c r="I466" i="7"/>
  <c r="L466" i="7"/>
  <c r="M466" i="7"/>
  <c r="N466" i="7"/>
  <c r="O466" i="7"/>
  <c r="R466" i="7"/>
  <c r="A19" i="8"/>
  <c r="D432" i="7"/>
  <c r="F432" i="7"/>
  <c r="G432" i="7"/>
  <c r="H432" i="7"/>
  <c r="I432" i="7"/>
  <c r="L432" i="7"/>
  <c r="M432" i="7"/>
  <c r="N432" i="7"/>
  <c r="O432" i="7"/>
  <c r="R432" i="7"/>
  <c r="A18" i="8"/>
  <c r="D392" i="7"/>
  <c r="F392" i="7"/>
  <c r="G392" i="7"/>
  <c r="H392" i="7"/>
  <c r="I392" i="7"/>
  <c r="L392" i="7"/>
  <c r="M392" i="7"/>
  <c r="N392" i="7"/>
  <c r="O392" i="7"/>
  <c r="R392" i="7"/>
  <c r="A17" i="8"/>
  <c r="D338" i="7"/>
  <c r="F338" i="7"/>
  <c r="G338" i="7"/>
  <c r="H338" i="7"/>
  <c r="I338" i="7"/>
  <c r="L338" i="7"/>
  <c r="M338" i="7"/>
  <c r="N338" i="7"/>
  <c r="O338" i="7"/>
  <c r="R338" i="7"/>
  <c r="A16" i="8"/>
  <c r="D403" i="7"/>
  <c r="F403" i="7"/>
  <c r="G403" i="7"/>
  <c r="H403" i="7"/>
  <c r="I403" i="7"/>
  <c r="L403" i="7"/>
  <c r="M403" i="7"/>
  <c r="N403" i="7"/>
  <c r="O403" i="7"/>
  <c r="R403" i="7"/>
  <c r="A15" i="8"/>
  <c r="D262" i="7"/>
  <c r="F262" i="7"/>
  <c r="G262" i="7"/>
  <c r="H262" i="7"/>
  <c r="I262" i="7"/>
  <c r="L262" i="7"/>
  <c r="M262" i="7"/>
  <c r="N262" i="7"/>
  <c r="O262" i="7"/>
  <c r="R262" i="7"/>
  <c r="A14" i="8"/>
  <c r="D159" i="7"/>
  <c r="F159" i="7"/>
  <c r="G159" i="7"/>
  <c r="H159" i="7"/>
  <c r="I159" i="7"/>
  <c r="L159" i="7"/>
  <c r="M159" i="7"/>
  <c r="N159" i="7"/>
  <c r="O159" i="7"/>
  <c r="R159" i="7"/>
  <c r="A13" i="8"/>
  <c r="D157" i="7"/>
  <c r="F157" i="7"/>
  <c r="G157" i="7"/>
  <c r="H157" i="7"/>
  <c r="I157" i="7"/>
  <c r="L157" i="7"/>
  <c r="M157" i="7"/>
  <c r="N157" i="7"/>
  <c r="O157" i="7"/>
  <c r="R157" i="7"/>
  <c r="A12" i="8"/>
  <c r="D382" i="7"/>
  <c r="F382" i="7"/>
  <c r="G382" i="7"/>
  <c r="H382" i="7"/>
  <c r="I382" i="7"/>
  <c r="L382" i="7"/>
  <c r="M382" i="7"/>
  <c r="N382" i="7"/>
  <c r="O382" i="7"/>
  <c r="R382" i="7"/>
  <c r="A11" i="8"/>
  <c r="D365" i="7"/>
  <c r="F365" i="7"/>
  <c r="G365" i="7"/>
  <c r="H365" i="7"/>
  <c r="I365" i="7"/>
  <c r="L365" i="7"/>
  <c r="M365" i="7"/>
  <c r="N365" i="7"/>
  <c r="O365" i="7"/>
  <c r="R365" i="7"/>
  <c r="A10" i="8"/>
  <c r="D350" i="7"/>
  <c r="F350" i="7"/>
  <c r="G350" i="7"/>
  <c r="H350" i="7"/>
  <c r="I350" i="7"/>
  <c r="L350" i="7"/>
  <c r="M350" i="7"/>
  <c r="N350" i="7"/>
  <c r="O350" i="7"/>
  <c r="R350" i="7"/>
  <c r="A9" i="8"/>
  <c r="D154" i="7"/>
  <c r="F154" i="7"/>
  <c r="G154" i="7"/>
  <c r="H154" i="7"/>
  <c r="I154" i="7"/>
  <c r="L154" i="7"/>
  <c r="M154" i="7"/>
  <c r="N154" i="7"/>
  <c r="O154" i="7"/>
  <c r="R154" i="7"/>
  <c r="A8" i="8"/>
  <c r="R425" i="7"/>
  <c r="A7" i="8"/>
  <c r="R229" i="7"/>
  <c r="A6" i="8"/>
  <c r="R93" i="7"/>
  <c r="A5" i="8"/>
  <c r="R14" i="7"/>
  <c r="A4" i="8"/>
  <c r="P377" i="7"/>
  <c r="Q377" i="7"/>
  <c r="T377" i="7"/>
  <c r="V377" i="7"/>
  <c r="D499" i="8"/>
  <c r="E499" i="8"/>
  <c r="P354" i="7"/>
  <c r="Q354" i="7"/>
  <c r="T354" i="7"/>
  <c r="V354" i="7"/>
  <c r="D498" i="8"/>
  <c r="E498" i="8"/>
  <c r="P344" i="7"/>
  <c r="Q344" i="7"/>
  <c r="T344" i="7"/>
  <c r="V344" i="7"/>
  <c r="D497" i="8"/>
  <c r="E497" i="8"/>
  <c r="P214" i="7"/>
  <c r="Q214" i="7"/>
  <c r="T214" i="7"/>
  <c r="V214" i="7"/>
  <c r="D496" i="8"/>
  <c r="E496" i="8"/>
  <c r="P421" i="7"/>
  <c r="Q421" i="7"/>
  <c r="T421" i="7"/>
  <c r="V421" i="7"/>
  <c r="D495" i="8"/>
  <c r="E495" i="8"/>
  <c r="P326" i="7"/>
  <c r="Q326" i="7"/>
  <c r="T326" i="7"/>
  <c r="V326" i="7"/>
  <c r="D494" i="8"/>
  <c r="E494" i="8"/>
  <c r="P267" i="7"/>
  <c r="Q267" i="7"/>
  <c r="T267" i="7"/>
  <c r="V267" i="7"/>
  <c r="D493" i="8"/>
  <c r="E493" i="8"/>
  <c r="P6" i="7"/>
  <c r="Q6" i="7"/>
  <c r="T6" i="7"/>
  <c r="V6" i="7"/>
  <c r="D492" i="8"/>
  <c r="E492" i="8"/>
  <c r="P341" i="7"/>
  <c r="Q341" i="7"/>
  <c r="T341" i="7"/>
  <c r="V341" i="7"/>
  <c r="D491" i="8"/>
  <c r="E491" i="8"/>
  <c r="P264" i="7"/>
  <c r="Q264" i="7"/>
  <c r="T264" i="7"/>
  <c r="V264" i="7"/>
  <c r="D490" i="8"/>
  <c r="E490" i="8"/>
  <c r="P235" i="7"/>
  <c r="Q235" i="7"/>
  <c r="T235" i="7"/>
  <c r="V235" i="7"/>
  <c r="D489" i="8"/>
  <c r="E489" i="8"/>
  <c r="P57" i="7"/>
  <c r="Q57" i="7"/>
  <c r="T57" i="7"/>
  <c r="V57" i="7"/>
  <c r="D488" i="8"/>
  <c r="E488" i="8"/>
  <c r="P369" i="7"/>
  <c r="Q369" i="7"/>
  <c r="T369" i="7"/>
  <c r="V369" i="7"/>
  <c r="D487" i="8"/>
  <c r="E487" i="8"/>
  <c r="P205" i="7"/>
  <c r="Q205" i="7"/>
  <c r="T205" i="7"/>
  <c r="V205" i="7"/>
  <c r="D486" i="8"/>
  <c r="E486" i="8"/>
  <c r="P149" i="7"/>
  <c r="Q149" i="7"/>
  <c r="T149" i="7"/>
  <c r="V149" i="7"/>
  <c r="D485" i="8"/>
  <c r="E485" i="8"/>
  <c r="P15" i="7"/>
  <c r="Q15" i="7"/>
  <c r="T15" i="7"/>
  <c r="V15" i="7"/>
  <c r="D484" i="8"/>
  <c r="E484" i="8"/>
  <c r="P484" i="7"/>
  <c r="Q484" i="7"/>
  <c r="T484" i="7"/>
  <c r="V484" i="7"/>
  <c r="D483" i="8"/>
  <c r="E483" i="8"/>
  <c r="P284" i="7"/>
  <c r="Q284" i="7"/>
  <c r="T284" i="7"/>
  <c r="V284" i="7"/>
  <c r="D482" i="8"/>
  <c r="E482" i="8"/>
  <c r="P256" i="7"/>
  <c r="Q256" i="7"/>
  <c r="T256" i="7"/>
  <c r="V256" i="7"/>
  <c r="D481" i="8"/>
  <c r="E481" i="8"/>
  <c r="P83" i="7"/>
  <c r="Q83" i="7"/>
  <c r="T83" i="7"/>
  <c r="V83" i="7"/>
  <c r="D480" i="8"/>
  <c r="E480" i="8"/>
  <c r="P249" i="7"/>
  <c r="Q249" i="7"/>
  <c r="T249" i="7"/>
  <c r="V249" i="7"/>
  <c r="D479" i="8"/>
  <c r="E479" i="8"/>
  <c r="P203" i="7"/>
  <c r="Q203" i="7"/>
  <c r="T203" i="7"/>
  <c r="V203" i="7"/>
  <c r="D478" i="8"/>
  <c r="E478" i="8"/>
  <c r="P40" i="7"/>
  <c r="Q40" i="7"/>
  <c r="T40" i="7"/>
  <c r="V40" i="7"/>
  <c r="D477" i="8"/>
  <c r="E477" i="8"/>
  <c r="P37" i="7"/>
  <c r="Q37" i="7"/>
  <c r="T37" i="7"/>
  <c r="V37" i="7"/>
  <c r="D476" i="8"/>
  <c r="E476" i="8"/>
  <c r="P448" i="7"/>
  <c r="Q448" i="7"/>
  <c r="T448" i="7"/>
  <c r="V448" i="7"/>
  <c r="D475" i="8"/>
  <c r="E475" i="8"/>
  <c r="P331" i="7"/>
  <c r="Q331" i="7"/>
  <c r="T331" i="7"/>
  <c r="V331" i="7"/>
  <c r="D474" i="8"/>
  <c r="E474" i="8"/>
  <c r="P252" i="7"/>
  <c r="Q252" i="7"/>
  <c r="T252" i="7"/>
  <c r="V252" i="7"/>
  <c r="D473" i="8"/>
  <c r="E473" i="8"/>
  <c r="P251" i="7"/>
  <c r="Q251" i="7"/>
  <c r="T251" i="7"/>
  <c r="V251" i="7"/>
  <c r="D472" i="8"/>
  <c r="E472" i="8"/>
  <c r="P222" i="7"/>
  <c r="Q222" i="7"/>
  <c r="T222" i="7"/>
  <c r="V222" i="7"/>
  <c r="D471" i="8"/>
  <c r="E471" i="8"/>
  <c r="P198" i="7"/>
  <c r="Q198" i="7"/>
  <c r="T198" i="7"/>
  <c r="V198" i="7"/>
  <c r="D470" i="8"/>
  <c r="E470" i="8"/>
  <c r="P136" i="7"/>
  <c r="Q136" i="7"/>
  <c r="T136" i="7"/>
  <c r="V136" i="7"/>
  <c r="D469" i="8"/>
  <c r="E469" i="8"/>
  <c r="P84" i="7"/>
  <c r="Q84" i="7"/>
  <c r="T84" i="7"/>
  <c r="V84" i="7"/>
  <c r="D468" i="8"/>
  <c r="E468" i="8"/>
  <c r="P407" i="7"/>
  <c r="Q407" i="7"/>
  <c r="T407" i="7"/>
  <c r="V407" i="7"/>
  <c r="D467" i="8"/>
  <c r="E467" i="8"/>
  <c r="P319" i="7"/>
  <c r="Q319" i="7"/>
  <c r="T319" i="7"/>
  <c r="V319" i="7"/>
  <c r="D466" i="8"/>
  <c r="E466" i="8"/>
  <c r="P230" i="7"/>
  <c r="Q230" i="7"/>
  <c r="T230" i="7"/>
  <c r="V230" i="7"/>
  <c r="D465" i="8"/>
  <c r="E465" i="8"/>
  <c r="P10" i="7"/>
  <c r="Q10" i="7"/>
  <c r="T10" i="7"/>
  <c r="V10" i="7"/>
  <c r="D464" i="8"/>
  <c r="E464" i="8"/>
  <c r="P465" i="7"/>
  <c r="Q465" i="7"/>
  <c r="T465" i="7"/>
  <c r="V465" i="7"/>
  <c r="D463" i="8"/>
  <c r="E463" i="8"/>
  <c r="P248" i="7"/>
  <c r="Q248" i="7"/>
  <c r="T248" i="7"/>
  <c r="V248" i="7"/>
  <c r="D462" i="8"/>
  <c r="E462" i="8"/>
  <c r="P119" i="7"/>
  <c r="Q119" i="7"/>
  <c r="T119" i="7"/>
  <c r="V119" i="7"/>
  <c r="D461" i="8"/>
  <c r="E461" i="8"/>
  <c r="P118" i="7"/>
  <c r="Q118" i="7"/>
  <c r="T118" i="7"/>
  <c r="V118" i="7"/>
  <c r="D460" i="8"/>
  <c r="E460" i="8"/>
  <c r="P315" i="7"/>
  <c r="Q315" i="7"/>
  <c r="T315" i="7"/>
  <c r="V315" i="7"/>
  <c r="D459" i="8"/>
  <c r="E459" i="8"/>
  <c r="P258" i="7"/>
  <c r="Q258" i="7"/>
  <c r="T258" i="7"/>
  <c r="V258" i="7"/>
  <c r="D458" i="8"/>
  <c r="E458" i="8"/>
  <c r="P105" i="7"/>
  <c r="Q105" i="7"/>
  <c r="T105" i="7"/>
  <c r="V105" i="7"/>
  <c r="D457" i="8"/>
  <c r="E457" i="8"/>
  <c r="P86" i="7"/>
  <c r="Q86" i="7"/>
  <c r="T86" i="7"/>
  <c r="V86" i="7"/>
  <c r="D456" i="8"/>
  <c r="E456" i="8"/>
  <c r="P447" i="7"/>
  <c r="Q447" i="7"/>
  <c r="T447" i="7"/>
  <c r="V447" i="7"/>
  <c r="D455" i="8"/>
  <c r="E455" i="8"/>
  <c r="P378" i="7"/>
  <c r="Q378" i="7"/>
  <c r="T378" i="7"/>
  <c r="V378" i="7"/>
  <c r="D454" i="8"/>
  <c r="E454" i="8"/>
  <c r="P282" i="7"/>
  <c r="Q282" i="7"/>
  <c r="T282" i="7"/>
  <c r="V282" i="7"/>
  <c r="D453" i="8"/>
  <c r="E453" i="8"/>
  <c r="P261" i="7"/>
  <c r="Q261" i="7"/>
  <c r="T261" i="7"/>
  <c r="V261" i="7"/>
  <c r="D452" i="8"/>
  <c r="E452" i="8"/>
  <c r="P293" i="7"/>
  <c r="Q293" i="7"/>
  <c r="T293" i="7"/>
  <c r="V293" i="7"/>
  <c r="D451" i="8"/>
  <c r="E451" i="8"/>
  <c r="P164" i="7"/>
  <c r="Q164" i="7"/>
  <c r="T164" i="7"/>
  <c r="V164" i="7"/>
  <c r="D450" i="8"/>
  <c r="E450" i="8"/>
  <c r="P96" i="7"/>
  <c r="Q96" i="7"/>
  <c r="T96" i="7"/>
  <c r="V96" i="7"/>
  <c r="D449" i="8"/>
  <c r="E449" i="8"/>
  <c r="P82" i="7"/>
  <c r="Q82" i="7"/>
  <c r="T82" i="7"/>
  <c r="V82" i="7"/>
  <c r="D448" i="8"/>
  <c r="E448" i="8"/>
  <c r="P347" i="7"/>
  <c r="Q347" i="7"/>
  <c r="T347" i="7"/>
  <c r="V347" i="7"/>
  <c r="D447" i="8"/>
  <c r="E447" i="8"/>
  <c r="P243" i="7"/>
  <c r="Q243" i="7"/>
  <c r="T243" i="7"/>
  <c r="V243" i="7"/>
  <c r="D446" i="8"/>
  <c r="E446" i="8"/>
  <c r="P241" i="7"/>
  <c r="Q241" i="7"/>
  <c r="T241" i="7"/>
  <c r="V241" i="7"/>
  <c r="D445" i="8"/>
  <c r="E445" i="8"/>
  <c r="P97" i="7"/>
  <c r="Q97" i="7"/>
  <c r="T97" i="7"/>
  <c r="V97" i="7"/>
  <c r="D444" i="8"/>
  <c r="E444" i="8"/>
  <c r="P408" i="7"/>
  <c r="Q408" i="7"/>
  <c r="T408" i="7"/>
  <c r="V408" i="7"/>
  <c r="D443" i="8"/>
  <c r="E443" i="8"/>
  <c r="P211" i="7"/>
  <c r="Q211" i="7"/>
  <c r="T211" i="7"/>
  <c r="V211" i="7"/>
  <c r="D442" i="8"/>
  <c r="E442" i="8"/>
  <c r="P127" i="7"/>
  <c r="Q127" i="7"/>
  <c r="T127" i="7"/>
  <c r="V127" i="7"/>
  <c r="D441" i="8"/>
  <c r="E441" i="8"/>
  <c r="P121" i="7"/>
  <c r="Q121" i="7"/>
  <c r="T121" i="7"/>
  <c r="V121" i="7"/>
  <c r="D440" i="8"/>
  <c r="E440" i="8"/>
  <c r="P473" i="7"/>
  <c r="Q473" i="7"/>
  <c r="T473" i="7"/>
  <c r="V473" i="7"/>
  <c r="D439" i="8"/>
  <c r="E439" i="8"/>
  <c r="P472" i="7"/>
  <c r="Q472" i="7"/>
  <c r="T472" i="7"/>
  <c r="V472" i="7"/>
  <c r="D438" i="8"/>
  <c r="E438" i="8"/>
  <c r="P449" i="7"/>
  <c r="Q449" i="7"/>
  <c r="T449" i="7"/>
  <c r="V449" i="7"/>
  <c r="D437" i="8"/>
  <c r="E437" i="8"/>
  <c r="P327" i="7"/>
  <c r="Q327" i="7"/>
  <c r="T327" i="7"/>
  <c r="V327" i="7"/>
  <c r="D436" i="8"/>
  <c r="E436" i="8"/>
  <c r="P287" i="7"/>
  <c r="Q287" i="7"/>
  <c r="T287" i="7"/>
  <c r="V287" i="7"/>
  <c r="D435" i="8"/>
  <c r="E435" i="8"/>
  <c r="P124" i="7"/>
  <c r="Q124" i="7"/>
  <c r="T124" i="7"/>
  <c r="V124" i="7"/>
  <c r="D434" i="8"/>
  <c r="E434" i="8"/>
  <c r="P52" i="7"/>
  <c r="Q52" i="7"/>
  <c r="T52" i="7"/>
  <c r="V52" i="7"/>
  <c r="D433" i="8"/>
  <c r="E433" i="8"/>
  <c r="P7" i="7"/>
  <c r="Q7" i="7"/>
  <c r="T7" i="7"/>
  <c r="V7" i="7"/>
  <c r="D432" i="8"/>
  <c r="E432" i="8"/>
  <c r="P431" i="7"/>
  <c r="Q431" i="7"/>
  <c r="T431" i="7"/>
  <c r="V431" i="7"/>
  <c r="D431" i="8"/>
  <c r="E431" i="8"/>
  <c r="P415" i="7"/>
  <c r="Q415" i="7"/>
  <c r="T415" i="7"/>
  <c r="V415" i="7"/>
  <c r="D430" i="8"/>
  <c r="E430" i="8"/>
  <c r="P414" i="7"/>
  <c r="Q414" i="7"/>
  <c r="T414" i="7"/>
  <c r="V414" i="7"/>
  <c r="D429" i="8"/>
  <c r="E429" i="8"/>
  <c r="P373" i="7"/>
  <c r="Q373" i="7"/>
  <c r="T373" i="7"/>
  <c r="V373" i="7"/>
  <c r="D428" i="8"/>
  <c r="E428" i="8"/>
  <c r="P184" i="7"/>
  <c r="Q184" i="7"/>
  <c r="T184" i="7"/>
  <c r="V184" i="7"/>
  <c r="D427" i="8"/>
  <c r="E427" i="8"/>
  <c r="P50" i="7"/>
  <c r="Q50" i="7"/>
  <c r="T50" i="7"/>
  <c r="V50" i="7"/>
  <c r="D426" i="8"/>
  <c r="E426" i="8"/>
  <c r="P5" i="7"/>
  <c r="Q5" i="7"/>
  <c r="T5" i="7"/>
  <c r="V5" i="7"/>
  <c r="D425" i="8"/>
  <c r="E425" i="8"/>
  <c r="P3" i="7"/>
  <c r="Q3" i="7"/>
  <c r="T3" i="7"/>
  <c r="V3" i="7"/>
  <c r="D424" i="8"/>
  <c r="E424" i="8"/>
  <c r="P496" i="7"/>
  <c r="Q496" i="7"/>
  <c r="T496" i="7"/>
  <c r="V496" i="7"/>
  <c r="D423" i="8"/>
  <c r="E423" i="8"/>
  <c r="P286" i="7"/>
  <c r="Q286" i="7"/>
  <c r="T286" i="7"/>
  <c r="V286" i="7"/>
  <c r="D422" i="8"/>
  <c r="E422" i="8"/>
  <c r="P253" i="7"/>
  <c r="Q253" i="7"/>
  <c r="T253" i="7"/>
  <c r="V253" i="7"/>
  <c r="D421" i="8"/>
  <c r="E421" i="8"/>
  <c r="P32" i="7"/>
  <c r="Q32" i="7"/>
  <c r="T32" i="7"/>
  <c r="V32" i="7"/>
  <c r="D420" i="8"/>
  <c r="E420" i="8"/>
  <c r="P413" i="7"/>
  <c r="Q413" i="7"/>
  <c r="T413" i="7"/>
  <c r="V413" i="7"/>
  <c r="D419" i="8"/>
  <c r="E419" i="8"/>
  <c r="P63" i="7"/>
  <c r="Q63" i="7"/>
  <c r="T63" i="7"/>
  <c r="V63" i="7"/>
  <c r="D418" i="8"/>
  <c r="E418" i="8"/>
  <c r="P54" i="7"/>
  <c r="Q54" i="7"/>
  <c r="T54" i="7"/>
  <c r="V54" i="7"/>
  <c r="D417" i="8"/>
  <c r="E417" i="8"/>
  <c r="P29" i="7"/>
  <c r="Q29" i="7"/>
  <c r="T29" i="7"/>
  <c r="V29" i="7"/>
  <c r="D416" i="8"/>
  <c r="E416" i="8"/>
  <c r="P393" i="7"/>
  <c r="Q393" i="7"/>
  <c r="T393" i="7"/>
  <c r="V393" i="7"/>
  <c r="D415" i="8"/>
  <c r="E415" i="8"/>
  <c r="P259" i="7"/>
  <c r="Q259" i="7"/>
  <c r="T259" i="7"/>
  <c r="V259" i="7"/>
  <c r="D414" i="8"/>
  <c r="E414" i="8"/>
  <c r="P152" i="7"/>
  <c r="Q152" i="7"/>
  <c r="T152" i="7"/>
  <c r="V152" i="7"/>
  <c r="D413" i="8"/>
  <c r="E413" i="8"/>
  <c r="P20" i="7"/>
  <c r="Q20" i="7"/>
  <c r="T20" i="7"/>
  <c r="V20" i="7"/>
  <c r="D412" i="8"/>
  <c r="E412" i="8"/>
  <c r="P335" i="7"/>
  <c r="Q335" i="7"/>
  <c r="T335" i="7"/>
  <c r="V335" i="7"/>
  <c r="D411" i="8"/>
  <c r="E411" i="8"/>
  <c r="P135" i="7"/>
  <c r="Q135" i="7"/>
  <c r="T135" i="7"/>
  <c r="V135" i="7"/>
  <c r="D410" i="8"/>
  <c r="E410" i="8"/>
  <c r="P111" i="7"/>
  <c r="Q111" i="7"/>
  <c r="T111" i="7"/>
  <c r="V111" i="7"/>
  <c r="D409" i="8"/>
  <c r="E409" i="8"/>
  <c r="P8" i="7"/>
  <c r="Q8" i="7"/>
  <c r="T8" i="7"/>
  <c r="V8" i="7"/>
  <c r="D408" i="8"/>
  <c r="E408" i="8"/>
  <c r="P323" i="7"/>
  <c r="Q323" i="7"/>
  <c r="T323" i="7"/>
  <c r="V323" i="7"/>
  <c r="D407" i="8"/>
  <c r="E407" i="8"/>
  <c r="P307" i="7"/>
  <c r="Q307" i="7"/>
  <c r="T307" i="7"/>
  <c r="V307" i="7"/>
  <c r="D406" i="8"/>
  <c r="E406" i="8"/>
  <c r="P278" i="7"/>
  <c r="Q278" i="7"/>
  <c r="T278" i="7"/>
  <c r="V278" i="7"/>
  <c r="D405" i="8"/>
  <c r="E405" i="8"/>
  <c r="P174" i="7"/>
  <c r="Q174" i="7"/>
  <c r="T174" i="7"/>
  <c r="V174" i="7"/>
  <c r="D404" i="8"/>
  <c r="E404" i="8"/>
  <c r="P276" i="7"/>
  <c r="Q276" i="7"/>
  <c r="T276" i="7"/>
  <c r="V276" i="7"/>
  <c r="D403" i="8"/>
  <c r="E403" i="8"/>
  <c r="P213" i="7"/>
  <c r="Q213" i="7"/>
  <c r="T213" i="7"/>
  <c r="V213" i="7"/>
  <c r="D402" i="8"/>
  <c r="E402" i="8"/>
  <c r="P113" i="7"/>
  <c r="Q113" i="7"/>
  <c r="T113" i="7"/>
  <c r="V113" i="7"/>
  <c r="D401" i="8"/>
  <c r="E401" i="8"/>
  <c r="P81" i="7"/>
  <c r="Q81" i="7"/>
  <c r="T81" i="7"/>
  <c r="V81" i="7"/>
  <c r="D400" i="8"/>
  <c r="E400" i="8"/>
  <c r="P487" i="7"/>
  <c r="Q487" i="7"/>
  <c r="T487" i="7"/>
  <c r="V487" i="7"/>
  <c r="D399" i="8"/>
  <c r="E399" i="8"/>
  <c r="P478" i="7"/>
  <c r="Q478" i="7"/>
  <c r="T478" i="7"/>
  <c r="V478" i="7"/>
  <c r="D398" i="8"/>
  <c r="E398" i="8"/>
  <c r="P102" i="7"/>
  <c r="Q102" i="7"/>
  <c r="T102" i="7"/>
  <c r="V102" i="7"/>
  <c r="D397" i="8"/>
  <c r="E397" i="8"/>
  <c r="P16" i="7"/>
  <c r="Q16" i="7"/>
  <c r="T16" i="7"/>
  <c r="V16" i="7"/>
  <c r="D396" i="8"/>
  <c r="E396" i="8"/>
  <c r="P453" i="7"/>
  <c r="Q453" i="7"/>
  <c r="T453" i="7"/>
  <c r="V453" i="7"/>
  <c r="D395" i="8"/>
  <c r="E395" i="8"/>
  <c r="P238" i="7"/>
  <c r="Q238" i="7"/>
  <c r="T238" i="7"/>
  <c r="V238" i="7"/>
  <c r="D394" i="8"/>
  <c r="E394" i="8"/>
  <c r="P139" i="7"/>
  <c r="Q139" i="7"/>
  <c r="T139" i="7"/>
  <c r="V139" i="7"/>
  <c r="D393" i="8"/>
  <c r="E393" i="8"/>
  <c r="P22" i="7"/>
  <c r="Q22" i="7"/>
  <c r="T22" i="7"/>
  <c r="V22" i="7"/>
  <c r="D392" i="8"/>
  <c r="E392" i="8"/>
  <c r="P434" i="7"/>
  <c r="Q434" i="7"/>
  <c r="T434" i="7"/>
  <c r="V434" i="7"/>
  <c r="D391" i="8"/>
  <c r="E391" i="8"/>
  <c r="P412" i="7"/>
  <c r="Q412" i="7"/>
  <c r="T412" i="7"/>
  <c r="V412" i="7"/>
  <c r="D390" i="8"/>
  <c r="E390" i="8"/>
  <c r="P78" i="7"/>
  <c r="Q78" i="7"/>
  <c r="T78" i="7"/>
  <c r="V78" i="7"/>
  <c r="D389" i="8"/>
  <c r="E389" i="8"/>
  <c r="P56" i="7"/>
  <c r="Q56" i="7"/>
  <c r="T56" i="7"/>
  <c r="V56" i="7"/>
  <c r="D388" i="8"/>
  <c r="E388" i="8"/>
  <c r="P360" i="7"/>
  <c r="Q360" i="7"/>
  <c r="T360" i="7"/>
  <c r="V360" i="7"/>
  <c r="D387" i="8"/>
  <c r="E387" i="8"/>
  <c r="P116" i="7"/>
  <c r="Q116" i="7"/>
  <c r="T116" i="7"/>
  <c r="V116" i="7"/>
  <c r="D386" i="8"/>
  <c r="E386" i="8"/>
  <c r="P109" i="7"/>
  <c r="Q109" i="7"/>
  <c r="T109" i="7"/>
  <c r="V109" i="7"/>
  <c r="D385" i="8"/>
  <c r="E385" i="8"/>
  <c r="P80" i="7"/>
  <c r="Q80" i="7"/>
  <c r="T80" i="7"/>
  <c r="V80" i="7"/>
  <c r="D384" i="8"/>
  <c r="E384" i="8"/>
  <c r="P185" i="7"/>
  <c r="Q185" i="7"/>
  <c r="T185" i="7"/>
  <c r="V185" i="7"/>
  <c r="D383" i="8"/>
  <c r="E383" i="8"/>
  <c r="P168" i="7"/>
  <c r="Q168" i="7"/>
  <c r="T168" i="7"/>
  <c r="V168" i="7"/>
  <c r="D382" i="8"/>
  <c r="E382" i="8"/>
  <c r="P51" i="7"/>
  <c r="Q51" i="7"/>
  <c r="T51" i="7"/>
  <c r="V51" i="7"/>
  <c r="D381" i="8"/>
  <c r="E381" i="8"/>
  <c r="P36" i="7"/>
  <c r="Q36" i="7"/>
  <c r="T36" i="7"/>
  <c r="V36" i="7"/>
  <c r="D380" i="8"/>
  <c r="E380" i="8"/>
  <c r="P495" i="7"/>
  <c r="Q495" i="7"/>
  <c r="T495" i="7"/>
  <c r="V495" i="7"/>
  <c r="D379" i="8"/>
  <c r="E379" i="8"/>
  <c r="P339" i="7"/>
  <c r="Q339" i="7"/>
  <c r="T339" i="7"/>
  <c r="V339" i="7"/>
  <c r="D378" i="8"/>
  <c r="E378" i="8"/>
  <c r="P77" i="7"/>
  <c r="Q77" i="7"/>
  <c r="T77" i="7"/>
  <c r="V77" i="7"/>
  <c r="D377" i="8"/>
  <c r="E377" i="8"/>
  <c r="P67" i="7"/>
  <c r="Q67" i="7"/>
  <c r="T67" i="7"/>
  <c r="V67" i="7"/>
  <c r="D376" i="8"/>
  <c r="E376" i="8"/>
  <c r="P483" i="7"/>
  <c r="Q483" i="7"/>
  <c r="T483" i="7"/>
  <c r="V483" i="7"/>
  <c r="D375" i="8"/>
  <c r="E375" i="8"/>
  <c r="P317" i="7"/>
  <c r="Q317" i="7"/>
  <c r="T317" i="7"/>
  <c r="V317" i="7"/>
  <c r="D374" i="8"/>
  <c r="E374" i="8"/>
  <c r="P290" i="7"/>
  <c r="Q290" i="7"/>
  <c r="T290" i="7"/>
  <c r="V290" i="7"/>
  <c r="D373" i="8"/>
  <c r="E373" i="8"/>
  <c r="P255" i="7"/>
  <c r="Q255" i="7"/>
  <c r="T255" i="7"/>
  <c r="V255" i="7"/>
  <c r="D372" i="8"/>
  <c r="E372" i="8"/>
  <c r="P436" i="7"/>
  <c r="Q436" i="7"/>
  <c r="T436" i="7"/>
  <c r="V436" i="7"/>
  <c r="D371" i="8"/>
  <c r="E371" i="8"/>
  <c r="P411" i="7"/>
  <c r="Q411" i="7"/>
  <c r="T411" i="7"/>
  <c r="V411" i="7"/>
  <c r="D370" i="8"/>
  <c r="E370" i="8"/>
  <c r="P316" i="7"/>
  <c r="Q316" i="7"/>
  <c r="T316" i="7"/>
  <c r="V316" i="7"/>
  <c r="D369" i="8"/>
  <c r="E369" i="8"/>
  <c r="P169" i="7"/>
  <c r="Q169" i="7"/>
  <c r="T169" i="7"/>
  <c r="V169" i="7"/>
  <c r="D368" i="8"/>
  <c r="E368" i="8"/>
  <c r="P384" i="7"/>
  <c r="Q384" i="7"/>
  <c r="T384" i="7"/>
  <c r="V384" i="7"/>
  <c r="D367" i="8"/>
  <c r="E367" i="8"/>
  <c r="P322" i="7"/>
  <c r="Q322" i="7"/>
  <c r="T322" i="7"/>
  <c r="V322" i="7"/>
  <c r="D366" i="8"/>
  <c r="E366" i="8"/>
  <c r="P87" i="7"/>
  <c r="Q87" i="7"/>
  <c r="T87" i="7"/>
  <c r="V87" i="7"/>
  <c r="D365" i="8"/>
  <c r="E365" i="8"/>
  <c r="P27" i="7"/>
  <c r="Q27" i="7"/>
  <c r="T27" i="7"/>
  <c r="V27" i="7"/>
  <c r="D364" i="8"/>
  <c r="E364" i="8"/>
  <c r="P386" i="7"/>
  <c r="Q386" i="7"/>
  <c r="T386" i="7"/>
  <c r="V386" i="7"/>
  <c r="D363" i="8"/>
  <c r="E363" i="8"/>
  <c r="P302" i="7"/>
  <c r="Q302" i="7"/>
  <c r="T302" i="7"/>
  <c r="V302" i="7"/>
  <c r="D362" i="8"/>
  <c r="E362" i="8"/>
  <c r="P291" i="7"/>
  <c r="Q291" i="7"/>
  <c r="T291" i="7"/>
  <c r="V291" i="7"/>
  <c r="D361" i="8"/>
  <c r="E361" i="8"/>
  <c r="P101" i="7"/>
  <c r="Q101" i="7"/>
  <c r="T101" i="7"/>
  <c r="V101" i="7"/>
  <c r="D360" i="8"/>
  <c r="E360" i="8"/>
  <c r="P433" i="7"/>
  <c r="Q433" i="7"/>
  <c r="T433" i="7"/>
  <c r="V433" i="7"/>
  <c r="D359" i="8"/>
  <c r="E359" i="8"/>
  <c r="P337" i="7"/>
  <c r="Q337" i="7"/>
  <c r="T337" i="7"/>
  <c r="V337" i="7"/>
  <c r="D358" i="8"/>
  <c r="E358" i="8"/>
  <c r="P332" i="7"/>
  <c r="Q332" i="7"/>
  <c r="T332" i="7"/>
  <c r="V332" i="7"/>
  <c r="D357" i="8"/>
  <c r="E357" i="8"/>
  <c r="P34" i="7"/>
  <c r="Q34" i="7"/>
  <c r="T34" i="7"/>
  <c r="V34" i="7"/>
  <c r="D356" i="8"/>
  <c r="E356" i="8"/>
  <c r="P470" i="7"/>
  <c r="Q470" i="7"/>
  <c r="T470" i="7"/>
  <c r="V470" i="7"/>
  <c r="D355" i="8"/>
  <c r="E355" i="8"/>
  <c r="P371" i="7"/>
  <c r="Q371" i="7"/>
  <c r="T371" i="7"/>
  <c r="V371" i="7"/>
  <c r="D354" i="8"/>
  <c r="E354" i="8"/>
  <c r="P212" i="7"/>
  <c r="Q212" i="7"/>
  <c r="T212" i="7"/>
  <c r="V212" i="7"/>
  <c r="D353" i="8"/>
  <c r="E353" i="8"/>
  <c r="P13" i="7"/>
  <c r="Q13" i="7"/>
  <c r="T13" i="7"/>
  <c r="V13" i="7"/>
  <c r="D352" i="8"/>
  <c r="E352" i="8"/>
  <c r="P438" i="7"/>
  <c r="Q438" i="7"/>
  <c r="T438" i="7"/>
  <c r="V438" i="7"/>
  <c r="D351" i="8"/>
  <c r="E351" i="8"/>
  <c r="P208" i="7"/>
  <c r="Q208" i="7"/>
  <c r="T208" i="7"/>
  <c r="V208" i="7"/>
  <c r="D350" i="8"/>
  <c r="E350" i="8"/>
  <c r="P180" i="7"/>
  <c r="Q180" i="7"/>
  <c r="T180" i="7"/>
  <c r="V180" i="7"/>
  <c r="D349" i="8"/>
  <c r="E349" i="8"/>
  <c r="P176" i="7"/>
  <c r="Q176" i="7"/>
  <c r="T176" i="7"/>
  <c r="V176" i="7"/>
  <c r="D348" i="8"/>
  <c r="E348" i="8"/>
  <c r="P397" i="7"/>
  <c r="Q397" i="7"/>
  <c r="T397" i="7"/>
  <c r="V397" i="7"/>
  <c r="D347" i="8"/>
  <c r="E347" i="8"/>
  <c r="P340" i="7"/>
  <c r="Q340" i="7"/>
  <c r="T340" i="7"/>
  <c r="V340" i="7"/>
  <c r="D346" i="8"/>
  <c r="E346" i="8"/>
  <c r="P143" i="7"/>
  <c r="Q143" i="7"/>
  <c r="T143" i="7"/>
  <c r="V143" i="7"/>
  <c r="D345" i="8"/>
  <c r="E345" i="8"/>
  <c r="P90" i="7"/>
  <c r="Q90" i="7"/>
  <c r="T90" i="7"/>
  <c r="V90" i="7"/>
  <c r="D344" i="8"/>
  <c r="E344" i="8"/>
  <c r="P457" i="7"/>
  <c r="Q457" i="7"/>
  <c r="T457" i="7"/>
  <c r="V457" i="7"/>
  <c r="D343" i="8"/>
  <c r="E343" i="8"/>
  <c r="P387" i="7"/>
  <c r="Q387" i="7"/>
  <c r="T387" i="7"/>
  <c r="V387" i="7"/>
  <c r="D342" i="8"/>
  <c r="E342" i="8"/>
  <c r="P356" i="7"/>
  <c r="Q356" i="7"/>
  <c r="T356" i="7"/>
  <c r="V356" i="7"/>
  <c r="D341" i="8"/>
  <c r="E341" i="8"/>
  <c r="P100" i="7"/>
  <c r="Q100" i="7"/>
  <c r="T100" i="7"/>
  <c r="V100" i="7"/>
  <c r="D340" i="8"/>
  <c r="E340" i="8"/>
  <c r="P409" i="7"/>
  <c r="Q409" i="7"/>
  <c r="T409" i="7"/>
  <c r="V409" i="7"/>
  <c r="D339" i="8"/>
  <c r="E339" i="8"/>
  <c r="P367" i="7"/>
  <c r="Q367" i="7"/>
  <c r="T367" i="7"/>
  <c r="V367" i="7"/>
  <c r="D338" i="8"/>
  <c r="E338" i="8"/>
  <c r="P190" i="7"/>
  <c r="Q190" i="7"/>
  <c r="T190" i="7"/>
  <c r="V190" i="7"/>
  <c r="D337" i="8"/>
  <c r="E337" i="8"/>
  <c r="P39" i="7"/>
  <c r="Q39" i="7"/>
  <c r="T39" i="7"/>
  <c r="V39" i="7"/>
  <c r="D336" i="8"/>
  <c r="E336" i="8"/>
  <c r="P358" i="7"/>
  <c r="Q358" i="7"/>
  <c r="T358" i="7"/>
  <c r="V358" i="7"/>
  <c r="D335" i="8"/>
  <c r="E335" i="8"/>
  <c r="P183" i="7"/>
  <c r="Q183" i="7"/>
  <c r="T183" i="7"/>
  <c r="V183" i="7"/>
  <c r="D334" i="8"/>
  <c r="E334" i="8"/>
  <c r="P161" i="7"/>
  <c r="Q161" i="7"/>
  <c r="T161" i="7"/>
  <c r="V161" i="7"/>
  <c r="D333" i="8"/>
  <c r="E333" i="8"/>
  <c r="P73" i="7"/>
  <c r="Q73" i="7"/>
  <c r="T73" i="7"/>
  <c r="V73" i="7"/>
  <c r="D332" i="8"/>
  <c r="E332" i="8"/>
  <c r="P485" i="7"/>
  <c r="Q485" i="7"/>
  <c r="T485" i="7"/>
  <c r="V485" i="7"/>
  <c r="D331" i="8"/>
  <c r="E331" i="8"/>
  <c r="P476" i="7"/>
  <c r="Q476" i="7"/>
  <c r="T476" i="7"/>
  <c r="V476" i="7"/>
  <c r="D330" i="8"/>
  <c r="E330" i="8"/>
  <c r="P257" i="7"/>
  <c r="Q257" i="7"/>
  <c r="T257" i="7"/>
  <c r="V257" i="7"/>
  <c r="D329" i="8"/>
  <c r="E329" i="8"/>
  <c r="P244" i="7"/>
  <c r="Q244" i="7"/>
  <c r="T244" i="7"/>
  <c r="V244" i="7"/>
  <c r="D328" i="8"/>
  <c r="E328" i="8"/>
  <c r="P298" i="7"/>
  <c r="Q298" i="7"/>
  <c r="T298" i="7"/>
  <c r="V298" i="7"/>
  <c r="D327" i="8"/>
  <c r="E327" i="8"/>
  <c r="P233" i="7"/>
  <c r="Q233" i="7"/>
  <c r="T233" i="7"/>
  <c r="V233" i="7"/>
  <c r="D326" i="8"/>
  <c r="E326" i="8"/>
  <c r="P215" i="7"/>
  <c r="Q215" i="7"/>
  <c r="T215" i="7"/>
  <c r="V215" i="7"/>
  <c r="D325" i="8"/>
  <c r="E325" i="8"/>
  <c r="P17" i="7"/>
  <c r="Q17" i="7"/>
  <c r="T17" i="7"/>
  <c r="V17" i="7"/>
  <c r="D324" i="8"/>
  <c r="E324" i="8"/>
  <c r="P197" i="7"/>
  <c r="Q197" i="7"/>
  <c r="T197" i="7"/>
  <c r="V197" i="7"/>
  <c r="D323" i="8"/>
  <c r="E323" i="8"/>
  <c r="P137" i="7"/>
  <c r="Q137" i="7"/>
  <c r="T137" i="7"/>
  <c r="V137" i="7"/>
  <c r="D322" i="8"/>
  <c r="E322" i="8"/>
  <c r="P110" i="7"/>
  <c r="Q110" i="7"/>
  <c r="T110" i="7"/>
  <c r="V110" i="7"/>
  <c r="D321" i="8"/>
  <c r="E321" i="8"/>
  <c r="P4" i="7"/>
  <c r="Q4" i="7"/>
  <c r="T4" i="7"/>
  <c r="V4" i="7"/>
  <c r="D320" i="8"/>
  <c r="E320" i="8"/>
  <c r="P491" i="7"/>
  <c r="Q491" i="7"/>
  <c r="T491" i="7"/>
  <c r="V491" i="7"/>
  <c r="D319" i="8"/>
  <c r="E319" i="8"/>
  <c r="P351" i="7"/>
  <c r="Q351" i="7"/>
  <c r="T351" i="7"/>
  <c r="V351" i="7"/>
  <c r="D318" i="8"/>
  <c r="E318" i="8"/>
  <c r="P308" i="7"/>
  <c r="Q308" i="7"/>
  <c r="T308" i="7"/>
  <c r="V308" i="7"/>
  <c r="D317" i="8"/>
  <c r="E317" i="8"/>
  <c r="P58" i="7"/>
  <c r="Q58" i="7"/>
  <c r="T58" i="7"/>
  <c r="V58" i="7"/>
  <c r="D316" i="8"/>
  <c r="E316" i="8"/>
  <c r="P497" i="7"/>
  <c r="Q497" i="7"/>
  <c r="T497" i="7"/>
  <c r="V497" i="7"/>
  <c r="D315" i="8"/>
  <c r="E315" i="8"/>
  <c r="P486" i="7"/>
  <c r="Q486" i="7"/>
  <c r="T486" i="7"/>
  <c r="V486" i="7"/>
  <c r="D314" i="8"/>
  <c r="E314" i="8"/>
  <c r="P72" i="7"/>
  <c r="Q72" i="7"/>
  <c r="T72" i="7"/>
  <c r="V72" i="7"/>
  <c r="D313" i="8"/>
  <c r="E313" i="8"/>
  <c r="P66" i="7"/>
  <c r="Q66" i="7"/>
  <c r="T66" i="7"/>
  <c r="V66" i="7"/>
  <c r="D312" i="8"/>
  <c r="E312" i="8"/>
  <c r="P444" i="7"/>
  <c r="Q444" i="7"/>
  <c r="T444" i="7"/>
  <c r="V444" i="7"/>
  <c r="D311" i="8"/>
  <c r="E311" i="8"/>
  <c r="P311" i="7"/>
  <c r="Q311" i="7"/>
  <c r="T311" i="7"/>
  <c r="V311" i="7"/>
  <c r="D310" i="8"/>
  <c r="E310" i="8"/>
  <c r="P289" i="7"/>
  <c r="Q289" i="7"/>
  <c r="T289" i="7"/>
  <c r="V289" i="7"/>
  <c r="D309" i="8"/>
  <c r="E309" i="8"/>
  <c r="P38" i="7"/>
  <c r="Q38" i="7"/>
  <c r="T38" i="7"/>
  <c r="V38" i="7"/>
  <c r="D308" i="8"/>
  <c r="E308" i="8"/>
  <c r="P477" i="7"/>
  <c r="Q477" i="7"/>
  <c r="T477" i="7"/>
  <c r="V477" i="7"/>
  <c r="D307" i="8"/>
  <c r="E307" i="8"/>
  <c r="P402" i="7"/>
  <c r="Q402" i="7"/>
  <c r="T402" i="7"/>
  <c r="V402" i="7"/>
  <c r="D306" i="8"/>
  <c r="E306" i="8"/>
  <c r="P193" i="7"/>
  <c r="Q193" i="7"/>
  <c r="T193" i="7"/>
  <c r="V193" i="7"/>
  <c r="D305" i="8"/>
  <c r="E305" i="8"/>
  <c r="P65" i="7"/>
  <c r="Q65" i="7"/>
  <c r="T65" i="7"/>
  <c r="V65" i="7"/>
  <c r="D304" i="8"/>
  <c r="E304" i="8"/>
  <c r="P325" i="7"/>
  <c r="Q325" i="7"/>
  <c r="T325" i="7"/>
  <c r="V325" i="7"/>
  <c r="D303" i="8"/>
  <c r="E303" i="8"/>
  <c r="P219" i="7"/>
  <c r="Q219" i="7"/>
  <c r="T219" i="7"/>
  <c r="V219" i="7"/>
  <c r="D302" i="8"/>
  <c r="E302" i="8"/>
  <c r="P163" i="7"/>
  <c r="Q163" i="7"/>
  <c r="T163" i="7"/>
  <c r="V163" i="7"/>
  <c r="D301" i="8"/>
  <c r="E301" i="8"/>
  <c r="P70" i="7"/>
  <c r="Q70" i="7"/>
  <c r="T70" i="7"/>
  <c r="V70" i="7"/>
  <c r="D300" i="8"/>
  <c r="E300" i="8"/>
  <c r="P361" i="7"/>
  <c r="Q361" i="7"/>
  <c r="T361" i="7"/>
  <c r="V361" i="7"/>
  <c r="D299" i="8"/>
  <c r="E299" i="8"/>
  <c r="P318" i="7"/>
  <c r="Q318" i="7"/>
  <c r="T318" i="7"/>
  <c r="V318" i="7"/>
  <c r="D298" i="8"/>
  <c r="E298" i="8"/>
  <c r="P303" i="7"/>
  <c r="Q303" i="7"/>
  <c r="T303" i="7"/>
  <c r="V303" i="7"/>
  <c r="D297" i="8"/>
  <c r="E297" i="8"/>
  <c r="P301" i="7"/>
  <c r="Q301" i="7"/>
  <c r="T301" i="7"/>
  <c r="V301" i="7"/>
  <c r="D296" i="8"/>
  <c r="E296" i="8"/>
  <c r="P405" i="7"/>
  <c r="Q405" i="7"/>
  <c r="T405" i="7"/>
  <c r="V405" i="7"/>
  <c r="D295" i="8"/>
  <c r="E295" i="8"/>
  <c r="P353" i="7"/>
  <c r="Q353" i="7"/>
  <c r="T353" i="7"/>
  <c r="V353" i="7"/>
  <c r="D294" i="8"/>
  <c r="E294" i="8"/>
  <c r="P285" i="7"/>
  <c r="Q285" i="7"/>
  <c r="T285" i="7"/>
  <c r="V285" i="7"/>
  <c r="D293" i="8"/>
  <c r="E293" i="8"/>
  <c r="P269" i="7"/>
  <c r="Q269" i="7"/>
  <c r="T269" i="7"/>
  <c r="V269" i="7"/>
  <c r="D292" i="8"/>
  <c r="E292" i="8"/>
  <c r="P454" i="7"/>
  <c r="Q454" i="7"/>
  <c r="T454" i="7"/>
  <c r="V454" i="7"/>
  <c r="D291" i="8"/>
  <c r="E291" i="8"/>
  <c r="P406" i="7"/>
  <c r="Q406" i="7"/>
  <c r="T406" i="7"/>
  <c r="V406" i="7"/>
  <c r="D290" i="8"/>
  <c r="E290" i="8"/>
  <c r="P396" i="7"/>
  <c r="Q396" i="7"/>
  <c r="T396" i="7"/>
  <c r="V396" i="7"/>
  <c r="D289" i="8"/>
  <c r="E289" i="8"/>
  <c r="P254" i="7"/>
  <c r="Q254" i="7"/>
  <c r="T254" i="7"/>
  <c r="V254" i="7"/>
  <c r="D288" i="8"/>
  <c r="E288" i="8"/>
  <c r="P443" i="7"/>
  <c r="Q443" i="7"/>
  <c r="T443" i="7"/>
  <c r="V443" i="7"/>
  <c r="D287" i="8"/>
  <c r="E287" i="8"/>
  <c r="P297" i="7"/>
  <c r="Q297" i="7"/>
  <c r="T297" i="7"/>
  <c r="V297" i="7"/>
  <c r="D286" i="8"/>
  <c r="E286" i="8"/>
  <c r="P201" i="7"/>
  <c r="Q201" i="7"/>
  <c r="T201" i="7"/>
  <c r="V201" i="7"/>
  <c r="D285" i="8"/>
  <c r="E285" i="8"/>
  <c r="P85" i="7"/>
  <c r="Q85" i="7"/>
  <c r="T85" i="7"/>
  <c r="V85" i="7"/>
  <c r="D284" i="8"/>
  <c r="E284" i="8"/>
  <c r="P430" i="7"/>
  <c r="Q430" i="7"/>
  <c r="T430" i="7"/>
  <c r="V430" i="7"/>
  <c r="D283" i="8"/>
  <c r="E283" i="8"/>
  <c r="P383" i="7"/>
  <c r="Q383" i="7"/>
  <c r="T383" i="7"/>
  <c r="V383" i="7"/>
  <c r="D282" i="8"/>
  <c r="E282" i="8"/>
  <c r="P170" i="7"/>
  <c r="Q170" i="7"/>
  <c r="T170" i="7"/>
  <c r="V170" i="7"/>
  <c r="D281" i="8"/>
  <c r="E281" i="8"/>
  <c r="P48" i="7"/>
  <c r="Q48" i="7"/>
  <c r="T48" i="7"/>
  <c r="V48" i="7"/>
  <c r="D280" i="8"/>
  <c r="E280" i="8"/>
  <c r="P451" i="7"/>
  <c r="Q451" i="7"/>
  <c r="T451" i="7"/>
  <c r="V451" i="7"/>
  <c r="D279" i="8"/>
  <c r="E279" i="8"/>
  <c r="P418" i="7"/>
  <c r="Q418" i="7"/>
  <c r="T418" i="7"/>
  <c r="V418" i="7"/>
  <c r="D278" i="8"/>
  <c r="E278" i="8"/>
  <c r="P312" i="7"/>
  <c r="Q312" i="7"/>
  <c r="T312" i="7"/>
  <c r="V312" i="7"/>
  <c r="D277" i="8"/>
  <c r="E277" i="8"/>
  <c r="P55" i="7"/>
  <c r="Q55" i="7"/>
  <c r="T55" i="7"/>
  <c r="V55" i="7"/>
  <c r="D276" i="8"/>
  <c r="E276" i="8"/>
  <c r="P388" i="7"/>
  <c r="Q388" i="7"/>
  <c r="T388" i="7"/>
  <c r="V388" i="7"/>
  <c r="D275" i="8"/>
  <c r="E275" i="8"/>
  <c r="P357" i="7"/>
  <c r="Q357" i="7"/>
  <c r="T357" i="7"/>
  <c r="V357" i="7"/>
  <c r="D274" i="8"/>
  <c r="E274" i="8"/>
  <c r="P99" i="7"/>
  <c r="Q99" i="7"/>
  <c r="T99" i="7"/>
  <c r="V99" i="7"/>
  <c r="D273" i="8"/>
  <c r="E273" i="8"/>
  <c r="P24" i="7"/>
  <c r="Q24" i="7"/>
  <c r="T24" i="7"/>
  <c r="V24" i="7"/>
  <c r="D272" i="8"/>
  <c r="E272" i="8"/>
  <c r="P464" i="7"/>
  <c r="Q464" i="7"/>
  <c r="T464" i="7"/>
  <c r="V464" i="7"/>
  <c r="D271" i="8"/>
  <c r="E271" i="8"/>
  <c r="P390" i="7"/>
  <c r="Q390" i="7"/>
  <c r="T390" i="7"/>
  <c r="V390" i="7"/>
  <c r="D270" i="8"/>
  <c r="E270" i="8"/>
  <c r="P349" i="7"/>
  <c r="Q349" i="7"/>
  <c r="T349" i="7"/>
  <c r="V349" i="7"/>
  <c r="D269" i="8"/>
  <c r="E269" i="8"/>
  <c r="P33" i="7"/>
  <c r="Q33" i="7"/>
  <c r="T33" i="7"/>
  <c r="V33" i="7"/>
  <c r="D268" i="8"/>
  <c r="E268" i="8"/>
  <c r="P435" i="7"/>
  <c r="Q435" i="7"/>
  <c r="T435" i="7"/>
  <c r="V435" i="7"/>
  <c r="D267" i="8"/>
  <c r="E267" i="8"/>
  <c r="P398" i="7"/>
  <c r="Q398" i="7"/>
  <c r="T398" i="7"/>
  <c r="V398" i="7"/>
  <c r="D266" i="8"/>
  <c r="E266" i="8"/>
  <c r="P330" i="7"/>
  <c r="Q330" i="7"/>
  <c r="T330" i="7"/>
  <c r="V330" i="7"/>
  <c r="D265" i="8"/>
  <c r="E265" i="8"/>
  <c r="P299" i="7"/>
  <c r="Q299" i="7"/>
  <c r="T299" i="7"/>
  <c r="V299" i="7"/>
  <c r="D264" i="8"/>
  <c r="E264" i="8"/>
  <c r="P488" i="7"/>
  <c r="Q488" i="7"/>
  <c r="T488" i="7"/>
  <c r="V488" i="7"/>
  <c r="D263" i="8"/>
  <c r="E263" i="8"/>
  <c r="P320" i="7"/>
  <c r="Q320" i="7"/>
  <c r="T320" i="7"/>
  <c r="V320" i="7"/>
  <c r="D262" i="8"/>
  <c r="E262" i="8"/>
  <c r="P217" i="7"/>
  <c r="Q217" i="7"/>
  <c r="T217" i="7"/>
  <c r="V217" i="7"/>
  <c r="D261" i="8"/>
  <c r="E261" i="8"/>
  <c r="P130" i="7"/>
  <c r="Q130" i="7"/>
  <c r="T130" i="7"/>
  <c r="V130" i="7"/>
  <c r="D260" i="8"/>
  <c r="E260" i="8"/>
  <c r="P463" i="7"/>
  <c r="Q463" i="7"/>
  <c r="T463" i="7"/>
  <c r="V463" i="7"/>
  <c r="D259" i="8"/>
  <c r="E259" i="8"/>
  <c r="P445" i="7"/>
  <c r="Q445" i="7"/>
  <c r="T445" i="7"/>
  <c r="V445" i="7"/>
  <c r="D258" i="8"/>
  <c r="E258" i="8"/>
  <c r="P220" i="7"/>
  <c r="Q220" i="7"/>
  <c r="T220" i="7"/>
  <c r="V220" i="7"/>
  <c r="D257" i="8"/>
  <c r="E257" i="8"/>
  <c r="P125" i="7"/>
  <c r="Q125" i="7"/>
  <c r="T125" i="7"/>
  <c r="V125" i="7"/>
  <c r="D256" i="8"/>
  <c r="E256" i="8"/>
  <c r="P420" i="7"/>
  <c r="Q420" i="7"/>
  <c r="T420" i="7"/>
  <c r="V420" i="7"/>
  <c r="D255" i="8"/>
  <c r="E255" i="8"/>
  <c r="P419" i="7"/>
  <c r="Q419" i="7"/>
  <c r="T419" i="7"/>
  <c r="V419" i="7"/>
  <c r="D254" i="8"/>
  <c r="E254" i="8"/>
  <c r="P172" i="7"/>
  <c r="Q172" i="7"/>
  <c r="T172" i="7"/>
  <c r="V172" i="7"/>
  <c r="D253" i="8"/>
  <c r="E253" i="8"/>
  <c r="P145" i="7"/>
  <c r="Q145" i="7"/>
  <c r="T145" i="7"/>
  <c r="V145" i="7"/>
  <c r="D252" i="8"/>
  <c r="E252" i="8"/>
  <c r="P439" i="7"/>
  <c r="Q439" i="7"/>
  <c r="T439" i="7"/>
  <c r="V439" i="7"/>
  <c r="D251" i="8"/>
  <c r="E251" i="8"/>
  <c r="P324" i="7"/>
  <c r="Q324" i="7"/>
  <c r="T324" i="7"/>
  <c r="V324" i="7"/>
  <c r="D250" i="8"/>
  <c r="E250" i="8"/>
  <c r="P146" i="7"/>
  <c r="Q146" i="7"/>
  <c r="T146" i="7"/>
  <c r="V146" i="7"/>
  <c r="D249" i="8"/>
  <c r="E249" i="8"/>
  <c r="P21" i="7"/>
  <c r="Q21" i="7"/>
  <c r="T21" i="7"/>
  <c r="V21" i="7"/>
  <c r="D248" i="8"/>
  <c r="E248" i="8"/>
  <c r="P450" i="7"/>
  <c r="Q450" i="7"/>
  <c r="T450" i="7"/>
  <c r="V450" i="7"/>
  <c r="D247" i="8"/>
  <c r="E247" i="8"/>
  <c r="P379" i="7"/>
  <c r="Q379" i="7"/>
  <c r="T379" i="7"/>
  <c r="V379" i="7"/>
  <c r="D246" i="8"/>
  <c r="E246" i="8"/>
  <c r="P265" i="7"/>
  <c r="Q265" i="7"/>
  <c r="T265" i="7"/>
  <c r="V265" i="7"/>
  <c r="D245" i="8"/>
  <c r="E245" i="8"/>
  <c r="P126" i="7"/>
  <c r="Q126" i="7"/>
  <c r="T126" i="7"/>
  <c r="V126" i="7"/>
  <c r="D244" i="8"/>
  <c r="E244" i="8"/>
  <c r="P370" i="7"/>
  <c r="Q370" i="7"/>
  <c r="T370" i="7"/>
  <c r="V370" i="7"/>
  <c r="D243" i="8"/>
  <c r="E243" i="8"/>
  <c r="P305" i="7"/>
  <c r="Q305" i="7"/>
  <c r="T305" i="7"/>
  <c r="V305" i="7"/>
  <c r="D242" i="8"/>
  <c r="E242" i="8"/>
  <c r="P61" i="7"/>
  <c r="Q61" i="7"/>
  <c r="T61" i="7"/>
  <c r="V61" i="7"/>
  <c r="D241" i="8"/>
  <c r="E241" i="8"/>
  <c r="P12" i="7"/>
  <c r="Q12" i="7"/>
  <c r="T12" i="7"/>
  <c r="V12" i="7"/>
  <c r="D240" i="8"/>
  <c r="E240" i="8"/>
  <c r="P194" i="7"/>
  <c r="Q194" i="7"/>
  <c r="T194" i="7"/>
  <c r="V194" i="7"/>
  <c r="D239" i="8"/>
  <c r="E239" i="8"/>
  <c r="P165" i="7"/>
  <c r="Q165" i="7"/>
  <c r="T165" i="7"/>
  <c r="V165" i="7"/>
  <c r="D238" i="8"/>
  <c r="E238" i="8"/>
  <c r="P151" i="7"/>
  <c r="Q151" i="7"/>
  <c r="T151" i="7"/>
  <c r="V151" i="7"/>
  <c r="D237" i="8"/>
  <c r="E237" i="8"/>
  <c r="P43" i="7"/>
  <c r="Q43" i="7"/>
  <c r="T43" i="7"/>
  <c r="V43" i="7"/>
  <c r="D236" i="8"/>
  <c r="E236" i="8"/>
  <c r="P295" i="7"/>
  <c r="Q295" i="7"/>
  <c r="T295" i="7"/>
  <c r="V295" i="7"/>
  <c r="D235" i="8"/>
  <c r="E235" i="8"/>
  <c r="P182" i="7"/>
  <c r="Q182" i="7"/>
  <c r="T182" i="7"/>
  <c r="V182" i="7"/>
  <c r="D234" i="8"/>
  <c r="E234" i="8"/>
  <c r="P98" i="7"/>
  <c r="Q98" i="7"/>
  <c r="T98" i="7"/>
  <c r="V98" i="7"/>
  <c r="D233" i="8"/>
  <c r="E233" i="8"/>
  <c r="P94" i="7"/>
  <c r="Q94" i="7"/>
  <c r="T94" i="7"/>
  <c r="V94" i="7"/>
  <c r="D232" i="8"/>
  <c r="E232" i="8"/>
  <c r="P468" i="7"/>
  <c r="Q468" i="7"/>
  <c r="T468" i="7"/>
  <c r="V468" i="7"/>
  <c r="D231" i="8"/>
  <c r="E231" i="8"/>
  <c r="P426" i="7"/>
  <c r="Q426" i="7"/>
  <c r="T426" i="7"/>
  <c r="V426" i="7"/>
  <c r="D230" i="8"/>
  <c r="E230" i="8"/>
  <c r="P240" i="7"/>
  <c r="Q240" i="7"/>
  <c r="T240" i="7"/>
  <c r="V240" i="7"/>
  <c r="D229" i="8"/>
  <c r="E229" i="8"/>
  <c r="P59" i="7"/>
  <c r="Q59" i="7"/>
  <c r="T59" i="7"/>
  <c r="V59" i="7"/>
  <c r="D228" i="8"/>
  <c r="E228" i="8"/>
  <c r="P410" i="7"/>
  <c r="Q410" i="7"/>
  <c r="T410" i="7"/>
  <c r="V410" i="7"/>
  <c r="D227" i="8"/>
  <c r="E227" i="8"/>
  <c r="P385" i="7"/>
  <c r="Q385" i="7"/>
  <c r="T385" i="7"/>
  <c r="V385" i="7"/>
  <c r="D226" i="8"/>
  <c r="E226" i="8"/>
  <c r="P274" i="7"/>
  <c r="Q274" i="7"/>
  <c r="T274" i="7"/>
  <c r="V274" i="7"/>
  <c r="D225" i="8"/>
  <c r="E225" i="8"/>
  <c r="P272" i="7"/>
  <c r="Q272" i="7"/>
  <c r="T272" i="7"/>
  <c r="V272" i="7"/>
  <c r="D224" i="8"/>
  <c r="E224" i="8"/>
  <c r="P234" i="7"/>
  <c r="Q234" i="7"/>
  <c r="T234" i="7"/>
  <c r="V234" i="7"/>
  <c r="D223" i="8"/>
  <c r="E223" i="8"/>
  <c r="P195" i="7"/>
  <c r="Q195" i="7"/>
  <c r="T195" i="7"/>
  <c r="V195" i="7"/>
  <c r="D222" i="8"/>
  <c r="E222" i="8"/>
  <c r="P140" i="7"/>
  <c r="Q140" i="7"/>
  <c r="T140" i="7"/>
  <c r="V140" i="7"/>
  <c r="D221" i="8"/>
  <c r="E221" i="8"/>
  <c r="P46" i="7"/>
  <c r="Q46" i="7"/>
  <c r="T46" i="7"/>
  <c r="V46" i="7"/>
  <c r="D220" i="8"/>
  <c r="E220" i="8"/>
  <c r="P494" i="7"/>
  <c r="Q494" i="7"/>
  <c r="T494" i="7"/>
  <c r="V494" i="7"/>
  <c r="D219" i="8"/>
  <c r="E219" i="8"/>
  <c r="P456" i="7"/>
  <c r="Q456" i="7"/>
  <c r="T456" i="7"/>
  <c r="V456" i="7"/>
  <c r="D218" i="8"/>
  <c r="E218" i="8"/>
  <c r="P306" i="7"/>
  <c r="Q306" i="7"/>
  <c r="T306" i="7"/>
  <c r="V306" i="7"/>
  <c r="D217" i="8"/>
  <c r="E217" i="8"/>
  <c r="P91" i="7"/>
  <c r="Q91" i="7"/>
  <c r="T91" i="7"/>
  <c r="V91" i="7"/>
  <c r="D216" i="8"/>
  <c r="E216" i="8"/>
  <c r="P359" i="7"/>
  <c r="Q359" i="7"/>
  <c r="T359" i="7"/>
  <c r="V359" i="7"/>
  <c r="D215" i="8"/>
  <c r="E215" i="8"/>
  <c r="P218" i="7"/>
  <c r="Q218" i="7"/>
  <c r="T218" i="7"/>
  <c r="V218" i="7"/>
  <c r="D214" i="8"/>
  <c r="E214" i="8"/>
  <c r="P209" i="7"/>
  <c r="Q209" i="7"/>
  <c r="T209" i="7"/>
  <c r="V209" i="7"/>
  <c r="D213" i="8"/>
  <c r="E213" i="8"/>
  <c r="P178" i="7"/>
  <c r="Q178" i="7"/>
  <c r="T178" i="7"/>
  <c r="V178" i="7"/>
  <c r="D212" i="8"/>
  <c r="E212" i="8"/>
  <c r="P368" i="7"/>
  <c r="Q368" i="7"/>
  <c r="T368" i="7"/>
  <c r="V368" i="7"/>
  <c r="D211" i="8"/>
  <c r="E211" i="8"/>
  <c r="P247" i="7"/>
  <c r="Q247" i="7"/>
  <c r="T247" i="7"/>
  <c r="V247" i="7"/>
  <c r="D210" i="8"/>
  <c r="E210" i="8"/>
  <c r="P223" i="7"/>
  <c r="Q223" i="7"/>
  <c r="T223" i="7"/>
  <c r="V223" i="7"/>
  <c r="D209" i="8"/>
  <c r="E209" i="8"/>
  <c r="P18" i="7"/>
  <c r="Q18" i="7"/>
  <c r="T18" i="7"/>
  <c r="V18" i="7"/>
  <c r="D208" i="8"/>
  <c r="E208" i="8"/>
  <c r="P423" i="7"/>
  <c r="Q423" i="7"/>
  <c r="T423" i="7"/>
  <c r="V423" i="7"/>
  <c r="D207" i="8"/>
  <c r="E207" i="8"/>
  <c r="P300" i="7"/>
  <c r="Q300" i="7"/>
  <c r="T300" i="7"/>
  <c r="V300" i="7"/>
  <c r="D206" i="8"/>
  <c r="E206" i="8"/>
  <c r="P162" i="7"/>
  <c r="Q162" i="7"/>
  <c r="T162" i="7"/>
  <c r="V162" i="7"/>
  <c r="D205" i="8"/>
  <c r="E205" i="8"/>
  <c r="P74" i="7"/>
  <c r="Q74" i="7"/>
  <c r="T74" i="7"/>
  <c r="V74" i="7"/>
  <c r="D204" i="8"/>
  <c r="E204" i="8"/>
  <c r="P441" i="7"/>
  <c r="Q441" i="7"/>
  <c r="T441" i="7"/>
  <c r="V441" i="7"/>
  <c r="D203" i="8"/>
  <c r="E203" i="8"/>
  <c r="P389" i="7"/>
  <c r="Q389" i="7"/>
  <c r="T389" i="7"/>
  <c r="V389" i="7"/>
  <c r="D202" i="8"/>
  <c r="E202" i="8"/>
  <c r="P304" i="7"/>
  <c r="Q304" i="7"/>
  <c r="T304" i="7"/>
  <c r="V304" i="7"/>
  <c r="D201" i="8"/>
  <c r="E201" i="8"/>
  <c r="P260" i="7"/>
  <c r="Q260" i="7"/>
  <c r="T260" i="7"/>
  <c r="V260" i="7"/>
  <c r="D200" i="8"/>
  <c r="E200" i="8"/>
  <c r="P467" i="7"/>
  <c r="Q467" i="7"/>
  <c r="T467" i="7"/>
  <c r="V467" i="7"/>
  <c r="D199" i="8"/>
  <c r="E199" i="8"/>
  <c r="P239" i="7"/>
  <c r="Q239" i="7"/>
  <c r="T239" i="7"/>
  <c r="V239" i="7"/>
  <c r="D198" i="8"/>
  <c r="E198" i="8"/>
  <c r="P144" i="7"/>
  <c r="Q144" i="7"/>
  <c r="T144" i="7"/>
  <c r="V144" i="7"/>
  <c r="D197" i="8"/>
  <c r="E197" i="8"/>
  <c r="P11" i="7"/>
  <c r="Q11" i="7"/>
  <c r="T11" i="7"/>
  <c r="V11" i="7"/>
  <c r="D196" i="8"/>
  <c r="E196" i="8"/>
  <c r="P275" i="7"/>
  <c r="Q275" i="7"/>
  <c r="T275" i="7"/>
  <c r="V275" i="7"/>
  <c r="D195" i="8"/>
  <c r="E195" i="8"/>
  <c r="P207" i="7"/>
  <c r="Q207" i="7"/>
  <c r="T207" i="7"/>
  <c r="V207" i="7"/>
  <c r="D194" i="8"/>
  <c r="E194" i="8"/>
  <c r="P202" i="7"/>
  <c r="Q202" i="7"/>
  <c r="T202" i="7"/>
  <c r="V202" i="7"/>
  <c r="D193" i="8"/>
  <c r="E193" i="8"/>
  <c r="P132" i="7"/>
  <c r="Q132" i="7"/>
  <c r="T132" i="7"/>
  <c r="V132" i="7"/>
  <c r="D192" i="8"/>
  <c r="E192" i="8"/>
  <c r="P192" i="7"/>
  <c r="Q192" i="7"/>
  <c r="T192" i="7"/>
  <c r="V192" i="7"/>
  <c r="D191" i="8"/>
  <c r="E191" i="8"/>
  <c r="P108" i="7"/>
  <c r="Q108" i="7"/>
  <c r="T108" i="7"/>
  <c r="V108" i="7"/>
  <c r="D190" i="8"/>
  <c r="E190" i="8"/>
  <c r="P95" i="7"/>
  <c r="Q95" i="7"/>
  <c r="T95" i="7"/>
  <c r="V95" i="7"/>
  <c r="D189" i="8"/>
  <c r="E189" i="8"/>
  <c r="P44" i="7"/>
  <c r="Q44" i="7"/>
  <c r="T44" i="7"/>
  <c r="V44" i="7"/>
  <c r="D188" i="8"/>
  <c r="E188" i="8"/>
  <c r="P474" i="7"/>
  <c r="Q474" i="7"/>
  <c r="T474" i="7"/>
  <c r="V474" i="7"/>
  <c r="D187" i="8"/>
  <c r="E187" i="8"/>
  <c r="P374" i="7"/>
  <c r="Q374" i="7"/>
  <c r="T374" i="7"/>
  <c r="V374" i="7"/>
  <c r="D186" i="8"/>
  <c r="E186" i="8"/>
  <c r="P364" i="7"/>
  <c r="Q364" i="7"/>
  <c r="T364" i="7"/>
  <c r="V364" i="7"/>
  <c r="D185" i="8"/>
  <c r="E185" i="8"/>
  <c r="P187" i="7"/>
  <c r="Q187" i="7"/>
  <c r="T187" i="7"/>
  <c r="V187" i="7"/>
  <c r="D184" i="8"/>
  <c r="E184" i="8"/>
  <c r="P461" i="7"/>
  <c r="Q461" i="7"/>
  <c r="T461" i="7"/>
  <c r="V461" i="7"/>
  <c r="D183" i="8"/>
  <c r="E183" i="8"/>
  <c r="P401" i="7"/>
  <c r="Q401" i="7"/>
  <c r="T401" i="7"/>
  <c r="V401" i="7"/>
  <c r="D182" i="8"/>
  <c r="E182" i="8"/>
  <c r="P231" i="7"/>
  <c r="Q231" i="7"/>
  <c r="T231" i="7"/>
  <c r="V231" i="7"/>
  <c r="D181" i="8"/>
  <c r="E181" i="8"/>
  <c r="P76" i="7"/>
  <c r="Q76" i="7"/>
  <c r="T76" i="7"/>
  <c r="V76" i="7"/>
  <c r="D180" i="8"/>
  <c r="E180" i="8"/>
  <c r="P458" i="7"/>
  <c r="Q458" i="7"/>
  <c r="T458" i="7"/>
  <c r="V458" i="7"/>
  <c r="D179" i="8"/>
  <c r="E179" i="8"/>
  <c r="P442" i="7"/>
  <c r="Q442" i="7"/>
  <c r="T442" i="7"/>
  <c r="V442" i="7"/>
  <c r="D178" i="8"/>
  <c r="E178" i="8"/>
  <c r="P376" i="7"/>
  <c r="Q376" i="7"/>
  <c r="T376" i="7"/>
  <c r="V376" i="7"/>
  <c r="D177" i="8"/>
  <c r="E177" i="8"/>
  <c r="P9" i="7"/>
  <c r="Q9" i="7"/>
  <c r="T9" i="7"/>
  <c r="V9" i="7"/>
  <c r="D176" i="8"/>
  <c r="E176" i="8"/>
  <c r="P310" i="7"/>
  <c r="Q310" i="7"/>
  <c r="T310" i="7"/>
  <c r="V310" i="7"/>
  <c r="D175" i="8"/>
  <c r="E175" i="8"/>
  <c r="P279" i="7"/>
  <c r="Q279" i="7"/>
  <c r="T279" i="7"/>
  <c r="V279" i="7"/>
  <c r="D174" i="8"/>
  <c r="E174" i="8"/>
  <c r="P210" i="7"/>
  <c r="Q210" i="7"/>
  <c r="T210" i="7"/>
  <c r="V210" i="7"/>
  <c r="D173" i="8"/>
  <c r="E173" i="8"/>
  <c r="P166" i="7"/>
  <c r="Q166" i="7"/>
  <c r="T166" i="7"/>
  <c r="V166" i="7"/>
  <c r="D172" i="8"/>
  <c r="E172" i="8"/>
  <c r="P475" i="7"/>
  <c r="Q475" i="7"/>
  <c r="T475" i="7"/>
  <c r="V475" i="7"/>
  <c r="D171" i="8"/>
  <c r="E171" i="8"/>
  <c r="P181" i="7"/>
  <c r="Q181" i="7"/>
  <c r="T181" i="7"/>
  <c r="V181" i="7"/>
  <c r="D170" i="8"/>
  <c r="E170" i="8"/>
  <c r="P148" i="7"/>
  <c r="Q148" i="7"/>
  <c r="T148" i="7"/>
  <c r="V148" i="7"/>
  <c r="D169" i="8"/>
  <c r="E169" i="8"/>
  <c r="P142" i="7"/>
  <c r="Q142" i="7"/>
  <c r="T142" i="7"/>
  <c r="V142" i="7"/>
  <c r="D168" i="8"/>
  <c r="E168" i="8"/>
  <c r="P479" i="7"/>
  <c r="Q479" i="7"/>
  <c r="T479" i="7"/>
  <c r="V479" i="7"/>
  <c r="D167" i="8"/>
  <c r="E167" i="8"/>
  <c r="P237" i="7"/>
  <c r="Q237" i="7"/>
  <c r="T237" i="7"/>
  <c r="V237" i="7"/>
  <c r="D166" i="8"/>
  <c r="E166" i="8"/>
  <c r="P42" i="7"/>
  <c r="Q42" i="7"/>
  <c r="T42" i="7"/>
  <c r="V42" i="7"/>
  <c r="D165" i="8"/>
  <c r="E165" i="8"/>
  <c r="P28" i="7"/>
  <c r="Q28" i="7"/>
  <c r="T28" i="7"/>
  <c r="V28" i="7"/>
  <c r="D164" i="8"/>
  <c r="E164" i="8"/>
  <c r="P314" i="7"/>
  <c r="Q314" i="7"/>
  <c r="T314" i="7"/>
  <c r="V314" i="7"/>
  <c r="D163" i="8"/>
  <c r="E163" i="8"/>
  <c r="P266" i="7"/>
  <c r="Q266" i="7"/>
  <c r="T266" i="7"/>
  <c r="V266" i="7"/>
  <c r="D162" i="8"/>
  <c r="E162" i="8"/>
  <c r="P227" i="7"/>
  <c r="Q227" i="7"/>
  <c r="T227" i="7"/>
  <c r="V227" i="7"/>
  <c r="D161" i="8"/>
  <c r="E161" i="8"/>
  <c r="P60" i="7"/>
  <c r="Q60" i="7"/>
  <c r="T60" i="7"/>
  <c r="V60" i="7"/>
  <c r="D160" i="8"/>
  <c r="E160" i="8"/>
  <c r="P462" i="7"/>
  <c r="Q462" i="7"/>
  <c r="T462" i="7"/>
  <c r="V462" i="7"/>
  <c r="D159" i="8"/>
  <c r="E159" i="8"/>
  <c r="P150" i="7"/>
  <c r="Q150" i="7"/>
  <c r="T150" i="7"/>
  <c r="V150" i="7"/>
  <c r="D158" i="8"/>
  <c r="E158" i="8"/>
  <c r="P71" i="7"/>
  <c r="Q71" i="7"/>
  <c r="T71" i="7"/>
  <c r="V71" i="7"/>
  <c r="D157" i="8"/>
  <c r="E157" i="8"/>
  <c r="P47" i="7"/>
  <c r="Q47" i="7"/>
  <c r="T47" i="7"/>
  <c r="V47" i="7"/>
  <c r="D156" i="8"/>
  <c r="E156" i="8"/>
  <c r="P404" i="7"/>
  <c r="Q404" i="7"/>
  <c r="T404" i="7"/>
  <c r="V404" i="7"/>
  <c r="D155" i="8"/>
  <c r="E155" i="8"/>
  <c r="P158" i="7"/>
  <c r="Q158" i="7"/>
  <c r="T158" i="7"/>
  <c r="V158" i="7"/>
  <c r="D154" i="8"/>
  <c r="E154" i="8"/>
  <c r="P112" i="7"/>
  <c r="Q112" i="7"/>
  <c r="T112" i="7"/>
  <c r="V112" i="7"/>
  <c r="D153" i="8"/>
  <c r="E153" i="8"/>
  <c r="P104" i="7"/>
  <c r="Q104" i="7"/>
  <c r="T104" i="7"/>
  <c r="V104" i="7"/>
  <c r="D152" i="8"/>
  <c r="E152" i="8"/>
  <c r="P399" i="7"/>
  <c r="Q399" i="7"/>
  <c r="T399" i="7"/>
  <c r="V399" i="7"/>
  <c r="D151" i="8"/>
  <c r="E151" i="8"/>
  <c r="P381" i="7"/>
  <c r="Q381" i="7"/>
  <c r="T381" i="7"/>
  <c r="V381" i="7"/>
  <c r="D150" i="8"/>
  <c r="E150" i="8"/>
  <c r="P294" i="7"/>
  <c r="Q294" i="7"/>
  <c r="T294" i="7"/>
  <c r="V294" i="7"/>
  <c r="D149" i="8"/>
  <c r="E149" i="8"/>
  <c r="P115" i="7"/>
  <c r="Q115" i="7"/>
  <c r="T115" i="7"/>
  <c r="V115" i="7"/>
  <c r="D148" i="8"/>
  <c r="E148" i="8"/>
  <c r="P482" i="7"/>
  <c r="Q482" i="7"/>
  <c r="T482" i="7"/>
  <c r="V482" i="7"/>
  <c r="D147" i="8"/>
  <c r="E147" i="8"/>
  <c r="P366" i="7"/>
  <c r="Q366" i="7"/>
  <c r="T366" i="7"/>
  <c r="V366" i="7"/>
  <c r="D146" i="8"/>
  <c r="E146" i="8"/>
  <c r="P342" i="7"/>
  <c r="Q342" i="7"/>
  <c r="T342" i="7"/>
  <c r="V342" i="7"/>
  <c r="D145" i="8"/>
  <c r="E145" i="8"/>
  <c r="P23" i="7"/>
  <c r="Q23" i="7"/>
  <c r="T23" i="7"/>
  <c r="V23" i="7"/>
  <c r="D144" i="8"/>
  <c r="E144" i="8"/>
  <c r="P380" i="7"/>
  <c r="Q380" i="7"/>
  <c r="T380" i="7"/>
  <c r="V380" i="7"/>
  <c r="D143" i="8"/>
  <c r="E143" i="8"/>
  <c r="P246" i="7"/>
  <c r="Q246" i="7"/>
  <c r="T246" i="7"/>
  <c r="V246" i="7"/>
  <c r="D142" i="8"/>
  <c r="E142" i="8"/>
  <c r="P133" i="7"/>
  <c r="Q133" i="7"/>
  <c r="T133" i="7"/>
  <c r="V133" i="7"/>
  <c r="D141" i="8"/>
  <c r="E141" i="8"/>
  <c r="P75" i="7"/>
  <c r="Q75" i="7"/>
  <c r="T75" i="7"/>
  <c r="V75" i="7"/>
  <c r="D140" i="8"/>
  <c r="E140" i="8"/>
  <c r="P489" i="7"/>
  <c r="Q489" i="7"/>
  <c r="T489" i="7"/>
  <c r="V489" i="7"/>
  <c r="D139" i="8"/>
  <c r="E139" i="8"/>
  <c r="P92" i="7"/>
  <c r="Q92" i="7"/>
  <c r="T92" i="7"/>
  <c r="V92" i="7"/>
  <c r="D138" i="8"/>
  <c r="E138" i="8"/>
  <c r="P49" i="7"/>
  <c r="Q49" i="7"/>
  <c r="T49" i="7"/>
  <c r="V49" i="7"/>
  <c r="D137" i="8"/>
  <c r="E137" i="8"/>
  <c r="P45" i="7"/>
  <c r="Q45" i="7"/>
  <c r="T45" i="7"/>
  <c r="V45" i="7"/>
  <c r="D136" i="8"/>
  <c r="E136" i="8"/>
  <c r="P455" i="7"/>
  <c r="Q455" i="7"/>
  <c r="T455" i="7"/>
  <c r="V455" i="7"/>
  <c r="D135" i="8"/>
  <c r="E135" i="8"/>
  <c r="P346" i="7"/>
  <c r="Q346" i="7"/>
  <c r="T346" i="7"/>
  <c r="V346" i="7"/>
  <c r="D134" i="8"/>
  <c r="E134" i="8"/>
  <c r="P232" i="7"/>
  <c r="Q232" i="7"/>
  <c r="T232" i="7"/>
  <c r="V232" i="7"/>
  <c r="D133" i="8"/>
  <c r="E133" i="8"/>
  <c r="P179" i="7"/>
  <c r="Q179" i="7"/>
  <c r="T179" i="7"/>
  <c r="V179" i="7"/>
  <c r="D132" i="8"/>
  <c r="E132" i="8"/>
  <c r="P492" i="7"/>
  <c r="Q492" i="7"/>
  <c r="T492" i="7"/>
  <c r="V492" i="7"/>
  <c r="D131" i="8"/>
  <c r="E131" i="8"/>
  <c r="P188" i="7"/>
  <c r="Q188" i="7"/>
  <c r="T188" i="7"/>
  <c r="V188" i="7"/>
  <c r="D130" i="8"/>
  <c r="E130" i="8"/>
  <c r="P122" i="7"/>
  <c r="Q122" i="7"/>
  <c r="T122" i="7"/>
  <c r="V122" i="7"/>
  <c r="D129" i="8"/>
  <c r="E129" i="8"/>
  <c r="P62" i="7"/>
  <c r="Q62" i="7"/>
  <c r="T62" i="7"/>
  <c r="V62" i="7"/>
  <c r="D128" i="8"/>
  <c r="E128" i="8"/>
  <c r="P424" i="7"/>
  <c r="Q424" i="7"/>
  <c r="T424" i="7"/>
  <c r="V424" i="7"/>
  <c r="D127" i="8"/>
  <c r="E127" i="8"/>
  <c r="P206" i="7"/>
  <c r="Q206" i="7"/>
  <c r="T206" i="7"/>
  <c r="V206" i="7"/>
  <c r="D126" i="8"/>
  <c r="E126" i="8"/>
  <c r="P103" i="7"/>
  <c r="Q103" i="7"/>
  <c r="T103" i="7"/>
  <c r="V103" i="7"/>
  <c r="D125" i="8"/>
  <c r="E125" i="8"/>
  <c r="P64" i="7"/>
  <c r="Q64" i="7"/>
  <c r="T64" i="7"/>
  <c r="V64" i="7"/>
  <c r="D124" i="8"/>
  <c r="E124" i="8"/>
  <c r="P460" i="7"/>
  <c r="Q460" i="7"/>
  <c r="T460" i="7"/>
  <c r="V460" i="7"/>
  <c r="D123" i="8"/>
  <c r="E123" i="8"/>
  <c r="P345" i="7"/>
  <c r="Q345" i="7"/>
  <c r="T345" i="7"/>
  <c r="V345" i="7"/>
  <c r="D122" i="8"/>
  <c r="E122" i="8"/>
  <c r="P224" i="7"/>
  <c r="Q224" i="7"/>
  <c r="T224" i="7"/>
  <c r="V224" i="7"/>
  <c r="D121" i="8"/>
  <c r="E121" i="8"/>
  <c r="P26" i="7"/>
  <c r="Q26" i="7"/>
  <c r="T26" i="7"/>
  <c r="V26" i="7"/>
  <c r="D120" i="8"/>
  <c r="E120" i="8"/>
  <c r="P493" i="7"/>
  <c r="Q493" i="7"/>
  <c r="T493" i="7"/>
  <c r="V493" i="7"/>
  <c r="D119" i="8"/>
  <c r="E119" i="8"/>
  <c r="P452" i="7"/>
  <c r="Q452" i="7"/>
  <c r="T452" i="7"/>
  <c r="V452" i="7"/>
  <c r="D118" i="8"/>
  <c r="E118" i="8"/>
  <c r="P372" i="7"/>
  <c r="Q372" i="7"/>
  <c r="T372" i="7"/>
  <c r="V372" i="7"/>
  <c r="D117" i="8"/>
  <c r="E117" i="8"/>
  <c r="P147" i="7"/>
  <c r="Q147" i="7"/>
  <c r="T147" i="7"/>
  <c r="V147" i="7"/>
  <c r="D116" i="8"/>
  <c r="E116" i="8"/>
  <c r="P328" i="7"/>
  <c r="Q328" i="7"/>
  <c r="T328" i="7"/>
  <c r="V328" i="7"/>
  <c r="D115" i="8"/>
  <c r="E115" i="8"/>
  <c r="P155" i="7"/>
  <c r="Q155" i="7"/>
  <c r="T155" i="7"/>
  <c r="V155" i="7"/>
  <c r="D114" i="8"/>
  <c r="E114" i="8"/>
  <c r="P68" i="7"/>
  <c r="Q68" i="7"/>
  <c r="T68" i="7"/>
  <c r="V68" i="7"/>
  <c r="D113" i="8"/>
  <c r="E113" i="8"/>
  <c r="P35" i="7"/>
  <c r="Q35" i="7"/>
  <c r="T35" i="7"/>
  <c r="V35" i="7"/>
  <c r="D112" i="8"/>
  <c r="E112" i="8"/>
  <c r="P446" i="7"/>
  <c r="Q446" i="7"/>
  <c r="T446" i="7"/>
  <c r="V446" i="7"/>
  <c r="D111" i="8"/>
  <c r="E111" i="8"/>
  <c r="P437" i="7"/>
  <c r="Q437" i="7"/>
  <c r="T437" i="7"/>
  <c r="V437" i="7"/>
  <c r="D110" i="8"/>
  <c r="E110" i="8"/>
  <c r="P277" i="7"/>
  <c r="Q277" i="7"/>
  <c r="T277" i="7"/>
  <c r="V277" i="7"/>
  <c r="D109" i="8"/>
  <c r="E109" i="8"/>
  <c r="P69" i="7"/>
  <c r="Q69" i="7"/>
  <c r="T69" i="7"/>
  <c r="V69" i="7"/>
  <c r="D108" i="8"/>
  <c r="E108" i="8"/>
  <c r="P336" i="7"/>
  <c r="Q336" i="7"/>
  <c r="T336" i="7"/>
  <c r="V336" i="7"/>
  <c r="D107" i="8"/>
  <c r="E107" i="8"/>
  <c r="P221" i="7"/>
  <c r="Q221" i="7"/>
  <c r="T221" i="7"/>
  <c r="V221" i="7"/>
  <c r="D106" i="8"/>
  <c r="E106" i="8"/>
  <c r="P106" i="7"/>
  <c r="Q106" i="7"/>
  <c r="T106" i="7"/>
  <c r="V106" i="7"/>
  <c r="D105" i="8"/>
  <c r="E105" i="8"/>
  <c r="P89" i="7"/>
  <c r="Q89" i="7"/>
  <c r="T89" i="7"/>
  <c r="V89" i="7"/>
  <c r="D104" i="8"/>
  <c r="E104" i="8"/>
  <c r="P469" i="7"/>
  <c r="Q469" i="7"/>
  <c r="T469" i="7"/>
  <c r="V469" i="7"/>
  <c r="D103" i="8"/>
  <c r="E103" i="8"/>
  <c r="P391" i="7"/>
  <c r="Q391" i="7"/>
  <c r="T391" i="7"/>
  <c r="V391" i="7"/>
  <c r="D102" i="8"/>
  <c r="E102" i="8"/>
  <c r="P236" i="7"/>
  <c r="Q236" i="7"/>
  <c r="T236" i="7"/>
  <c r="V236" i="7"/>
  <c r="D101" i="8"/>
  <c r="E101" i="8"/>
  <c r="P199" i="7"/>
  <c r="Q199" i="7"/>
  <c r="T199" i="7"/>
  <c r="V199" i="7"/>
  <c r="D100" i="8"/>
  <c r="E100" i="8"/>
  <c r="P296" i="7"/>
  <c r="Q296" i="7"/>
  <c r="T296" i="7"/>
  <c r="V296" i="7"/>
  <c r="D99" i="8"/>
  <c r="E99" i="8"/>
  <c r="P281" i="7"/>
  <c r="Q281" i="7"/>
  <c r="T281" i="7"/>
  <c r="V281" i="7"/>
  <c r="D98" i="8"/>
  <c r="E98" i="8"/>
  <c r="P280" i="7"/>
  <c r="Q280" i="7"/>
  <c r="T280" i="7"/>
  <c r="V280" i="7"/>
  <c r="D97" i="8"/>
  <c r="E97" i="8"/>
  <c r="P228" i="7"/>
  <c r="Q228" i="7"/>
  <c r="T228" i="7"/>
  <c r="V228" i="7"/>
  <c r="D96" i="8"/>
  <c r="E96" i="8"/>
  <c r="P362" i="7"/>
  <c r="Q362" i="7"/>
  <c r="T362" i="7"/>
  <c r="V362" i="7"/>
  <c r="D95" i="8"/>
  <c r="E95" i="8"/>
  <c r="P348" i="7"/>
  <c r="Q348" i="7"/>
  <c r="T348" i="7"/>
  <c r="V348" i="7"/>
  <c r="D94" i="8"/>
  <c r="E94" i="8"/>
  <c r="P245" i="7"/>
  <c r="Q245" i="7"/>
  <c r="T245" i="7"/>
  <c r="V245" i="7"/>
  <c r="D93" i="8"/>
  <c r="E93" i="8"/>
  <c r="P242" i="7"/>
  <c r="Q242" i="7"/>
  <c r="T242" i="7"/>
  <c r="V242" i="7"/>
  <c r="D92" i="8"/>
  <c r="E92" i="8"/>
  <c r="P417" i="7"/>
  <c r="Q417" i="7"/>
  <c r="T417" i="7"/>
  <c r="V417" i="7"/>
  <c r="D91" i="8"/>
  <c r="E91" i="8"/>
  <c r="P283" i="7"/>
  <c r="Q283" i="7"/>
  <c r="T283" i="7"/>
  <c r="V283" i="7"/>
  <c r="D90" i="8"/>
  <c r="E90" i="8"/>
  <c r="P171" i="7"/>
  <c r="Q171" i="7"/>
  <c r="T171" i="7"/>
  <c r="V171" i="7"/>
  <c r="D89" i="8"/>
  <c r="E89" i="8"/>
  <c r="P114" i="7"/>
  <c r="Q114" i="7"/>
  <c r="T114" i="7"/>
  <c r="V114" i="7"/>
  <c r="D88" i="8"/>
  <c r="E88" i="8"/>
  <c r="P498" i="7"/>
  <c r="Q498" i="7"/>
  <c r="T498" i="7"/>
  <c r="V498" i="7"/>
  <c r="D87" i="8"/>
  <c r="E87" i="8"/>
  <c r="P480" i="7"/>
  <c r="Q480" i="7"/>
  <c r="T480" i="7"/>
  <c r="V480" i="7"/>
  <c r="D86" i="8"/>
  <c r="E86" i="8"/>
  <c r="P329" i="7"/>
  <c r="Q329" i="7"/>
  <c r="T329" i="7"/>
  <c r="V329" i="7"/>
  <c r="D85" i="8"/>
  <c r="E85" i="8"/>
  <c r="P191" i="7"/>
  <c r="Q191" i="7"/>
  <c r="T191" i="7"/>
  <c r="V191" i="7"/>
  <c r="D84" i="8"/>
  <c r="E84" i="8"/>
  <c r="P416" i="7"/>
  <c r="Q416" i="7"/>
  <c r="T416" i="7"/>
  <c r="V416" i="7"/>
  <c r="D83" i="8"/>
  <c r="E83" i="8"/>
  <c r="P363" i="7"/>
  <c r="Q363" i="7"/>
  <c r="T363" i="7"/>
  <c r="V363" i="7"/>
  <c r="D82" i="8"/>
  <c r="E82" i="8"/>
  <c r="P333" i="7"/>
  <c r="Q333" i="7"/>
  <c r="T333" i="7"/>
  <c r="V333" i="7"/>
  <c r="D81" i="8"/>
  <c r="E81" i="8"/>
  <c r="P177" i="7"/>
  <c r="Q177" i="7"/>
  <c r="T177" i="7"/>
  <c r="V177" i="7"/>
  <c r="D80" i="8"/>
  <c r="E80" i="8"/>
  <c r="P352" i="7"/>
  <c r="Q352" i="7"/>
  <c r="T352" i="7"/>
  <c r="V352" i="7"/>
  <c r="D79" i="8"/>
  <c r="E79" i="8"/>
  <c r="P321" i="7"/>
  <c r="Q321" i="7"/>
  <c r="T321" i="7"/>
  <c r="V321" i="7"/>
  <c r="D78" i="8"/>
  <c r="E78" i="8"/>
  <c r="P268" i="7"/>
  <c r="Q268" i="7"/>
  <c r="T268" i="7"/>
  <c r="V268" i="7"/>
  <c r="D77" i="8"/>
  <c r="E77" i="8"/>
  <c r="P204" i="7"/>
  <c r="Q204" i="7"/>
  <c r="T204" i="7"/>
  <c r="V204" i="7"/>
  <c r="D76" i="8"/>
  <c r="E76" i="8"/>
  <c r="P309" i="7"/>
  <c r="Q309" i="7"/>
  <c r="T309" i="7"/>
  <c r="V309" i="7"/>
  <c r="D75" i="8"/>
  <c r="E75" i="8"/>
  <c r="P250" i="7"/>
  <c r="Q250" i="7"/>
  <c r="T250" i="7"/>
  <c r="V250" i="7"/>
  <c r="D74" i="8"/>
  <c r="E74" i="8"/>
  <c r="P196" i="7"/>
  <c r="Q196" i="7"/>
  <c r="T196" i="7"/>
  <c r="V196" i="7"/>
  <c r="D73" i="8"/>
  <c r="E73" i="8"/>
  <c r="P107" i="7"/>
  <c r="Q107" i="7"/>
  <c r="T107" i="7"/>
  <c r="V107" i="7"/>
  <c r="D72" i="8"/>
  <c r="E72" i="8"/>
  <c r="P459" i="7"/>
  <c r="Q459" i="7"/>
  <c r="T459" i="7"/>
  <c r="V459" i="7"/>
  <c r="D71" i="8"/>
  <c r="E71" i="8"/>
  <c r="P334" i="7"/>
  <c r="Q334" i="7"/>
  <c r="T334" i="7"/>
  <c r="V334" i="7"/>
  <c r="D70" i="8"/>
  <c r="E70" i="8"/>
  <c r="P156" i="7"/>
  <c r="Q156" i="7"/>
  <c r="T156" i="7"/>
  <c r="V156" i="7"/>
  <c r="D69" i="8"/>
  <c r="E69" i="8"/>
  <c r="P53" i="7"/>
  <c r="Q53" i="7"/>
  <c r="T53" i="7"/>
  <c r="V53" i="7"/>
  <c r="D68" i="8"/>
  <c r="E68" i="8"/>
  <c r="P313" i="7"/>
  <c r="Q313" i="7"/>
  <c r="T313" i="7"/>
  <c r="V313" i="7"/>
  <c r="D67" i="8"/>
  <c r="E67" i="8"/>
  <c r="P160" i="7"/>
  <c r="Q160" i="7"/>
  <c r="T160" i="7"/>
  <c r="V160" i="7"/>
  <c r="D66" i="8"/>
  <c r="E66" i="8"/>
  <c r="P129" i="7"/>
  <c r="Q129" i="7"/>
  <c r="T129" i="7"/>
  <c r="V129" i="7"/>
  <c r="D65" i="8"/>
  <c r="E65" i="8"/>
  <c r="P25" i="7"/>
  <c r="Q25" i="7"/>
  <c r="T25" i="7"/>
  <c r="V25" i="7"/>
  <c r="D64" i="8"/>
  <c r="E64" i="8"/>
  <c r="P422" i="7"/>
  <c r="Q422" i="7"/>
  <c r="T422" i="7"/>
  <c r="V422" i="7"/>
  <c r="D63" i="8"/>
  <c r="E63" i="8"/>
  <c r="P394" i="7"/>
  <c r="Q394" i="7"/>
  <c r="T394" i="7"/>
  <c r="V394" i="7"/>
  <c r="D62" i="8"/>
  <c r="E62" i="8"/>
  <c r="P79" i="7"/>
  <c r="Q79" i="7"/>
  <c r="T79" i="7"/>
  <c r="V79" i="7"/>
  <c r="D61" i="8"/>
  <c r="E61" i="8"/>
  <c r="P31" i="7"/>
  <c r="Q31" i="7"/>
  <c r="T31" i="7"/>
  <c r="V31" i="7"/>
  <c r="D60" i="8"/>
  <c r="E60" i="8"/>
  <c r="P271" i="7"/>
  <c r="Q271" i="7"/>
  <c r="T271" i="7"/>
  <c r="V271" i="7"/>
  <c r="D59" i="8"/>
  <c r="E59" i="8"/>
  <c r="P189" i="7"/>
  <c r="Q189" i="7"/>
  <c r="T189" i="7"/>
  <c r="V189" i="7"/>
  <c r="D58" i="8"/>
  <c r="E58" i="8"/>
  <c r="P167" i="7"/>
  <c r="Q167" i="7"/>
  <c r="T167" i="7"/>
  <c r="V167" i="7"/>
  <c r="D57" i="8"/>
  <c r="E57" i="8"/>
  <c r="P128" i="7"/>
  <c r="Q128" i="7"/>
  <c r="T128" i="7"/>
  <c r="V128" i="7"/>
  <c r="D56" i="8"/>
  <c r="E56" i="8"/>
  <c r="P440" i="7"/>
  <c r="Q440" i="7"/>
  <c r="T440" i="7"/>
  <c r="V440" i="7"/>
  <c r="D55" i="8"/>
  <c r="E55" i="8"/>
  <c r="P400" i="7"/>
  <c r="Q400" i="7"/>
  <c r="T400" i="7"/>
  <c r="V400" i="7"/>
  <c r="D54" i="8"/>
  <c r="E54" i="8"/>
  <c r="P288" i="7"/>
  <c r="Q288" i="7"/>
  <c r="T288" i="7"/>
  <c r="V288" i="7"/>
  <c r="D53" i="8"/>
  <c r="E53" i="8"/>
  <c r="P141" i="7"/>
  <c r="Q141" i="7"/>
  <c r="T141" i="7"/>
  <c r="V141" i="7"/>
  <c r="D52" i="8"/>
  <c r="E52" i="8"/>
  <c r="P428" i="7"/>
  <c r="Q428" i="7"/>
  <c r="T428" i="7"/>
  <c r="V428" i="7"/>
  <c r="D51" i="8"/>
  <c r="E51" i="8"/>
  <c r="P216" i="7"/>
  <c r="Q216" i="7"/>
  <c r="T216" i="7"/>
  <c r="V216" i="7"/>
  <c r="D50" i="8"/>
  <c r="E50" i="8"/>
  <c r="P153" i="7"/>
  <c r="Q153" i="7"/>
  <c r="T153" i="7"/>
  <c r="V153" i="7"/>
  <c r="D49" i="8"/>
  <c r="E49" i="8"/>
  <c r="P134" i="7"/>
  <c r="Q134" i="7"/>
  <c r="T134" i="7"/>
  <c r="V134" i="7"/>
  <c r="D48" i="8"/>
  <c r="E48" i="8"/>
  <c r="P355" i="7"/>
  <c r="Q355" i="7"/>
  <c r="T355" i="7"/>
  <c r="V355" i="7"/>
  <c r="D47" i="8"/>
  <c r="E47" i="8"/>
  <c r="P131" i="7"/>
  <c r="Q131" i="7"/>
  <c r="T131" i="7"/>
  <c r="V131" i="7"/>
  <c r="D46" i="8"/>
  <c r="E46" i="8"/>
  <c r="P120" i="7"/>
  <c r="Q120" i="7"/>
  <c r="T120" i="7"/>
  <c r="V120" i="7"/>
  <c r="D45" i="8"/>
  <c r="E45" i="8"/>
  <c r="P19" i="7"/>
  <c r="Q19" i="7"/>
  <c r="T19" i="7"/>
  <c r="V19" i="7"/>
  <c r="D44" i="8"/>
  <c r="E44" i="8"/>
  <c r="P343" i="7"/>
  <c r="Q343" i="7"/>
  <c r="T343" i="7"/>
  <c r="V343" i="7"/>
  <c r="D43" i="8"/>
  <c r="E43" i="8"/>
  <c r="P292" i="7"/>
  <c r="Q292" i="7"/>
  <c r="T292" i="7"/>
  <c r="V292" i="7"/>
  <c r="D42" i="8"/>
  <c r="E42" i="8"/>
  <c r="P175" i="7"/>
  <c r="Q175" i="7"/>
  <c r="T175" i="7"/>
  <c r="V175" i="7"/>
  <c r="D41" i="8"/>
  <c r="E41" i="8"/>
  <c r="P123" i="7"/>
  <c r="Q123" i="7"/>
  <c r="T123" i="7"/>
  <c r="V123" i="7"/>
  <c r="D40" i="8"/>
  <c r="E40" i="8"/>
  <c r="P375" i="7"/>
  <c r="Q375" i="7"/>
  <c r="T375" i="7"/>
  <c r="V375" i="7"/>
  <c r="D39" i="8"/>
  <c r="E39" i="8"/>
  <c r="P225" i="7"/>
  <c r="Q225" i="7"/>
  <c r="T225" i="7"/>
  <c r="V225" i="7"/>
  <c r="D38" i="8"/>
  <c r="E38" i="8"/>
  <c r="P186" i="7"/>
  <c r="Q186" i="7"/>
  <c r="T186" i="7"/>
  <c r="V186" i="7"/>
  <c r="D37" i="8"/>
  <c r="E37" i="8"/>
  <c r="P117" i="7"/>
  <c r="Q117" i="7"/>
  <c r="T117" i="7"/>
  <c r="V117" i="7"/>
  <c r="D36" i="8"/>
  <c r="E36" i="8"/>
  <c r="P481" i="7"/>
  <c r="Q481" i="7"/>
  <c r="T481" i="7"/>
  <c r="V481" i="7"/>
  <c r="D35" i="8"/>
  <c r="E35" i="8"/>
  <c r="P273" i="7"/>
  <c r="Q273" i="7"/>
  <c r="T273" i="7"/>
  <c r="V273" i="7"/>
  <c r="D34" i="8"/>
  <c r="E34" i="8"/>
  <c r="P270" i="7"/>
  <c r="Q270" i="7"/>
  <c r="T270" i="7"/>
  <c r="V270" i="7"/>
  <c r="D33" i="8"/>
  <c r="E33" i="8"/>
  <c r="P41" i="7"/>
  <c r="Q41" i="7"/>
  <c r="T41" i="7"/>
  <c r="V41" i="7"/>
  <c r="D32" i="8"/>
  <c r="E32" i="8"/>
  <c r="P429" i="7"/>
  <c r="Q429" i="7"/>
  <c r="T429" i="7"/>
  <c r="V429" i="7"/>
  <c r="D31" i="8"/>
  <c r="E31" i="8"/>
  <c r="P395" i="7"/>
  <c r="Q395" i="7"/>
  <c r="T395" i="7"/>
  <c r="V395" i="7"/>
  <c r="D30" i="8"/>
  <c r="E30" i="8"/>
  <c r="P138" i="7"/>
  <c r="Q138" i="7"/>
  <c r="T138" i="7"/>
  <c r="V138" i="7"/>
  <c r="D29" i="8"/>
  <c r="E29" i="8"/>
  <c r="P30" i="7"/>
  <c r="Q30" i="7"/>
  <c r="T30" i="7"/>
  <c r="V30" i="7"/>
  <c r="D28" i="8"/>
  <c r="E28" i="8"/>
  <c r="P490" i="7"/>
  <c r="Q490" i="7"/>
  <c r="T490" i="7"/>
  <c r="V490" i="7"/>
  <c r="D27" i="8"/>
  <c r="E27" i="8"/>
  <c r="P263" i="7"/>
  <c r="Q263" i="7"/>
  <c r="T263" i="7"/>
  <c r="V263" i="7"/>
  <c r="D26" i="8"/>
  <c r="E26" i="8"/>
  <c r="P200" i="7"/>
  <c r="Q200" i="7"/>
  <c r="T200" i="7"/>
  <c r="V200" i="7"/>
  <c r="D25" i="8"/>
  <c r="E25" i="8"/>
  <c r="P88" i="7"/>
  <c r="Q88" i="7"/>
  <c r="T88" i="7"/>
  <c r="V88" i="7"/>
  <c r="D24" i="8"/>
  <c r="E24" i="8"/>
  <c r="P471" i="7"/>
  <c r="Q471" i="7"/>
  <c r="T471" i="7"/>
  <c r="V471" i="7"/>
  <c r="D23" i="8"/>
  <c r="E23" i="8"/>
  <c r="P427" i="7"/>
  <c r="Q427" i="7"/>
  <c r="T427" i="7"/>
  <c r="V427" i="7"/>
  <c r="D22" i="8"/>
  <c r="E22" i="8"/>
  <c r="P226" i="7"/>
  <c r="Q226" i="7"/>
  <c r="T226" i="7"/>
  <c r="V226" i="7"/>
  <c r="D21" i="8"/>
  <c r="E21" i="8"/>
  <c r="P173" i="7"/>
  <c r="Q173" i="7"/>
  <c r="T173" i="7"/>
  <c r="V173" i="7"/>
  <c r="D20" i="8"/>
  <c r="E20" i="8"/>
  <c r="P466" i="7"/>
  <c r="Q466" i="7"/>
  <c r="T466" i="7"/>
  <c r="V466" i="7"/>
  <c r="D19" i="8"/>
  <c r="E19" i="8"/>
  <c r="P432" i="7"/>
  <c r="Q432" i="7"/>
  <c r="T432" i="7"/>
  <c r="V432" i="7"/>
  <c r="D18" i="8"/>
  <c r="E18" i="8"/>
  <c r="P392" i="7"/>
  <c r="Q392" i="7"/>
  <c r="T392" i="7"/>
  <c r="V392" i="7"/>
  <c r="D17" i="8"/>
  <c r="E17" i="8"/>
  <c r="P338" i="7"/>
  <c r="Q338" i="7"/>
  <c r="T338" i="7"/>
  <c r="V338" i="7"/>
  <c r="D16" i="8"/>
  <c r="E16" i="8"/>
  <c r="P403" i="7"/>
  <c r="Q403" i="7"/>
  <c r="T403" i="7"/>
  <c r="V403" i="7"/>
  <c r="D15" i="8"/>
  <c r="E15" i="8"/>
  <c r="P262" i="7"/>
  <c r="Q262" i="7"/>
  <c r="T262" i="7"/>
  <c r="V262" i="7"/>
  <c r="D14" i="8"/>
  <c r="E14" i="8"/>
  <c r="P159" i="7"/>
  <c r="Q159" i="7"/>
  <c r="T159" i="7"/>
  <c r="V159" i="7"/>
  <c r="D13" i="8"/>
  <c r="E13" i="8"/>
  <c r="P157" i="7"/>
  <c r="Q157" i="7"/>
  <c r="T157" i="7"/>
  <c r="V157" i="7"/>
  <c r="D12" i="8"/>
  <c r="E12" i="8"/>
  <c r="P382" i="7"/>
  <c r="Q382" i="7"/>
  <c r="T382" i="7"/>
  <c r="V382" i="7"/>
  <c r="D11" i="8"/>
  <c r="E11" i="8"/>
  <c r="P365" i="7"/>
  <c r="Q365" i="7"/>
  <c r="T365" i="7"/>
  <c r="V365" i="7"/>
  <c r="D10" i="8"/>
  <c r="E10" i="8"/>
  <c r="P350" i="7"/>
  <c r="Q350" i="7"/>
  <c r="T350" i="7"/>
  <c r="V350" i="7"/>
  <c r="D9" i="8"/>
  <c r="E9" i="8"/>
  <c r="P154" i="7"/>
  <c r="Q154" i="7"/>
  <c r="T154" i="7"/>
  <c r="V154" i="7"/>
  <c r="D8" i="8"/>
  <c r="E8" i="8"/>
  <c r="Q425" i="7"/>
  <c r="T425" i="7"/>
  <c r="V425" i="7"/>
  <c r="D7" i="8"/>
  <c r="E7" i="8"/>
  <c r="Q229" i="7"/>
  <c r="T229" i="7"/>
  <c r="V229" i="7"/>
  <c r="D6" i="8"/>
  <c r="E6" i="8"/>
  <c r="Q93" i="7"/>
  <c r="T93" i="7"/>
  <c r="V93" i="7"/>
  <c r="D5" i="8"/>
  <c r="E5" i="8"/>
  <c r="Q14" i="7"/>
  <c r="T14" i="7"/>
  <c r="V14" i="7"/>
  <c r="D4" i="8"/>
  <c r="E4" i="8"/>
  <c r="S377" i="7"/>
  <c r="B499" i="8"/>
  <c r="S354" i="7"/>
  <c r="B498" i="8"/>
  <c r="S344" i="7"/>
  <c r="B497" i="8"/>
  <c r="S214" i="7"/>
  <c r="B496" i="8"/>
  <c r="S421" i="7"/>
  <c r="B495" i="8"/>
  <c r="S326" i="7"/>
  <c r="B494" i="8"/>
  <c r="S267" i="7"/>
  <c r="B493" i="8"/>
  <c r="S6" i="7"/>
  <c r="B492" i="8"/>
  <c r="S341" i="7"/>
  <c r="B491" i="8"/>
  <c r="S264" i="7"/>
  <c r="B490" i="8"/>
  <c r="S235" i="7"/>
  <c r="B489" i="8"/>
  <c r="S57" i="7"/>
  <c r="B488" i="8"/>
  <c r="S369" i="7"/>
  <c r="B487" i="8"/>
  <c r="S205" i="7"/>
  <c r="B486" i="8"/>
  <c r="S149" i="7"/>
  <c r="B485" i="8"/>
  <c r="S15" i="7"/>
  <c r="B484" i="8"/>
  <c r="S484" i="7"/>
  <c r="B483" i="8"/>
  <c r="S284" i="7"/>
  <c r="B482" i="8"/>
  <c r="S256" i="7"/>
  <c r="B481" i="8"/>
  <c r="S83" i="7"/>
  <c r="B480" i="8"/>
  <c r="S249" i="7"/>
  <c r="B479" i="8"/>
  <c r="S203" i="7"/>
  <c r="B478" i="8"/>
  <c r="S40" i="7"/>
  <c r="B477" i="8"/>
  <c r="S37" i="7"/>
  <c r="B476" i="8"/>
  <c r="S448" i="7"/>
  <c r="B475" i="8"/>
  <c r="S331" i="7"/>
  <c r="B474" i="8"/>
  <c r="S252" i="7"/>
  <c r="B473" i="8"/>
  <c r="S251" i="7"/>
  <c r="B472" i="8"/>
  <c r="S222" i="7"/>
  <c r="B471" i="8"/>
  <c r="S198" i="7"/>
  <c r="B470" i="8"/>
  <c r="S136" i="7"/>
  <c r="B469" i="8"/>
  <c r="S84" i="7"/>
  <c r="B468" i="8"/>
  <c r="S407" i="7"/>
  <c r="B467" i="8"/>
  <c r="S319" i="7"/>
  <c r="B466" i="8"/>
  <c r="S230" i="7"/>
  <c r="B465" i="8"/>
  <c r="S10" i="7"/>
  <c r="B464" i="8"/>
  <c r="S465" i="7"/>
  <c r="B463" i="8"/>
  <c r="S248" i="7"/>
  <c r="B462" i="8"/>
  <c r="S119" i="7"/>
  <c r="B461" i="8"/>
  <c r="S118" i="7"/>
  <c r="B460" i="8"/>
  <c r="S315" i="7"/>
  <c r="B459" i="8"/>
  <c r="S258" i="7"/>
  <c r="B458" i="8"/>
  <c r="S105" i="7"/>
  <c r="B457" i="8"/>
  <c r="S86" i="7"/>
  <c r="B456" i="8"/>
  <c r="S447" i="7"/>
  <c r="B455" i="8"/>
  <c r="S378" i="7"/>
  <c r="B454" i="8"/>
  <c r="S282" i="7"/>
  <c r="B453" i="8"/>
  <c r="S261" i="7"/>
  <c r="B452" i="8"/>
  <c r="S293" i="7"/>
  <c r="B451" i="8"/>
  <c r="S164" i="7"/>
  <c r="B450" i="8"/>
  <c r="S96" i="7"/>
  <c r="B449" i="8"/>
  <c r="S82" i="7"/>
  <c r="B448" i="8"/>
  <c r="S347" i="7"/>
  <c r="B447" i="8"/>
  <c r="S243" i="7"/>
  <c r="B446" i="8"/>
  <c r="S241" i="7"/>
  <c r="B445" i="8"/>
  <c r="S97" i="7"/>
  <c r="B444" i="8"/>
  <c r="S408" i="7"/>
  <c r="B443" i="8"/>
  <c r="S211" i="7"/>
  <c r="B442" i="8"/>
  <c r="S127" i="7"/>
  <c r="B441" i="8"/>
  <c r="S121" i="7"/>
  <c r="B440" i="8"/>
  <c r="S473" i="7"/>
  <c r="B439" i="8"/>
  <c r="S472" i="7"/>
  <c r="B438" i="8"/>
  <c r="S449" i="7"/>
  <c r="B437" i="8"/>
  <c r="S327" i="7"/>
  <c r="B436" i="8"/>
  <c r="S287" i="7"/>
  <c r="B435" i="8"/>
  <c r="S124" i="7"/>
  <c r="B434" i="8"/>
  <c r="S52" i="7"/>
  <c r="B433" i="8"/>
  <c r="S7" i="7"/>
  <c r="B432" i="8"/>
  <c r="S431" i="7"/>
  <c r="B431" i="8"/>
  <c r="S415" i="7"/>
  <c r="B430" i="8"/>
  <c r="S414" i="7"/>
  <c r="B429" i="8"/>
  <c r="S373" i="7"/>
  <c r="B428" i="8"/>
  <c r="S184" i="7"/>
  <c r="B427" i="8"/>
  <c r="S50" i="7"/>
  <c r="B426" i="8"/>
  <c r="S5" i="7"/>
  <c r="B425" i="8"/>
  <c r="S3" i="7"/>
  <c r="B424" i="8"/>
  <c r="S496" i="7"/>
  <c r="B423" i="8"/>
  <c r="S286" i="7"/>
  <c r="B422" i="8"/>
  <c r="S253" i="7"/>
  <c r="B421" i="8"/>
  <c r="S32" i="7"/>
  <c r="B420" i="8"/>
  <c r="S413" i="7"/>
  <c r="B419" i="8"/>
  <c r="S63" i="7"/>
  <c r="B418" i="8"/>
  <c r="S54" i="7"/>
  <c r="B417" i="8"/>
  <c r="S29" i="7"/>
  <c r="B416" i="8"/>
  <c r="S393" i="7"/>
  <c r="B415" i="8"/>
  <c r="S259" i="7"/>
  <c r="B414" i="8"/>
  <c r="S152" i="7"/>
  <c r="B413" i="8"/>
  <c r="S20" i="7"/>
  <c r="B412" i="8"/>
  <c r="S335" i="7"/>
  <c r="B411" i="8"/>
  <c r="S135" i="7"/>
  <c r="B410" i="8"/>
  <c r="S111" i="7"/>
  <c r="B409" i="8"/>
  <c r="S8" i="7"/>
  <c r="B408" i="8"/>
  <c r="S323" i="7"/>
  <c r="B407" i="8"/>
  <c r="S307" i="7"/>
  <c r="B406" i="8"/>
  <c r="S278" i="7"/>
  <c r="B405" i="8"/>
  <c r="S174" i="7"/>
  <c r="B404" i="8"/>
  <c r="S276" i="7"/>
  <c r="B403" i="8"/>
  <c r="S213" i="7"/>
  <c r="B402" i="8"/>
  <c r="S113" i="7"/>
  <c r="B401" i="8"/>
  <c r="S81" i="7"/>
  <c r="B400" i="8"/>
  <c r="S487" i="7"/>
  <c r="B399" i="8"/>
  <c r="S478" i="7"/>
  <c r="B398" i="8"/>
  <c r="S102" i="7"/>
  <c r="B397" i="8"/>
  <c r="S16" i="7"/>
  <c r="B396" i="8"/>
  <c r="S453" i="7"/>
  <c r="B395" i="8"/>
  <c r="S238" i="7"/>
  <c r="B394" i="8"/>
  <c r="S139" i="7"/>
  <c r="B393" i="8"/>
  <c r="S22" i="7"/>
  <c r="B392" i="8"/>
  <c r="S434" i="7"/>
  <c r="B391" i="8"/>
  <c r="S412" i="7"/>
  <c r="B390" i="8"/>
  <c r="S78" i="7"/>
  <c r="B389" i="8"/>
  <c r="S56" i="7"/>
  <c r="B388" i="8"/>
  <c r="S360" i="7"/>
  <c r="B387" i="8"/>
  <c r="S116" i="7"/>
  <c r="B386" i="8"/>
  <c r="S109" i="7"/>
  <c r="B385" i="8"/>
  <c r="S80" i="7"/>
  <c r="B384" i="8"/>
  <c r="S185" i="7"/>
  <c r="B383" i="8"/>
  <c r="S168" i="7"/>
  <c r="B382" i="8"/>
  <c r="S51" i="7"/>
  <c r="B381" i="8"/>
  <c r="S36" i="7"/>
  <c r="B380" i="8"/>
  <c r="S495" i="7"/>
  <c r="B379" i="8"/>
  <c r="S339" i="7"/>
  <c r="B378" i="8"/>
  <c r="S77" i="7"/>
  <c r="B377" i="8"/>
  <c r="S67" i="7"/>
  <c r="B376" i="8"/>
  <c r="S483" i="7"/>
  <c r="B375" i="8"/>
  <c r="S317" i="7"/>
  <c r="B374" i="8"/>
  <c r="S290" i="7"/>
  <c r="B373" i="8"/>
  <c r="S255" i="7"/>
  <c r="B372" i="8"/>
  <c r="S436" i="7"/>
  <c r="B371" i="8"/>
  <c r="S411" i="7"/>
  <c r="B370" i="8"/>
  <c r="S316" i="7"/>
  <c r="B369" i="8"/>
  <c r="S169" i="7"/>
  <c r="B368" i="8"/>
  <c r="S384" i="7"/>
  <c r="B367" i="8"/>
  <c r="S322" i="7"/>
  <c r="B366" i="8"/>
  <c r="S87" i="7"/>
  <c r="B365" i="8"/>
  <c r="S27" i="7"/>
  <c r="B364" i="8"/>
  <c r="S386" i="7"/>
  <c r="B363" i="8"/>
  <c r="S302" i="7"/>
  <c r="B362" i="8"/>
  <c r="S291" i="7"/>
  <c r="B361" i="8"/>
  <c r="S101" i="7"/>
  <c r="B360" i="8"/>
  <c r="S433" i="7"/>
  <c r="B359" i="8"/>
  <c r="S337" i="7"/>
  <c r="B358" i="8"/>
  <c r="S332" i="7"/>
  <c r="B357" i="8"/>
  <c r="S34" i="7"/>
  <c r="B356" i="8"/>
  <c r="S470" i="7"/>
  <c r="B355" i="8"/>
  <c r="S371" i="7"/>
  <c r="B354" i="8"/>
  <c r="S212" i="7"/>
  <c r="B353" i="8"/>
  <c r="S13" i="7"/>
  <c r="B352" i="8"/>
  <c r="S438" i="7"/>
  <c r="B351" i="8"/>
  <c r="S208" i="7"/>
  <c r="B350" i="8"/>
  <c r="S180" i="7"/>
  <c r="B349" i="8"/>
  <c r="S176" i="7"/>
  <c r="B348" i="8"/>
  <c r="S397" i="7"/>
  <c r="B347" i="8"/>
  <c r="S340" i="7"/>
  <c r="B346" i="8"/>
  <c r="S143" i="7"/>
  <c r="B345" i="8"/>
  <c r="S90" i="7"/>
  <c r="B344" i="8"/>
  <c r="S457" i="7"/>
  <c r="B343" i="8"/>
  <c r="S387" i="7"/>
  <c r="B342" i="8"/>
  <c r="S356" i="7"/>
  <c r="B341" i="8"/>
  <c r="S100" i="7"/>
  <c r="B340" i="8"/>
  <c r="S409" i="7"/>
  <c r="B339" i="8"/>
  <c r="S367" i="7"/>
  <c r="B338" i="8"/>
  <c r="S190" i="7"/>
  <c r="B337" i="8"/>
  <c r="S39" i="7"/>
  <c r="B336" i="8"/>
  <c r="S358" i="7"/>
  <c r="B335" i="8"/>
  <c r="S183" i="7"/>
  <c r="B334" i="8"/>
  <c r="S161" i="7"/>
  <c r="B333" i="8"/>
  <c r="S73" i="7"/>
  <c r="B332" i="8"/>
  <c r="S485" i="7"/>
  <c r="B331" i="8"/>
  <c r="S476" i="7"/>
  <c r="B330" i="8"/>
  <c r="S257" i="7"/>
  <c r="B329" i="8"/>
  <c r="S244" i="7"/>
  <c r="B328" i="8"/>
  <c r="S298" i="7"/>
  <c r="B327" i="8"/>
  <c r="S233" i="7"/>
  <c r="B326" i="8"/>
  <c r="S215" i="7"/>
  <c r="B325" i="8"/>
  <c r="S17" i="7"/>
  <c r="B324" i="8"/>
  <c r="S197" i="7"/>
  <c r="B323" i="8"/>
  <c r="S137" i="7"/>
  <c r="B322" i="8"/>
  <c r="S110" i="7"/>
  <c r="B321" i="8"/>
  <c r="S4" i="7"/>
  <c r="B320" i="8"/>
  <c r="S491" i="7"/>
  <c r="B319" i="8"/>
  <c r="S351" i="7"/>
  <c r="B318" i="8"/>
  <c r="S308" i="7"/>
  <c r="B317" i="8"/>
  <c r="S58" i="7"/>
  <c r="B316" i="8"/>
  <c r="S497" i="7"/>
  <c r="B315" i="8"/>
  <c r="S486" i="7"/>
  <c r="B314" i="8"/>
  <c r="S72" i="7"/>
  <c r="B313" i="8"/>
  <c r="S66" i="7"/>
  <c r="B312" i="8"/>
  <c r="S444" i="7"/>
  <c r="B311" i="8"/>
  <c r="S311" i="7"/>
  <c r="B310" i="8"/>
  <c r="S289" i="7"/>
  <c r="B309" i="8"/>
  <c r="S38" i="7"/>
  <c r="B308" i="8"/>
  <c r="S477" i="7"/>
  <c r="B307" i="8"/>
  <c r="S402" i="7"/>
  <c r="B306" i="8"/>
  <c r="S193" i="7"/>
  <c r="B305" i="8"/>
  <c r="S65" i="7"/>
  <c r="B304" i="8"/>
  <c r="S325" i="7"/>
  <c r="B303" i="8"/>
  <c r="S219" i="7"/>
  <c r="B302" i="8"/>
  <c r="S163" i="7"/>
  <c r="B301" i="8"/>
  <c r="S70" i="7"/>
  <c r="B300" i="8"/>
  <c r="S361" i="7"/>
  <c r="B299" i="8"/>
  <c r="S318" i="7"/>
  <c r="B298" i="8"/>
  <c r="S303" i="7"/>
  <c r="B297" i="8"/>
  <c r="S301" i="7"/>
  <c r="B296" i="8"/>
  <c r="S405" i="7"/>
  <c r="B295" i="8"/>
  <c r="S353" i="7"/>
  <c r="B294" i="8"/>
  <c r="S285" i="7"/>
  <c r="B293" i="8"/>
  <c r="S269" i="7"/>
  <c r="B292" i="8"/>
  <c r="S454" i="7"/>
  <c r="B291" i="8"/>
  <c r="S406" i="7"/>
  <c r="B290" i="8"/>
  <c r="S396" i="7"/>
  <c r="B289" i="8"/>
  <c r="S254" i="7"/>
  <c r="B288" i="8"/>
  <c r="S443" i="7"/>
  <c r="B287" i="8"/>
  <c r="S297" i="7"/>
  <c r="B286" i="8"/>
  <c r="S201" i="7"/>
  <c r="B285" i="8"/>
  <c r="S85" i="7"/>
  <c r="B284" i="8"/>
  <c r="S430" i="7"/>
  <c r="B283" i="8"/>
  <c r="S383" i="7"/>
  <c r="B282" i="8"/>
  <c r="S170" i="7"/>
  <c r="B281" i="8"/>
  <c r="S48" i="7"/>
  <c r="B280" i="8"/>
  <c r="S451" i="7"/>
  <c r="B279" i="8"/>
  <c r="S418" i="7"/>
  <c r="B278" i="8"/>
  <c r="S312" i="7"/>
  <c r="B277" i="8"/>
  <c r="S55" i="7"/>
  <c r="B276" i="8"/>
  <c r="S388" i="7"/>
  <c r="B275" i="8"/>
  <c r="S357" i="7"/>
  <c r="B274" i="8"/>
  <c r="S99" i="7"/>
  <c r="B273" i="8"/>
  <c r="S24" i="7"/>
  <c r="B272" i="8"/>
  <c r="S464" i="7"/>
  <c r="B271" i="8"/>
  <c r="S390" i="7"/>
  <c r="B270" i="8"/>
  <c r="S349" i="7"/>
  <c r="B269" i="8"/>
  <c r="S33" i="7"/>
  <c r="B268" i="8"/>
  <c r="S435" i="7"/>
  <c r="B267" i="8"/>
  <c r="S398" i="7"/>
  <c r="B266" i="8"/>
  <c r="S330" i="7"/>
  <c r="B265" i="8"/>
  <c r="S299" i="7"/>
  <c r="B264" i="8"/>
  <c r="S488" i="7"/>
  <c r="B263" i="8"/>
  <c r="S320" i="7"/>
  <c r="B262" i="8"/>
  <c r="S217" i="7"/>
  <c r="B261" i="8"/>
  <c r="S130" i="7"/>
  <c r="B260" i="8"/>
  <c r="S463" i="7"/>
  <c r="B259" i="8"/>
  <c r="S445" i="7"/>
  <c r="B258" i="8"/>
  <c r="S220" i="7"/>
  <c r="B257" i="8"/>
  <c r="S125" i="7"/>
  <c r="B256" i="8"/>
  <c r="S420" i="7"/>
  <c r="B255" i="8"/>
  <c r="S419" i="7"/>
  <c r="B254" i="8"/>
  <c r="S172" i="7"/>
  <c r="B253" i="8"/>
  <c r="S145" i="7"/>
  <c r="B252" i="8"/>
  <c r="S439" i="7"/>
  <c r="B251" i="8"/>
  <c r="S324" i="7"/>
  <c r="B250" i="8"/>
  <c r="S146" i="7"/>
  <c r="B249" i="8"/>
  <c r="S21" i="7"/>
  <c r="B248" i="8"/>
  <c r="S450" i="7"/>
  <c r="B247" i="8"/>
  <c r="S379" i="7"/>
  <c r="B246" i="8"/>
  <c r="S265" i="7"/>
  <c r="B245" i="8"/>
  <c r="S126" i="7"/>
  <c r="B244" i="8"/>
  <c r="S370" i="7"/>
  <c r="B243" i="8"/>
  <c r="S305" i="7"/>
  <c r="B242" i="8"/>
  <c r="S61" i="7"/>
  <c r="B241" i="8"/>
  <c r="S12" i="7"/>
  <c r="B240" i="8"/>
  <c r="S194" i="7"/>
  <c r="B239" i="8"/>
  <c r="S165" i="7"/>
  <c r="B238" i="8"/>
  <c r="S151" i="7"/>
  <c r="B237" i="8"/>
  <c r="S43" i="7"/>
  <c r="B236" i="8"/>
  <c r="S295" i="7"/>
  <c r="B235" i="8"/>
  <c r="S182" i="7"/>
  <c r="B234" i="8"/>
  <c r="S98" i="7"/>
  <c r="B233" i="8"/>
  <c r="S94" i="7"/>
  <c r="B232" i="8"/>
  <c r="S468" i="7"/>
  <c r="B231" i="8"/>
  <c r="S426" i="7"/>
  <c r="B230" i="8"/>
  <c r="S240" i="7"/>
  <c r="B229" i="8"/>
  <c r="S59" i="7"/>
  <c r="B228" i="8"/>
  <c r="S410" i="7"/>
  <c r="B227" i="8"/>
  <c r="S385" i="7"/>
  <c r="B226" i="8"/>
  <c r="S274" i="7"/>
  <c r="B225" i="8"/>
  <c r="S272" i="7"/>
  <c r="B224" i="8"/>
  <c r="S234" i="7"/>
  <c r="B223" i="8"/>
  <c r="S195" i="7"/>
  <c r="B222" i="8"/>
  <c r="S140" i="7"/>
  <c r="B221" i="8"/>
  <c r="S46" i="7"/>
  <c r="B220" i="8"/>
  <c r="S494" i="7"/>
  <c r="B219" i="8"/>
  <c r="S456" i="7"/>
  <c r="B218" i="8"/>
  <c r="S306" i="7"/>
  <c r="B217" i="8"/>
  <c r="S91" i="7"/>
  <c r="B216" i="8"/>
  <c r="S359" i="7"/>
  <c r="B215" i="8"/>
  <c r="S218" i="7"/>
  <c r="B214" i="8"/>
  <c r="S209" i="7"/>
  <c r="B213" i="8"/>
  <c r="S178" i="7"/>
  <c r="B212" i="8"/>
  <c r="S368" i="7"/>
  <c r="B211" i="8"/>
  <c r="S247" i="7"/>
  <c r="B210" i="8"/>
  <c r="S223" i="7"/>
  <c r="B209" i="8"/>
  <c r="S18" i="7"/>
  <c r="B208" i="8"/>
  <c r="S423" i="7"/>
  <c r="B207" i="8"/>
  <c r="S300" i="7"/>
  <c r="B206" i="8"/>
  <c r="S162" i="7"/>
  <c r="B205" i="8"/>
  <c r="S74" i="7"/>
  <c r="B204" i="8"/>
  <c r="S441" i="7"/>
  <c r="B203" i="8"/>
  <c r="S389" i="7"/>
  <c r="B202" i="8"/>
  <c r="S304" i="7"/>
  <c r="B201" i="8"/>
  <c r="S260" i="7"/>
  <c r="B200" i="8"/>
  <c r="S467" i="7"/>
  <c r="B199" i="8"/>
  <c r="S239" i="7"/>
  <c r="B198" i="8"/>
  <c r="S144" i="7"/>
  <c r="B197" i="8"/>
  <c r="S11" i="7"/>
  <c r="B196" i="8"/>
  <c r="S275" i="7"/>
  <c r="B195" i="8"/>
  <c r="S207" i="7"/>
  <c r="B194" i="8"/>
  <c r="S202" i="7"/>
  <c r="B193" i="8"/>
  <c r="S132" i="7"/>
  <c r="B192" i="8"/>
  <c r="S192" i="7"/>
  <c r="B191" i="8"/>
  <c r="S108" i="7"/>
  <c r="B190" i="8"/>
  <c r="S95" i="7"/>
  <c r="B189" i="8"/>
  <c r="S44" i="7"/>
  <c r="B188" i="8"/>
  <c r="S474" i="7"/>
  <c r="B187" i="8"/>
  <c r="S374" i="7"/>
  <c r="B186" i="8"/>
  <c r="S364" i="7"/>
  <c r="B185" i="8"/>
  <c r="S187" i="7"/>
  <c r="B184" i="8"/>
  <c r="S461" i="7"/>
  <c r="B183" i="8"/>
  <c r="S401" i="7"/>
  <c r="B182" i="8"/>
  <c r="S231" i="7"/>
  <c r="B181" i="8"/>
  <c r="S76" i="7"/>
  <c r="B180" i="8"/>
  <c r="S458" i="7"/>
  <c r="B179" i="8"/>
  <c r="S442" i="7"/>
  <c r="B178" i="8"/>
  <c r="S376" i="7"/>
  <c r="B177" i="8"/>
  <c r="S9" i="7"/>
  <c r="B176" i="8"/>
  <c r="S310" i="7"/>
  <c r="B175" i="8"/>
  <c r="S279" i="7"/>
  <c r="B174" i="8"/>
  <c r="S210" i="7"/>
  <c r="B173" i="8"/>
  <c r="S166" i="7"/>
  <c r="B172" i="8"/>
  <c r="S475" i="7"/>
  <c r="B171" i="8"/>
  <c r="S181" i="7"/>
  <c r="B170" i="8"/>
  <c r="S148" i="7"/>
  <c r="B169" i="8"/>
  <c r="S142" i="7"/>
  <c r="B168" i="8"/>
  <c r="S479" i="7"/>
  <c r="B167" i="8"/>
  <c r="S237" i="7"/>
  <c r="B166" i="8"/>
  <c r="S42" i="7"/>
  <c r="B165" i="8"/>
  <c r="S28" i="7"/>
  <c r="B164" i="8"/>
  <c r="S314" i="7"/>
  <c r="B163" i="8"/>
  <c r="S266" i="7"/>
  <c r="B162" i="8"/>
  <c r="S227" i="7"/>
  <c r="B161" i="8"/>
  <c r="S60" i="7"/>
  <c r="B160" i="8"/>
  <c r="S462" i="7"/>
  <c r="B159" i="8"/>
  <c r="S150" i="7"/>
  <c r="B158" i="8"/>
  <c r="S71" i="7"/>
  <c r="B157" i="8"/>
  <c r="S47" i="7"/>
  <c r="B156" i="8"/>
  <c r="S404" i="7"/>
  <c r="B155" i="8"/>
  <c r="S158" i="7"/>
  <c r="B154" i="8"/>
  <c r="S112" i="7"/>
  <c r="B153" i="8"/>
  <c r="S104" i="7"/>
  <c r="B152" i="8"/>
  <c r="S399" i="7"/>
  <c r="B151" i="8"/>
  <c r="S381" i="7"/>
  <c r="B150" i="8"/>
  <c r="S294" i="7"/>
  <c r="B149" i="8"/>
  <c r="S115" i="7"/>
  <c r="B148" i="8"/>
  <c r="S482" i="7"/>
  <c r="B147" i="8"/>
  <c r="S366" i="7"/>
  <c r="B146" i="8"/>
  <c r="S342" i="7"/>
  <c r="B145" i="8"/>
  <c r="S23" i="7"/>
  <c r="B144" i="8"/>
  <c r="S380" i="7"/>
  <c r="B143" i="8"/>
  <c r="S246" i="7"/>
  <c r="B142" i="8"/>
  <c r="S133" i="7"/>
  <c r="B141" i="8"/>
  <c r="S75" i="7"/>
  <c r="B140" i="8"/>
  <c r="S489" i="7"/>
  <c r="B139" i="8"/>
  <c r="S92" i="7"/>
  <c r="B138" i="8"/>
  <c r="S49" i="7"/>
  <c r="B137" i="8"/>
  <c r="S45" i="7"/>
  <c r="B136" i="8"/>
  <c r="S455" i="7"/>
  <c r="B135" i="8"/>
  <c r="S346" i="7"/>
  <c r="B134" i="8"/>
  <c r="S232" i="7"/>
  <c r="B133" i="8"/>
  <c r="S179" i="7"/>
  <c r="B132" i="8"/>
  <c r="S492" i="7"/>
  <c r="B131" i="8"/>
  <c r="S188" i="7"/>
  <c r="B130" i="8"/>
  <c r="S122" i="7"/>
  <c r="B129" i="8"/>
  <c r="S62" i="7"/>
  <c r="B128" i="8"/>
  <c r="S424" i="7"/>
  <c r="B127" i="8"/>
  <c r="S206" i="7"/>
  <c r="B126" i="8"/>
  <c r="S103" i="7"/>
  <c r="B125" i="8"/>
  <c r="S64" i="7"/>
  <c r="B124" i="8"/>
  <c r="S460" i="7"/>
  <c r="B123" i="8"/>
  <c r="S345" i="7"/>
  <c r="B122" i="8"/>
  <c r="S224" i="7"/>
  <c r="B121" i="8"/>
  <c r="S26" i="7"/>
  <c r="B120" i="8"/>
  <c r="S493" i="7"/>
  <c r="B119" i="8"/>
  <c r="S452" i="7"/>
  <c r="B118" i="8"/>
  <c r="S372" i="7"/>
  <c r="B117" i="8"/>
  <c r="S147" i="7"/>
  <c r="B116" i="8"/>
  <c r="S328" i="7"/>
  <c r="B115" i="8"/>
  <c r="S155" i="7"/>
  <c r="B114" i="8"/>
  <c r="S68" i="7"/>
  <c r="B113" i="8"/>
  <c r="S35" i="7"/>
  <c r="B112" i="8"/>
  <c r="S446" i="7"/>
  <c r="B111" i="8"/>
  <c r="S437" i="7"/>
  <c r="B110" i="8"/>
  <c r="S277" i="7"/>
  <c r="B109" i="8"/>
  <c r="S69" i="7"/>
  <c r="B108" i="8"/>
  <c r="S336" i="7"/>
  <c r="B107" i="8"/>
  <c r="S221" i="7"/>
  <c r="B106" i="8"/>
  <c r="S106" i="7"/>
  <c r="B105" i="8"/>
  <c r="S89" i="7"/>
  <c r="B104" i="8"/>
  <c r="S469" i="7"/>
  <c r="B103" i="8"/>
  <c r="S391" i="7"/>
  <c r="B102" i="8"/>
  <c r="S236" i="7"/>
  <c r="B101" i="8"/>
  <c r="S199" i="7"/>
  <c r="B100" i="8"/>
  <c r="S296" i="7"/>
  <c r="B99" i="8"/>
  <c r="S281" i="7"/>
  <c r="B98" i="8"/>
  <c r="S280" i="7"/>
  <c r="B97" i="8"/>
  <c r="S228" i="7"/>
  <c r="B96" i="8"/>
  <c r="S362" i="7"/>
  <c r="B95" i="8"/>
  <c r="S348" i="7"/>
  <c r="B94" i="8"/>
  <c r="S245" i="7"/>
  <c r="B93" i="8"/>
  <c r="S242" i="7"/>
  <c r="B92" i="8"/>
  <c r="S417" i="7"/>
  <c r="B91" i="8"/>
  <c r="S283" i="7"/>
  <c r="B90" i="8"/>
  <c r="S171" i="7"/>
  <c r="B89" i="8"/>
  <c r="S114" i="7"/>
  <c r="B88" i="8"/>
  <c r="S498" i="7"/>
  <c r="B87" i="8"/>
  <c r="S480" i="7"/>
  <c r="B86" i="8"/>
  <c r="S329" i="7"/>
  <c r="B85" i="8"/>
  <c r="S191" i="7"/>
  <c r="B84" i="8"/>
  <c r="S416" i="7"/>
  <c r="B83" i="8"/>
  <c r="S363" i="7"/>
  <c r="B82" i="8"/>
  <c r="S333" i="7"/>
  <c r="B81" i="8"/>
  <c r="S177" i="7"/>
  <c r="B80" i="8"/>
  <c r="S352" i="7"/>
  <c r="B79" i="8"/>
  <c r="S321" i="7"/>
  <c r="B78" i="8"/>
  <c r="S268" i="7"/>
  <c r="B77" i="8"/>
  <c r="S204" i="7"/>
  <c r="B76" i="8"/>
  <c r="S309" i="7"/>
  <c r="B75" i="8"/>
  <c r="S250" i="7"/>
  <c r="B74" i="8"/>
  <c r="S196" i="7"/>
  <c r="B73" i="8"/>
  <c r="S107" i="7"/>
  <c r="B72" i="8"/>
  <c r="S459" i="7"/>
  <c r="B71" i="8"/>
  <c r="S334" i="7"/>
  <c r="B70" i="8"/>
  <c r="S156" i="7"/>
  <c r="B69" i="8"/>
  <c r="S53" i="7"/>
  <c r="B68" i="8"/>
  <c r="S313" i="7"/>
  <c r="B67" i="8"/>
  <c r="S160" i="7"/>
  <c r="B66" i="8"/>
  <c r="S129" i="7"/>
  <c r="B65" i="8"/>
  <c r="S25" i="7"/>
  <c r="B64" i="8"/>
  <c r="S422" i="7"/>
  <c r="B63" i="8"/>
  <c r="S394" i="7"/>
  <c r="B62" i="8"/>
  <c r="S79" i="7"/>
  <c r="B61" i="8"/>
  <c r="S31" i="7"/>
  <c r="B60" i="8"/>
  <c r="S271" i="7"/>
  <c r="B59" i="8"/>
  <c r="S189" i="7"/>
  <c r="B58" i="8"/>
  <c r="S167" i="7"/>
  <c r="B57" i="8"/>
  <c r="S128" i="7"/>
  <c r="B56" i="8"/>
  <c r="S440" i="7"/>
  <c r="B55" i="8"/>
  <c r="S400" i="7"/>
  <c r="B54" i="8"/>
  <c r="S288" i="7"/>
  <c r="B53" i="8"/>
  <c r="S141" i="7"/>
  <c r="B52" i="8"/>
  <c r="S428" i="7"/>
  <c r="B51" i="8"/>
  <c r="S216" i="7"/>
  <c r="B50" i="8"/>
  <c r="S153" i="7"/>
  <c r="B49" i="8"/>
  <c r="S134" i="7"/>
  <c r="B48" i="8"/>
  <c r="S355" i="7"/>
  <c r="B47" i="8"/>
  <c r="S131" i="7"/>
  <c r="B46" i="8"/>
  <c r="S120" i="7"/>
  <c r="B45" i="8"/>
  <c r="S19" i="7"/>
  <c r="B44" i="8"/>
  <c r="S343" i="7"/>
  <c r="B43" i="8"/>
  <c r="S292" i="7"/>
  <c r="B42" i="8"/>
  <c r="S175" i="7"/>
  <c r="B41" i="8"/>
  <c r="S123" i="7"/>
  <c r="B40" i="8"/>
  <c r="S375" i="7"/>
  <c r="B39" i="8"/>
  <c r="S225" i="7"/>
  <c r="B38" i="8"/>
  <c r="S186" i="7"/>
  <c r="B37" i="8"/>
  <c r="S117" i="7"/>
  <c r="B36" i="8"/>
  <c r="S481" i="7"/>
  <c r="B35" i="8"/>
  <c r="S273" i="7"/>
  <c r="B34" i="8"/>
  <c r="S270" i="7"/>
  <c r="B33" i="8"/>
  <c r="S41" i="7"/>
  <c r="B32" i="8"/>
  <c r="S429" i="7"/>
  <c r="B31" i="8"/>
  <c r="S395" i="7"/>
  <c r="B30" i="8"/>
  <c r="S138" i="7"/>
  <c r="B29" i="8"/>
  <c r="S30" i="7"/>
  <c r="B28" i="8"/>
  <c r="S490" i="7"/>
  <c r="B27" i="8"/>
  <c r="S263" i="7"/>
  <c r="B26" i="8"/>
  <c r="S200" i="7"/>
  <c r="B25" i="8"/>
  <c r="S88" i="7"/>
  <c r="B24" i="8"/>
  <c r="S471" i="7"/>
  <c r="B23" i="8"/>
  <c r="S427" i="7"/>
  <c r="B22" i="8"/>
  <c r="S226" i="7"/>
  <c r="B21" i="8"/>
  <c r="S173" i="7"/>
  <c r="B20" i="8"/>
  <c r="S466" i="7"/>
  <c r="B19" i="8"/>
  <c r="S432" i="7"/>
  <c r="B18" i="8"/>
  <c r="S392" i="7"/>
  <c r="B17" i="8"/>
  <c r="S338" i="7"/>
  <c r="B16" i="8"/>
  <c r="S403" i="7"/>
  <c r="B15" i="8"/>
  <c r="S262" i="7"/>
  <c r="B14" i="8"/>
  <c r="S159" i="7"/>
  <c r="B13" i="8"/>
  <c r="S157" i="7"/>
  <c r="B12" i="8"/>
  <c r="S382" i="7"/>
  <c r="B11" i="8"/>
  <c r="S365" i="7"/>
  <c r="B10" i="8"/>
  <c r="S350" i="7"/>
  <c r="B9" i="8"/>
  <c r="S154" i="7"/>
  <c r="B8" i="8"/>
  <c r="B6" i="21"/>
  <c r="B3" i="21"/>
  <c r="B4" i="21"/>
  <c r="B5" i="21"/>
  <c r="B7" i="21"/>
  <c r="C3" i="21"/>
  <c r="C4" i="21"/>
  <c r="C5" i="21"/>
  <c r="C6" i="21"/>
  <c r="C7" i="21"/>
  <c r="D3" i="21"/>
  <c r="D4" i="21"/>
  <c r="D5" i="21"/>
  <c r="D6" i="21"/>
  <c r="D7" i="21"/>
  <c r="E3" i="21"/>
  <c r="E4" i="21"/>
  <c r="E5" i="21"/>
  <c r="E6" i="21"/>
  <c r="E7" i="21"/>
  <c r="F7" i="21"/>
  <c r="B17" i="21"/>
  <c r="C17" i="21"/>
  <c r="D17" i="21"/>
  <c r="E17" i="21"/>
  <c r="B15" i="21"/>
  <c r="C15" i="21"/>
  <c r="D15" i="21"/>
  <c r="E15" i="21"/>
  <c r="B14" i="21"/>
  <c r="C14" i="21"/>
  <c r="D14" i="21"/>
  <c r="E14" i="21"/>
  <c r="B10" i="21" a="1"/>
  <c r="B10" i="21"/>
  <c r="D10" i="21"/>
  <c r="B11" i="21" a="1"/>
  <c r="B11" i="21"/>
  <c r="C11" i="21"/>
  <c r="E16" i="21"/>
  <c r="D16" i="21"/>
  <c r="C16" i="21"/>
  <c r="B16" i="21"/>
  <c r="D11" i="21"/>
  <c r="G15" i="21"/>
  <c r="G16" i="21"/>
  <c r="G17" i="21"/>
  <c r="G14" i="21"/>
  <c r="A13" i="21"/>
  <c r="K24" i="18"/>
  <c r="L24" i="18"/>
  <c r="M24" i="18"/>
  <c r="N24" i="18"/>
  <c r="O24" i="18"/>
  <c r="K20" i="18"/>
  <c r="L20" i="18"/>
  <c r="M20" i="18"/>
  <c r="N20" i="18"/>
  <c r="O20" i="18"/>
  <c r="K21" i="18"/>
  <c r="L21" i="18"/>
  <c r="M21" i="18"/>
  <c r="N21" i="18"/>
  <c r="O21" i="18"/>
  <c r="K22" i="18"/>
  <c r="L22" i="18"/>
  <c r="M22" i="18"/>
  <c r="N22" i="18"/>
  <c r="O22" i="18"/>
  <c r="K23" i="18"/>
  <c r="L23" i="18"/>
  <c r="M23" i="18"/>
  <c r="N23" i="18"/>
  <c r="O23" i="18"/>
  <c r="L19" i="18"/>
  <c r="M19" i="18"/>
  <c r="N19" i="18"/>
  <c r="O19" i="18"/>
  <c r="J3" i="20"/>
  <c r="J5" i="20"/>
  <c r="I4" i="20"/>
  <c r="I5" i="20"/>
  <c r="I3" i="20"/>
  <c r="U154" i="7"/>
  <c r="C8" i="8"/>
  <c r="I8" i="8"/>
  <c r="U350" i="7"/>
  <c r="C9" i="8"/>
  <c r="I9" i="8"/>
  <c r="U365" i="7"/>
  <c r="C10" i="8"/>
  <c r="I10" i="8"/>
  <c r="U382" i="7"/>
  <c r="C11" i="8"/>
  <c r="I11" i="8"/>
  <c r="U157" i="7"/>
  <c r="C12" i="8"/>
  <c r="I12" i="8"/>
  <c r="U159" i="7"/>
  <c r="C13" i="8"/>
  <c r="I13" i="8"/>
  <c r="U262" i="7"/>
  <c r="C14" i="8"/>
  <c r="I14" i="8"/>
  <c r="U403" i="7"/>
  <c r="C15" i="8"/>
  <c r="I15" i="8"/>
  <c r="U338" i="7"/>
  <c r="C16" i="8"/>
  <c r="I16" i="8"/>
  <c r="U392" i="7"/>
  <c r="C17" i="8"/>
  <c r="I17" i="8"/>
  <c r="U432" i="7"/>
  <c r="C18" i="8"/>
  <c r="I18" i="8"/>
  <c r="U466" i="7"/>
  <c r="C19" i="8"/>
  <c r="I19" i="8"/>
  <c r="U173" i="7"/>
  <c r="C20" i="8"/>
  <c r="I20" i="8"/>
  <c r="U226" i="7"/>
  <c r="C21" i="8"/>
  <c r="I21" i="8"/>
  <c r="U427" i="7"/>
  <c r="C22" i="8"/>
  <c r="I22" i="8"/>
  <c r="U471" i="7"/>
  <c r="C23" i="8"/>
  <c r="I23" i="8"/>
  <c r="U88" i="7"/>
  <c r="C24" i="8"/>
  <c r="I24" i="8"/>
  <c r="U200" i="7"/>
  <c r="C25" i="8"/>
  <c r="I25" i="8"/>
  <c r="U263" i="7"/>
  <c r="C26" i="8"/>
  <c r="I26" i="8"/>
  <c r="U490" i="7"/>
  <c r="C27" i="8"/>
  <c r="I27" i="8"/>
  <c r="U30" i="7"/>
  <c r="C28" i="8"/>
  <c r="I28" i="8"/>
  <c r="U138" i="7"/>
  <c r="C29" i="8"/>
  <c r="I29" i="8"/>
  <c r="U395" i="7"/>
  <c r="C30" i="8"/>
  <c r="I30" i="8"/>
  <c r="U429" i="7"/>
  <c r="C31" i="8"/>
  <c r="I31" i="8"/>
  <c r="U41" i="7"/>
  <c r="C32" i="8"/>
  <c r="I32" i="8"/>
  <c r="U270" i="7"/>
  <c r="C33" i="8"/>
  <c r="I33" i="8"/>
  <c r="U273" i="7"/>
  <c r="C34" i="8"/>
  <c r="I34" i="8"/>
  <c r="U481" i="7"/>
  <c r="C35" i="8"/>
  <c r="I35" i="8"/>
  <c r="U117" i="7"/>
  <c r="C36" i="8"/>
  <c r="I36" i="8"/>
  <c r="U186" i="7"/>
  <c r="C37" i="8"/>
  <c r="I37" i="8"/>
  <c r="U225" i="7"/>
  <c r="C38" i="8"/>
  <c r="I38" i="8"/>
  <c r="U375" i="7"/>
  <c r="C39" i="8"/>
  <c r="I39" i="8"/>
  <c r="U123" i="7"/>
  <c r="C40" i="8"/>
  <c r="I40" i="8"/>
  <c r="U175" i="7"/>
  <c r="C41" i="8"/>
  <c r="I41" i="8"/>
  <c r="U292" i="7"/>
  <c r="C42" i="8"/>
  <c r="I42" i="8"/>
  <c r="U343" i="7"/>
  <c r="C43" i="8"/>
  <c r="I43" i="8"/>
  <c r="U19" i="7"/>
  <c r="C44" i="8"/>
  <c r="I44" i="8"/>
  <c r="U120" i="7"/>
  <c r="C45" i="8"/>
  <c r="I45" i="8"/>
  <c r="U131" i="7"/>
  <c r="C46" i="8"/>
  <c r="I46" i="8"/>
  <c r="U355" i="7"/>
  <c r="C47" i="8"/>
  <c r="I47" i="8"/>
  <c r="U134" i="7"/>
  <c r="C48" i="8"/>
  <c r="I48" i="8"/>
  <c r="U153" i="7"/>
  <c r="C49" i="8"/>
  <c r="I49" i="8"/>
  <c r="U216" i="7"/>
  <c r="C50" i="8"/>
  <c r="I50" i="8"/>
  <c r="U428" i="7"/>
  <c r="C51" i="8"/>
  <c r="I51" i="8"/>
  <c r="U141" i="7"/>
  <c r="C52" i="8"/>
  <c r="I52" i="8"/>
  <c r="U288" i="7"/>
  <c r="C53" i="8"/>
  <c r="I53" i="8"/>
  <c r="U400" i="7"/>
  <c r="C54" i="8"/>
  <c r="I54" i="8"/>
  <c r="U440" i="7"/>
  <c r="C55" i="8"/>
  <c r="I55" i="8"/>
  <c r="U128" i="7"/>
  <c r="C56" i="8"/>
  <c r="I56" i="8"/>
  <c r="U167" i="7"/>
  <c r="C57" i="8"/>
  <c r="I57" i="8"/>
  <c r="U189" i="7"/>
  <c r="C58" i="8"/>
  <c r="I58" i="8"/>
  <c r="U271" i="7"/>
  <c r="C59" i="8"/>
  <c r="I59" i="8"/>
  <c r="U31" i="7"/>
  <c r="C60" i="8"/>
  <c r="I60" i="8"/>
  <c r="U79" i="7"/>
  <c r="C61" i="8"/>
  <c r="I61" i="8"/>
  <c r="U394" i="7"/>
  <c r="C62" i="8"/>
  <c r="I62" i="8"/>
  <c r="U422" i="7"/>
  <c r="C63" i="8"/>
  <c r="I63" i="8"/>
  <c r="U25" i="7"/>
  <c r="C64" i="8"/>
  <c r="I64" i="8"/>
  <c r="U129" i="7"/>
  <c r="C65" i="8"/>
  <c r="I65" i="8"/>
  <c r="U160" i="7"/>
  <c r="C66" i="8"/>
  <c r="I66" i="8"/>
  <c r="U313" i="7"/>
  <c r="C67" i="8"/>
  <c r="I67" i="8"/>
  <c r="U53" i="7"/>
  <c r="C68" i="8"/>
  <c r="I68" i="8"/>
  <c r="U156" i="7"/>
  <c r="C69" i="8"/>
  <c r="I69" i="8"/>
  <c r="U334" i="7"/>
  <c r="C70" i="8"/>
  <c r="I70" i="8"/>
  <c r="U459" i="7"/>
  <c r="C71" i="8"/>
  <c r="I71" i="8"/>
  <c r="U107" i="7"/>
  <c r="C72" i="8"/>
  <c r="I72" i="8"/>
  <c r="U196" i="7"/>
  <c r="C73" i="8"/>
  <c r="I73" i="8"/>
  <c r="U250" i="7"/>
  <c r="C74" i="8"/>
  <c r="I74" i="8"/>
  <c r="U309" i="7"/>
  <c r="C75" i="8"/>
  <c r="I75" i="8"/>
  <c r="U204" i="7"/>
  <c r="C76" i="8"/>
  <c r="I76" i="8"/>
  <c r="U268" i="7"/>
  <c r="C77" i="8"/>
  <c r="I77" i="8"/>
  <c r="U321" i="7"/>
  <c r="C78" i="8"/>
  <c r="I78" i="8"/>
  <c r="U352" i="7"/>
  <c r="C79" i="8"/>
  <c r="I79" i="8"/>
  <c r="U177" i="7"/>
  <c r="C80" i="8"/>
  <c r="I80" i="8"/>
  <c r="U333" i="7"/>
  <c r="C81" i="8"/>
  <c r="I81" i="8"/>
  <c r="U363" i="7"/>
  <c r="C82" i="8"/>
  <c r="I82" i="8"/>
  <c r="U416" i="7"/>
  <c r="C83" i="8"/>
  <c r="I83" i="8"/>
  <c r="U191" i="7"/>
  <c r="C84" i="8"/>
  <c r="I84" i="8"/>
  <c r="U329" i="7"/>
  <c r="C85" i="8"/>
  <c r="I85" i="8"/>
  <c r="U480" i="7"/>
  <c r="C86" i="8"/>
  <c r="I86" i="8"/>
  <c r="U498" i="7"/>
  <c r="C87" i="8"/>
  <c r="I87" i="8"/>
  <c r="U114" i="7"/>
  <c r="C88" i="8"/>
  <c r="I88" i="8"/>
  <c r="U171" i="7"/>
  <c r="C89" i="8"/>
  <c r="I89" i="8"/>
  <c r="U283" i="7"/>
  <c r="C90" i="8"/>
  <c r="I90" i="8"/>
  <c r="U417" i="7"/>
  <c r="C91" i="8"/>
  <c r="I91" i="8"/>
  <c r="U242" i="7"/>
  <c r="C92" i="8"/>
  <c r="I92" i="8"/>
  <c r="U245" i="7"/>
  <c r="C93" i="8"/>
  <c r="I93" i="8"/>
  <c r="U348" i="7"/>
  <c r="C94" i="8"/>
  <c r="I94" i="8"/>
  <c r="U362" i="7"/>
  <c r="C95" i="8"/>
  <c r="I95" i="8"/>
  <c r="U228" i="7"/>
  <c r="C96" i="8"/>
  <c r="I96" i="8"/>
  <c r="U280" i="7"/>
  <c r="C97" i="8"/>
  <c r="I97" i="8"/>
  <c r="U281" i="7"/>
  <c r="C98" i="8"/>
  <c r="I98" i="8"/>
  <c r="U296" i="7"/>
  <c r="C99" i="8"/>
  <c r="I99" i="8"/>
  <c r="U199" i="7"/>
  <c r="C100" i="8"/>
  <c r="I100" i="8"/>
  <c r="U236" i="7"/>
  <c r="C101" i="8"/>
  <c r="I101" i="8"/>
  <c r="U391" i="7"/>
  <c r="C102" i="8"/>
  <c r="I102" i="8"/>
  <c r="U469" i="7"/>
  <c r="C103" i="8"/>
  <c r="I103" i="8"/>
  <c r="U89" i="7"/>
  <c r="C104" i="8"/>
  <c r="I104" i="8"/>
  <c r="U106" i="7"/>
  <c r="C105" i="8"/>
  <c r="I105" i="8"/>
  <c r="U221" i="7"/>
  <c r="C106" i="8"/>
  <c r="I106" i="8"/>
  <c r="U336" i="7"/>
  <c r="C107" i="8"/>
  <c r="I107" i="8"/>
  <c r="U69" i="7"/>
  <c r="C108" i="8"/>
  <c r="I108" i="8"/>
  <c r="U277" i="7"/>
  <c r="C109" i="8"/>
  <c r="I109" i="8"/>
  <c r="U437" i="7"/>
  <c r="C110" i="8"/>
  <c r="I110" i="8"/>
  <c r="U446" i="7"/>
  <c r="C111" i="8"/>
  <c r="I111" i="8"/>
  <c r="U35" i="7"/>
  <c r="C112" i="8"/>
  <c r="I112" i="8"/>
  <c r="U68" i="7"/>
  <c r="C113" i="8"/>
  <c r="I113" i="8"/>
  <c r="U155" i="7"/>
  <c r="C114" i="8"/>
  <c r="I114" i="8"/>
  <c r="U328" i="7"/>
  <c r="C115" i="8"/>
  <c r="I115" i="8"/>
  <c r="U147" i="7"/>
  <c r="C116" i="8"/>
  <c r="I116" i="8"/>
  <c r="U372" i="7"/>
  <c r="C117" i="8"/>
  <c r="I117" i="8"/>
  <c r="U452" i="7"/>
  <c r="C118" i="8"/>
  <c r="I118" i="8"/>
  <c r="U493" i="7"/>
  <c r="C119" i="8"/>
  <c r="I119" i="8"/>
  <c r="U26" i="7"/>
  <c r="C120" i="8"/>
  <c r="I120" i="8"/>
  <c r="U224" i="7"/>
  <c r="C121" i="8"/>
  <c r="I121" i="8"/>
  <c r="U345" i="7"/>
  <c r="C122" i="8"/>
  <c r="I122" i="8"/>
  <c r="U460" i="7"/>
  <c r="C123" i="8"/>
  <c r="I123" i="8"/>
  <c r="U64" i="7"/>
  <c r="C124" i="8"/>
  <c r="I124" i="8"/>
  <c r="U103" i="7"/>
  <c r="C125" i="8"/>
  <c r="I125" i="8"/>
  <c r="U206" i="7"/>
  <c r="C126" i="8"/>
  <c r="I126" i="8"/>
  <c r="U424" i="7"/>
  <c r="C127" i="8"/>
  <c r="I127" i="8"/>
  <c r="U62" i="7"/>
  <c r="C128" i="8"/>
  <c r="I128" i="8"/>
  <c r="U122" i="7"/>
  <c r="C129" i="8"/>
  <c r="I129" i="8"/>
  <c r="U188" i="7"/>
  <c r="C130" i="8"/>
  <c r="I130" i="8"/>
  <c r="U492" i="7"/>
  <c r="C131" i="8"/>
  <c r="I131" i="8"/>
  <c r="U179" i="7"/>
  <c r="C132" i="8"/>
  <c r="I132" i="8"/>
  <c r="U232" i="7"/>
  <c r="C133" i="8"/>
  <c r="I133" i="8"/>
  <c r="U346" i="7"/>
  <c r="C134" i="8"/>
  <c r="I134" i="8"/>
  <c r="U455" i="7"/>
  <c r="C135" i="8"/>
  <c r="I135" i="8"/>
  <c r="U45" i="7"/>
  <c r="C136" i="8"/>
  <c r="I136" i="8"/>
  <c r="U49" i="7"/>
  <c r="C137" i="8"/>
  <c r="I137" i="8"/>
  <c r="U92" i="7"/>
  <c r="C138" i="8"/>
  <c r="I138" i="8"/>
  <c r="U489" i="7"/>
  <c r="C139" i="8"/>
  <c r="I139" i="8"/>
  <c r="U75" i="7"/>
  <c r="C140" i="8"/>
  <c r="I140" i="8"/>
  <c r="U133" i="7"/>
  <c r="C141" i="8"/>
  <c r="I141" i="8"/>
  <c r="U246" i="7"/>
  <c r="C142" i="8"/>
  <c r="I142" i="8"/>
  <c r="U380" i="7"/>
  <c r="C143" i="8"/>
  <c r="I143" i="8"/>
  <c r="U23" i="7"/>
  <c r="C144" i="8"/>
  <c r="I144" i="8"/>
  <c r="U342" i="7"/>
  <c r="C145" i="8"/>
  <c r="I145" i="8"/>
  <c r="U366" i="7"/>
  <c r="C146" i="8"/>
  <c r="I146" i="8"/>
  <c r="U482" i="7"/>
  <c r="C147" i="8"/>
  <c r="I147" i="8"/>
  <c r="U115" i="7"/>
  <c r="C148" i="8"/>
  <c r="I148" i="8"/>
  <c r="U294" i="7"/>
  <c r="C149" i="8"/>
  <c r="I149" i="8"/>
  <c r="U381" i="7"/>
  <c r="C150" i="8"/>
  <c r="I150" i="8"/>
  <c r="U399" i="7"/>
  <c r="C151" i="8"/>
  <c r="I151" i="8"/>
  <c r="U104" i="7"/>
  <c r="C152" i="8"/>
  <c r="I152" i="8"/>
  <c r="U112" i="7"/>
  <c r="C153" i="8"/>
  <c r="I153" i="8"/>
  <c r="U158" i="7"/>
  <c r="C154" i="8"/>
  <c r="I154" i="8"/>
  <c r="U404" i="7"/>
  <c r="C155" i="8"/>
  <c r="I155" i="8"/>
  <c r="U47" i="7"/>
  <c r="C156" i="8"/>
  <c r="I156" i="8"/>
  <c r="U71" i="7"/>
  <c r="C157" i="8"/>
  <c r="I157" i="8"/>
  <c r="U150" i="7"/>
  <c r="C158" i="8"/>
  <c r="I158" i="8"/>
  <c r="U462" i="7"/>
  <c r="C159" i="8"/>
  <c r="I159" i="8"/>
  <c r="U60" i="7"/>
  <c r="C160" i="8"/>
  <c r="I160" i="8"/>
  <c r="U227" i="7"/>
  <c r="C161" i="8"/>
  <c r="I161" i="8"/>
  <c r="U266" i="7"/>
  <c r="C162" i="8"/>
  <c r="I162" i="8"/>
  <c r="U314" i="7"/>
  <c r="C163" i="8"/>
  <c r="I163" i="8"/>
  <c r="U28" i="7"/>
  <c r="C164" i="8"/>
  <c r="I164" i="8"/>
  <c r="U42" i="7"/>
  <c r="C165" i="8"/>
  <c r="I165" i="8"/>
  <c r="U237" i="7"/>
  <c r="C166" i="8"/>
  <c r="I166" i="8"/>
  <c r="U479" i="7"/>
  <c r="C167" i="8"/>
  <c r="I167" i="8"/>
  <c r="U142" i="7"/>
  <c r="C168" i="8"/>
  <c r="I168" i="8"/>
  <c r="U148" i="7"/>
  <c r="C169" i="8"/>
  <c r="I169" i="8"/>
  <c r="U181" i="7"/>
  <c r="C170" i="8"/>
  <c r="I170" i="8"/>
  <c r="U475" i="7"/>
  <c r="C171" i="8"/>
  <c r="I171" i="8"/>
  <c r="U166" i="7"/>
  <c r="C172" i="8"/>
  <c r="I172" i="8"/>
  <c r="U210" i="7"/>
  <c r="C173" i="8"/>
  <c r="I173" i="8"/>
  <c r="U279" i="7"/>
  <c r="C174" i="8"/>
  <c r="I174" i="8"/>
  <c r="U310" i="7"/>
  <c r="C175" i="8"/>
  <c r="I175" i="8"/>
  <c r="U9" i="7"/>
  <c r="C176" i="8"/>
  <c r="I176" i="8"/>
  <c r="U376" i="7"/>
  <c r="C177" i="8"/>
  <c r="I177" i="8"/>
  <c r="U442" i="7"/>
  <c r="C178" i="8"/>
  <c r="I178" i="8"/>
  <c r="U458" i="7"/>
  <c r="C179" i="8"/>
  <c r="I179" i="8"/>
  <c r="U76" i="7"/>
  <c r="C180" i="8"/>
  <c r="I180" i="8"/>
  <c r="U231" i="7"/>
  <c r="C181" i="8"/>
  <c r="I181" i="8"/>
  <c r="U401" i="7"/>
  <c r="C182" i="8"/>
  <c r="I182" i="8"/>
  <c r="U461" i="7"/>
  <c r="C183" i="8"/>
  <c r="I183" i="8"/>
  <c r="U187" i="7"/>
  <c r="C184" i="8"/>
  <c r="I184" i="8"/>
  <c r="U364" i="7"/>
  <c r="C185" i="8"/>
  <c r="I185" i="8"/>
  <c r="U374" i="7"/>
  <c r="C186" i="8"/>
  <c r="I186" i="8"/>
  <c r="U474" i="7"/>
  <c r="C187" i="8"/>
  <c r="I187" i="8"/>
  <c r="U44" i="7"/>
  <c r="C188" i="8"/>
  <c r="I188" i="8"/>
  <c r="U95" i="7"/>
  <c r="C189" i="8"/>
  <c r="I189" i="8"/>
  <c r="U108" i="7"/>
  <c r="C190" i="8"/>
  <c r="I190" i="8"/>
  <c r="U192" i="7"/>
  <c r="C191" i="8"/>
  <c r="I191" i="8"/>
  <c r="U132" i="7"/>
  <c r="C192" i="8"/>
  <c r="I192" i="8"/>
  <c r="U202" i="7"/>
  <c r="C193" i="8"/>
  <c r="I193" i="8"/>
  <c r="U207" i="7"/>
  <c r="C194" i="8"/>
  <c r="I194" i="8"/>
  <c r="U275" i="7"/>
  <c r="C195" i="8"/>
  <c r="I195" i="8"/>
  <c r="U11" i="7"/>
  <c r="C196" i="8"/>
  <c r="I196" i="8"/>
  <c r="U144" i="7"/>
  <c r="C197" i="8"/>
  <c r="I197" i="8"/>
  <c r="U239" i="7"/>
  <c r="C198" i="8"/>
  <c r="I198" i="8"/>
  <c r="U467" i="7"/>
  <c r="C199" i="8"/>
  <c r="I199" i="8"/>
  <c r="U260" i="7"/>
  <c r="C200" i="8"/>
  <c r="I200" i="8"/>
  <c r="U304" i="7"/>
  <c r="C201" i="8"/>
  <c r="I201" i="8"/>
  <c r="U389" i="7"/>
  <c r="C202" i="8"/>
  <c r="I202" i="8"/>
  <c r="U441" i="7"/>
  <c r="C203" i="8"/>
  <c r="I203" i="8"/>
  <c r="U74" i="7"/>
  <c r="C204" i="8"/>
  <c r="I204" i="8"/>
  <c r="U162" i="7"/>
  <c r="C205" i="8"/>
  <c r="I205" i="8"/>
  <c r="U300" i="7"/>
  <c r="C206" i="8"/>
  <c r="I206" i="8"/>
  <c r="U423" i="7"/>
  <c r="C207" i="8"/>
  <c r="I207" i="8"/>
  <c r="U18" i="7"/>
  <c r="C208" i="8"/>
  <c r="I208" i="8"/>
  <c r="U223" i="7"/>
  <c r="C209" i="8"/>
  <c r="I209" i="8"/>
  <c r="U247" i="7"/>
  <c r="C210" i="8"/>
  <c r="I210" i="8"/>
  <c r="U368" i="7"/>
  <c r="C211" i="8"/>
  <c r="I211" i="8"/>
  <c r="U178" i="7"/>
  <c r="C212" i="8"/>
  <c r="I212" i="8"/>
  <c r="U209" i="7"/>
  <c r="C213" i="8"/>
  <c r="I213" i="8"/>
  <c r="U218" i="7"/>
  <c r="C214" i="8"/>
  <c r="I214" i="8"/>
  <c r="U359" i="7"/>
  <c r="C215" i="8"/>
  <c r="I215" i="8"/>
  <c r="U91" i="7"/>
  <c r="C216" i="8"/>
  <c r="I216" i="8"/>
  <c r="U306" i="7"/>
  <c r="C217" i="8"/>
  <c r="I217" i="8"/>
  <c r="U456" i="7"/>
  <c r="C218" i="8"/>
  <c r="I218" i="8"/>
  <c r="U494" i="7"/>
  <c r="C219" i="8"/>
  <c r="I219" i="8"/>
  <c r="U46" i="7"/>
  <c r="C220" i="8"/>
  <c r="I220" i="8"/>
  <c r="U140" i="7"/>
  <c r="C221" i="8"/>
  <c r="I221" i="8"/>
  <c r="U195" i="7"/>
  <c r="C222" i="8"/>
  <c r="I222" i="8"/>
  <c r="U234" i="7"/>
  <c r="C223" i="8"/>
  <c r="I223" i="8"/>
  <c r="U272" i="7"/>
  <c r="C224" i="8"/>
  <c r="I224" i="8"/>
  <c r="U274" i="7"/>
  <c r="C225" i="8"/>
  <c r="I225" i="8"/>
  <c r="U385" i="7"/>
  <c r="C226" i="8"/>
  <c r="I226" i="8"/>
  <c r="U410" i="7"/>
  <c r="C227" i="8"/>
  <c r="I227" i="8"/>
  <c r="U59" i="7"/>
  <c r="C228" i="8"/>
  <c r="I228" i="8"/>
  <c r="U240" i="7"/>
  <c r="C229" i="8"/>
  <c r="I229" i="8"/>
  <c r="U426" i="7"/>
  <c r="C230" i="8"/>
  <c r="I230" i="8"/>
  <c r="U468" i="7"/>
  <c r="C231" i="8"/>
  <c r="I231" i="8"/>
  <c r="U94" i="7"/>
  <c r="C232" i="8"/>
  <c r="I232" i="8"/>
  <c r="U98" i="7"/>
  <c r="C233" i="8"/>
  <c r="I233" i="8"/>
  <c r="U182" i="7"/>
  <c r="C234" i="8"/>
  <c r="I234" i="8"/>
  <c r="U295" i="7"/>
  <c r="C235" i="8"/>
  <c r="I235" i="8"/>
  <c r="U43" i="7"/>
  <c r="C236" i="8"/>
  <c r="I236" i="8"/>
  <c r="U151" i="7"/>
  <c r="C237" i="8"/>
  <c r="I237" i="8"/>
  <c r="U165" i="7"/>
  <c r="C238" i="8"/>
  <c r="I238" i="8"/>
  <c r="U194" i="7"/>
  <c r="C239" i="8"/>
  <c r="I239" i="8"/>
  <c r="U12" i="7"/>
  <c r="C240" i="8"/>
  <c r="I240" i="8"/>
  <c r="U61" i="7"/>
  <c r="C241" i="8"/>
  <c r="I241" i="8"/>
  <c r="U305" i="7"/>
  <c r="C242" i="8"/>
  <c r="I242" i="8"/>
  <c r="U370" i="7"/>
  <c r="C243" i="8"/>
  <c r="I243" i="8"/>
  <c r="U126" i="7"/>
  <c r="C244" i="8"/>
  <c r="I244" i="8"/>
  <c r="U265" i="7"/>
  <c r="C245" i="8"/>
  <c r="I245" i="8"/>
  <c r="U379" i="7"/>
  <c r="C246" i="8"/>
  <c r="I246" i="8"/>
  <c r="U450" i="7"/>
  <c r="C247" i="8"/>
  <c r="I247" i="8"/>
  <c r="U21" i="7"/>
  <c r="C248" i="8"/>
  <c r="I248" i="8"/>
  <c r="U146" i="7"/>
  <c r="C249" i="8"/>
  <c r="I249" i="8"/>
  <c r="U324" i="7"/>
  <c r="C250" i="8"/>
  <c r="I250" i="8"/>
  <c r="U439" i="7"/>
  <c r="C251" i="8"/>
  <c r="I251" i="8"/>
  <c r="U145" i="7"/>
  <c r="C252" i="8"/>
  <c r="I252" i="8"/>
  <c r="U172" i="7"/>
  <c r="C253" i="8"/>
  <c r="I253" i="8"/>
  <c r="U419" i="7"/>
  <c r="C254" i="8"/>
  <c r="I254" i="8"/>
  <c r="U420" i="7"/>
  <c r="C255" i="8"/>
  <c r="I255" i="8"/>
  <c r="U125" i="7"/>
  <c r="C256" i="8"/>
  <c r="I256" i="8"/>
  <c r="U220" i="7"/>
  <c r="C257" i="8"/>
  <c r="I257" i="8"/>
  <c r="U445" i="7"/>
  <c r="C258" i="8"/>
  <c r="I258" i="8"/>
  <c r="U463" i="7"/>
  <c r="C259" i="8"/>
  <c r="I259" i="8"/>
  <c r="U130" i="7"/>
  <c r="C260" i="8"/>
  <c r="I260" i="8"/>
  <c r="U217" i="7"/>
  <c r="C261" i="8"/>
  <c r="I261" i="8"/>
  <c r="U320" i="7"/>
  <c r="C262" i="8"/>
  <c r="I262" i="8"/>
  <c r="U488" i="7"/>
  <c r="C263" i="8"/>
  <c r="I263" i="8"/>
  <c r="U299" i="7"/>
  <c r="C264" i="8"/>
  <c r="I264" i="8"/>
  <c r="U330" i="7"/>
  <c r="C265" i="8"/>
  <c r="I265" i="8"/>
  <c r="U398" i="7"/>
  <c r="C266" i="8"/>
  <c r="I266" i="8"/>
  <c r="U435" i="7"/>
  <c r="C267" i="8"/>
  <c r="I267" i="8"/>
  <c r="U33" i="7"/>
  <c r="C268" i="8"/>
  <c r="I268" i="8"/>
  <c r="U349" i="7"/>
  <c r="C269" i="8"/>
  <c r="I269" i="8"/>
  <c r="U390" i="7"/>
  <c r="C270" i="8"/>
  <c r="I270" i="8"/>
  <c r="U464" i="7"/>
  <c r="C271" i="8"/>
  <c r="I271" i="8"/>
  <c r="U24" i="7"/>
  <c r="C272" i="8"/>
  <c r="I272" i="8"/>
  <c r="U99" i="7"/>
  <c r="C273" i="8"/>
  <c r="I273" i="8"/>
  <c r="U357" i="7"/>
  <c r="C274" i="8"/>
  <c r="I274" i="8"/>
  <c r="U388" i="7"/>
  <c r="C275" i="8"/>
  <c r="I275" i="8"/>
  <c r="U55" i="7"/>
  <c r="C276" i="8"/>
  <c r="I276" i="8"/>
  <c r="U312" i="7"/>
  <c r="C277" i="8"/>
  <c r="I277" i="8"/>
  <c r="U418" i="7"/>
  <c r="C278" i="8"/>
  <c r="I278" i="8"/>
  <c r="U451" i="7"/>
  <c r="C279" i="8"/>
  <c r="I279" i="8"/>
  <c r="U48" i="7"/>
  <c r="C280" i="8"/>
  <c r="I280" i="8"/>
  <c r="U170" i="7"/>
  <c r="C281" i="8"/>
  <c r="I281" i="8"/>
  <c r="U383" i="7"/>
  <c r="C282" i="8"/>
  <c r="I282" i="8"/>
  <c r="U430" i="7"/>
  <c r="C283" i="8"/>
  <c r="I283" i="8"/>
  <c r="U85" i="7"/>
  <c r="C284" i="8"/>
  <c r="I284" i="8"/>
  <c r="U201" i="7"/>
  <c r="C285" i="8"/>
  <c r="I285" i="8"/>
  <c r="U297" i="7"/>
  <c r="C286" i="8"/>
  <c r="I286" i="8"/>
  <c r="U443" i="7"/>
  <c r="C287" i="8"/>
  <c r="I287" i="8"/>
  <c r="U254" i="7"/>
  <c r="C288" i="8"/>
  <c r="I288" i="8"/>
  <c r="U396" i="7"/>
  <c r="C289" i="8"/>
  <c r="I289" i="8"/>
  <c r="U406" i="7"/>
  <c r="C290" i="8"/>
  <c r="I290" i="8"/>
  <c r="U454" i="7"/>
  <c r="C291" i="8"/>
  <c r="I291" i="8"/>
  <c r="U269" i="7"/>
  <c r="C292" i="8"/>
  <c r="I292" i="8"/>
  <c r="U285" i="7"/>
  <c r="C293" i="8"/>
  <c r="I293" i="8"/>
  <c r="U353" i="7"/>
  <c r="C294" i="8"/>
  <c r="I294" i="8"/>
  <c r="U405" i="7"/>
  <c r="C295" i="8"/>
  <c r="I295" i="8"/>
  <c r="U301" i="7"/>
  <c r="C296" i="8"/>
  <c r="I296" i="8"/>
  <c r="U303" i="7"/>
  <c r="C297" i="8"/>
  <c r="I297" i="8"/>
  <c r="U318" i="7"/>
  <c r="C298" i="8"/>
  <c r="I298" i="8"/>
  <c r="U361" i="7"/>
  <c r="C299" i="8"/>
  <c r="I299" i="8"/>
  <c r="U70" i="7"/>
  <c r="C300" i="8"/>
  <c r="I300" i="8"/>
  <c r="U163" i="7"/>
  <c r="C301" i="8"/>
  <c r="I301" i="8"/>
  <c r="U219" i="7"/>
  <c r="C302" i="8"/>
  <c r="I302" i="8"/>
  <c r="U325" i="7"/>
  <c r="C303" i="8"/>
  <c r="I303" i="8"/>
  <c r="U65" i="7"/>
  <c r="C304" i="8"/>
  <c r="I304" i="8"/>
  <c r="U193" i="7"/>
  <c r="C305" i="8"/>
  <c r="I305" i="8"/>
  <c r="U402" i="7"/>
  <c r="C306" i="8"/>
  <c r="I306" i="8"/>
  <c r="U477" i="7"/>
  <c r="C307" i="8"/>
  <c r="I307" i="8"/>
  <c r="U38" i="7"/>
  <c r="C308" i="8"/>
  <c r="I308" i="8"/>
  <c r="U289" i="7"/>
  <c r="C309" i="8"/>
  <c r="I309" i="8"/>
  <c r="U311" i="7"/>
  <c r="C310" i="8"/>
  <c r="I310" i="8"/>
  <c r="U444" i="7"/>
  <c r="C311" i="8"/>
  <c r="I311" i="8"/>
  <c r="U66" i="7"/>
  <c r="C312" i="8"/>
  <c r="I312" i="8"/>
  <c r="U72" i="7"/>
  <c r="C313" i="8"/>
  <c r="I313" i="8"/>
  <c r="U486" i="7"/>
  <c r="C314" i="8"/>
  <c r="I314" i="8"/>
  <c r="U497" i="7"/>
  <c r="C315" i="8"/>
  <c r="I315" i="8"/>
  <c r="U58" i="7"/>
  <c r="C316" i="8"/>
  <c r="I316" i="8"/>
  <c r="U308" i="7"/>
  <c r="C317" i="8"/>
  <c r="I317" i="8"/>
  <c r="U351" i="7"/>
  <c r="C318" i="8"/>
  <c r="I318" i="8"/>
  <c r="U491" i="7"/>
  <c r="C319" i="8"/>
  <c r="I319" i="8"/>
  <c r="U4" i="7"/>
  <c r="C320" i="8"/>
  <c r="I320" i="8"/>
  <c r="U110" i="7"/>
  <c r="C321" i="8"/>
  <c r="I321" i="8"/>
  <c r="U137" i="7"/>
  <c r="C322" i="8"/>
  <c r="I322" i="8"/>
  <c r="U197" i="7"/>
  <c r="C323" i="8"/>
  <c r="I323" i="8"/>
  <c r="U17" i="7"/>
  <c r="C324" i="8"/>
  <c r="I324" i="8"/>
  <c r="U215" i="7"/>
  <c r="C325" i="8"/>
  <c r="I325" i="8"/>
  <c r="U233" i="7"/>
  <c r="C326" i="8"/>
  <c r="I326" i="8"/>
  <c r="U298" i="7"/>
  <c r="C327" i="8"/>
  <c r="I327" i="8"/>
  <c r="U244" i="7"/>
  <c r="C328" i="8"/>
  <c r="I328" i="8"/>
  <c r="U257" i="7"/>
  <c r="C329" i="8"/>
  <c r="I329" i="8"/>
  <c r="U476" i="7"/>
  <c r="C330" i="8"/>
  <c r="I330" i="8"/>
  <c r="U485" i="7"/>
  <c r="C331" i="8"/>
  <c r="I331" i="8"/>
  <c r="U73" i="7"/>
  <c r="C332" i="8"/>
  <c r="I332" i="8"/>
  <c r="U161" i="7"/>
  <c r="C333" i="8"/>
  <c r="I333" i="8"/>
  <c r="U183" i="7"/>
  <c r="C334" i="8"/>
  <c r="I334" i="8"/>
  <c r="U358" i="7"/>
  <c r="C335" i="8"/>
  <c r="I335" i="8"/>
  <c r="U39" i="7"/>
  <c r="C336" i="8"/>
  <c r="I336" i="8"/>
  <c r="U190" i="7"/>
  <c r="C337" i="8"/>
  <c r="I337" i="8"/>
  <c r="U367" i="7"/>
  <c r="C338" i="8"/>
  <c r="I338" i="8"/>
  <c r="U409" i="7"/>
  <c r="C339" i="8"/>
  <c r="I339" i="8"/>
  <c r="U100" i="7"/>
  <c r="C340" i="8"/>
  <c r="I340" i="8"/>
  <c r="U356" i="7"/>
  <c r="C341" i="8"/>
  <c r="I341" i="8"/>
  <c r="U387" i="7"/>
  <c r="C342" i="8"/>
  <c r="I342" i="8"/>
  <c r="U457" i="7"/>
  <c r="C343" i="8"/>
  <c r="I343" i="8"/>
  <c r="U90" i="7"/>
  <c r="C344" i="8"/>
  <c r="I344" i="8"/>
  <c r="U143" i="7"/>
  <c r="C345" i="8"/>
  <c r="I345" i="8"/>
  <c r="U340" i="7"/>
  <c r="C346" i="8"/>
  <c r="I346" i="8"/>
  <c r="U397" i="7"/>
  <c r="C347" i="8"/>
  <c r="I347" i="8"/>
  <c r="U176" i="7"/>
  <c r="C348" i="8"/>
  <c r="I348" i="8"/>
  <c r="U180" i="7"/>
  <c r="C349" i="8"/>
  <c r="I349" i="8"/>
  <c r="U208" i="7"/>
  <c r="C350" i="8"/>
  <c r="I350" i="8"/>
  <c r="U438" i="7"/>
  <c r="C351" i="8"/>
  <c r="I351" i="8"/>
  <c r="U13" i="7"/>
  <c r="C352" i="8"/>
  <c r="I352" i="8"/>
  <c r="U212" i="7"/>
  <c r="C353" i="8"/>
  <c r="I353" i="8"/>
  <c r="U371" i="7"/>
  <c r="C354" i="8"/>
  <c r="I354" i="8"/>
  <c r="U470" i="7"/>
  <c r="C355" i="8"/>
  <c r="I355" i="8"/>
  <c r="U34" i="7"/>
  <c r="C356" i="8"/>
  <c r="I356" i="8"/>
  <c r="U332" i="7"/>
  <c r="C357" i="8"/>
  <c r="I357" i="8"/>
  <c r="U337" i="7"/>
  <c r="C358" i="8"/>
  <c r="I358" i="8"/>
  <c r="U433" i="7"/>
  <c r="C359" i="8"/>
  <c r="I359" i="8"/>
  <c r="U101" i="7"/>
  <c r="C360" i="8"/>
  <c r="I360" i="8"/>
  <c r="U291" i="7"/>
  <c r="C361" i="8"/>
  <c r="I361" i="8"/>
  <c r="U302" i="7"/>
  <c r="C362" i="8"/>
  <c r="I362" i="8"/>
  <c r="U386" i="7"/>
  <c r="C363" i="8"/>
  <c r="I363" i="8"/>
  <c r="U27" i="7"/>
  <c r="C364" i="8"/>
  <c r="I364" i="8"/>
  <c r="U87" i="7"/>
  <c r="C365" i="8"/>
  <c r="I365" i="8"/>
  <c r="U322" i="7"/>
  <c r="C366" i="8"/>
  <c r="I366" i="8"/>
  <c r="U384" i="7"/>
  <c r="C367" i="8"/>
  <c r="I367" i="8"/>
  <c r="U169" i="7"/>
  <c r="C368" i="8"/>
  <c r="I368" i="8"/>
  <c r="U316" i="7"/>
  <c r="C369" i="8"/>
  <c r="I369" i="8"/>
  <c r="U411" i="7"/>
  <c r="C370" i="8"/>
  <c r="I370" i="8"/>
  <c r="U436" i="7"/>
  <c r="C371" i="8"/>
  <c r="I371" i="8"/>
  <c r="U255" i="7"/>
  <c r="C372" i="8"/>
  <c r="I372" i="8"/>
  <c r="U290" i="7"/>
  <c r="C373" i="8"/>
  <c r="I373" i="8"/>
  <c r="U317" i="7"/>
  <c r="C374" i="8"/>
  <c r="I374" i="8"/>
  <c r="U483" i="7"/>
  <c r="C375" i="8"/>
  <c r="I375" i="8"/>
  <c r="U67" i="7"/>
  <c r="C376" i="8"/>
  <c r="I376" i="8"/>
  <c r="U77" i="7"/>
  <c r="C377" i="8"/>
  <c r="I377" i="8"/>
  <c r="U339" i="7"/>
  <c r="C378" i="8"/>
  <c r="I378" i="8"/>
  <c r="U495" i="7"/>
  <c r="C379" i="8"/>
  <c r="I379" i="8"/>
  <c r="U36" i="7"/>
  <c r="C380" i="8"/>
  <c r="I380" i="8"/>
  <c r="U51" i="7"/>
  <c r="C381" i="8"/>
  <c r="I381" i="8"/>
  <c r="U168" i="7"/>
  <c r="C382" i="8"/>
  <c r="I382" i="8"/>
  <c r="U185" i="7"/>
  <c r="C383" i="8"/>
  <c r="I383" i="8"/>
  <c r="U80" i="7"/>
  <c r="C384" i="8"/>
  <c r="I384" i="8"/>
  <c r="U109" i="7"/>
  <c r="C385" i="8"/>
  <c r="I385" i="8"/>
  <c r="U116" i="7"/>
  <c r="C386" i="8"/>
  <c r="I386" i="8"/>
  <c r="U360" i="7"/>
  <c r="C387" i="8"/>
  <c r="I387" i="8"/>
  <c r="U56" i="7"/>
  <c r="C388" i="8"/>
  <c r="I388" i="8"/>
  <c r="U78" i="7"/>
  <c r="C389" i="8"/>
  <c r="I389" i="8"/>
  <c r="U412" i="7"/>
  <c r="C390" i="8"/>
  <c r="I390" i="8"/>
  <c r="U434" i="7"/>
  <c r="C391" i="8"/>
  <c r="I391" i="8"/>
  <c r="U22" i="7"/>
  <c r="C392" i="8"/>
  <c r="I392" i="8"/>
  <c r="U139" i="7"/>
  <c r="C393" i="8"/>
  <c r="I393" i="8"/>
  <c r="U238" i="7"/>
  <c r="C394" i="8"/>
  <c r="I394" i="8"/>
  <c r="U453" i="7"/>
  <c r="C395" i="8"/>
  <c r="I395" i="8"/>
  <c r="U16" i="7"/>
  <c r="C396" i="8"/>
  <c r="I396" i="8"/>
  <c r="U102" i="7"/>
  <c r="C397" i="8"/>
  <c r="I397" i="8"/>
  <c r="U478" i="7"/>
  <c r="C398" i="8"/>
  <c r="I398" i="8"/>
  <c r="U487" i="7"/>
  <c r="C399" i="8"/>
  <c r="I399" i="8"/>
  <c r="U81" i="7"/>
  <c r="C400" i="8"/>
  <c r="I400" i="8"/>
  <c r="U113" i="7"/>
  <c r="C401" i="8"/>
  <c r="I401" i="8"/>
  <c r="U213" i="7"/>
  <c r="C402" i="8"/>
  <c r="I402" i="8"/>
  <c r="U276" i="7"/>
  <c r="C403" i="8"/>
  <c r="I403" i="8"/>
  <c r="U174" i="7"/>
  <c r="C404" i="8"/>
  <c r="I404" i="8"/>
  <c r="U278" i="7"/>
  <c r="C405" i="8"/>
  <c r="I405" i="8"/>
  <c r="U307" i="7"/>
  <c r="C406" i="8"/>
  <c r="I406" i="8"/>
  <c r="U323" i="7"/>
  <c r="C407" i="8"/>
  <c r="I407" i="8"/>
  <c r="U8" i="7"/>
  <c r="C408" i="8"/>
  <c r="I408" i="8"/>
  <c r="U111" i="7"/>
  <c r="C409" i="8"/>
  <c r="I409" i="8"/>
  <c r="U135" i="7"/>
  <c r="C410" i="8"/>
  <c r="I410" i="8"/>
  <c r="U335" i="7"/>
  <c r="C411" i="8"/>
  <c r="I411" i="8"/>
  <c r="U20" i="7"/>
  <c r="C412" i="8"/>
  <c r="I412" i="8"/>
  <c r="U152" i="7"/>
  <c r="C413" i="8"/>
  <c r="I413" i="8"/>
  <c r="U259" i="7"/>
  <c r="C414" i="8"/>
  <c r="I414" i="8"/>
  <c r="U393" i="7"/>
  <c r="C415" i="8"/>
  <c r="I415" i="8"/>
  <c r="U29" i="7"/>
  <c r="C416" i="8"/>
  <c r="I416" i="8"/>
  <c r="U54" i="7"/>
  <c r="C417" i="8"/>
  <c r="I417" i="8"/>
  <c r="U63" i="7"/>
  <c r="C418" i="8"/>
  <c r="I418" i="8"/>
  <c r="U413" i="7"/>
  <c r="C419" i="8"/>
  <c r="I419" i="8"/>
  <c r="U32" i="7"/>
  <c r="C420" i="8"/>
  <c r="I420" i="8"/>
  <c r="U253" i="7"/>
  <c r="C421" i="8"/>
  <c r="I421" i="8"/>
  <c r="U286" i="7"/>
  <c r="C422" i="8"/>
  <c r="I422" i="8"/>
  <c r="U496" i="7"/>
  <c r="C423" i="8"/>
  <c r="I423" i="8"/>
  <c r="U3" i="7"/>
  <c r="C424" i="8"/>
  <c r="I424" i="8"/>
  <c r="U5" i="7"/>
  <c r="C425" i="8"/>
  <c r="I425" i="8"/>
  <c r="U50" i="7"/>
  <c r="C426" i="8"/>
  <c r="I426" i="8"/>
  <c r="U184" i="7"/>
  <c r="C427" i="8"/>
  <c r="I427" i="8"/>
  <c r="U373" i="7"/>
  <c r="C428" i="8"/>
  <c r="I428" i="8"/>
  <c r="U414" i="7"/>
  <c r="C429" i="8"/>
  <c r="I429" i="8"/>
  <c r="U415" i="7"/>
  <c r="C430" i="8"/>
  <c r="I430" i="8"/>
  <c r="U431" i="7"/>
  <c r="C431" i="8"/>
  <c r="I431" i="8"/>
  <c r="U7" i="7"/>
  <c r="C432" i="8"/>
  <c r="I432" i="8"/>
  <c r="U52" i="7"/>
  <c r="C433" i="8"/>
  <c r="I433" i="8"/>
  <c r="U124" i="7"/>
  <c r="C434" i="8"/>
  <c r="I434" i="8"/>
  <c r="U287" i="7"/>
  <c r="C435" i="8"/>
  <c r="I435" i="8"/>
  <c r="U327" i="7"/>
  <c r="C436" i="8"/>
  <c r="I436" i="8"/>
  <c r="U449" i="7"/>
  <c r="C437" i="8"/>
  <c r="I437" i="8"/>
  <c r="U472" i="7"/>
  <c r="C438" i="8"/>
  <c r="I438" i="8"/>
  <c r="U473" i="7"/>
  <c r="C439" i="8"/>
  <c r="I439" i="8"/>
  <c r="U121" i="7"/>
  <c r="C440" i="8"/>
  <c r="I440" i="8"/>
  <c r="U127" i="7"/>
  <c r="C441" i="8"/>
  <c r="I441" i="8"/>
  <c r="U211" i="7"/>
  <c r="C442" i="8"/>
  <c r="I442" i="8"/>
  <c r="U408" i="7"/>
  <c r="C443" i="8"/>
  <c r="I443" i="8"/>
  <c r="U97" i="7"/>
  <c r="C444" i="8"/>
  <c r="I444" i="8"/>
  <c r="U241" i="7"/>
  <c r="C445" i="8"/>
  <c r="I445" i="8"/>
  <c r="U243" i="7"/>
  <c r="C446" i="8"/>
  <c r="I446" i="8"/>
  <c r="U347" i="7"/>
  <c r="C447" i="8"/>
  <c r="I447" i="8"/>
  <c r="U82" i="7"/>
  <c r="C448" i="8"/>
  <c r="I448" i="8"/>
  <c r="U96" i="7"/>
  <c r="C449" i="8"/>
  <c r="I449" i="8"/>
  <c r="U164" i="7"/>
  <c r="C450" i="8"/>
  <c r="I450" i="8"/>
  <c r="U293" i="7"/>
  <c r="C451" i="8"/>
  <c r="I451" i="8"/>
  <c r="U261" i="7"/>
  <c r="C452" i="8"/>
  <c r="I452" i="8"/>
  <c r="U282" i="7"/>
  <c r="C453" i="8"/>
  <c r="I453" i="8"/>
  <c r="U378" i="7"/>
  <c r="C454" i="8"/>
  <c r="I454" i="8"/>
  <c r="U447" i="7"/>
  <c r="C455" i="8"/>
  <c r="I455" i="8"/>
  <c r="U86" i="7"/>
  <c r="C456" i="8"/>
  <c r="I456" i="8"/>
  <c r="U105" i="7"/>
  <c r="C457" i="8"/>
  <c r="I457" i="8"/>
  <c r="U258" i="7"/>
  <c r="C458" i="8"/>
  <c r="I458" i="8"/>
  <c r="U315" i="7"/>
  <c r="C459" i="8"/>
  <c r="I459" i="8"/>
  <c r="U118" i="7"/>
  <c r="C460" i="8"/>
  <c r="I460" i="8"/>
  <c r="U119" i="7"/>
  <c r="C461" i="8"/>
  <c r="I461" i="8"/>
  <c r="U248" i="7"/>
  <c r="C462" i="8"/>
  <c r="I462" i="8"/>
  <c r="U465" i="7"/>
  <c r="C463" i="8"/>
  <c r="I463" i="8"/>
  <c r="U10" i="7"/>
  <c r="C464" i="8"/>
  <c r="I464" i="8"/>
  <c r="U230" i="7"/>
  <c r="C465" i="8"/>
  <c r="I465" i="8"/>
  <c r="U319" i="7"/>
  <c r="C466" i="8"/>
  <c r="I466" i="8"/>
  <c r="U407" i="7"/>
  <c r="C467" i="8"/>
  <c r="I467" i="8"/>
  <c r="U84" i="7"/>
  <c r="C468" i="8"/>
  <c r="I468" i="8"/>
  <c r="U136" i="7"/>
  <c r="C469" i="8"/>
  <c r="I469" i="8"/>
  <c r="U198" i="7"/>
  <c r="C470" i="8"/>
  <c r="I470" i="8"/>
  <c r="U222" i="7"/>
  <c r="C471" i="8"/>
  <c r="I471" i="8"/>
  <c r="U251" i="7"/>
  <c r="C472" i="8"/>
  <c r="I472" i="8"/>
  <c r="U252" i="7"/>
  <c r="C473" i="8"/>
  <c r="I473" i="8"/>
  <c r="U331" i="7"/>
  <c r="C474" i="8"/>
  <c r="I474" i="8"/>
  <c r="U448" i="7"/>
  <c r="C475" i="8"/>
  <c r="I475" i="8"/>
  <c r="U37" i="7"/>
  <c r="C476" i="8"/>
  <c r="I476" i="8"/>
  <c r="U40" i="7"/>
  <c r="C477" i="8"/>
  <c r="I477" i="8"/>
  <c r="U203" i="7"/>
  <c r="C478" i="8"/>
  <c r="I478" i="8"/>
  <c r="U249" i="7"/>
  <c r="C479" i="8"/>
  <c r="I479" i="8"/>
  <c r="U83" i="7"/>
  <c r="C480" i="8"/>
  <c r="I480" i="8"/>
  <c r="U256" i="7"/>
  <c r="C481" i="8"/>
  <c r="I481" i="8"/>
  <c r="U284" i="7"/>
  <c r="C482" i="8"/>
  <c r="I482" i="8"/>
  <c r="U484" i="7"/>
  <c r="C483" i="8"/>
  <c r="I483" i="8"/>
  <c r="U15" i="7"/>
  <c r="C484" i="8"/>
  <c r="I484" i="8"/>
  <c r="U149" i="7"/>
  <c r="C485" i="8"/>
  <c r="I485" i="8"/>
  <c r="U205" i="7"/>
  <c r="C486" i="8"/>
  <c r="I486" i="8"/>
  <c r="U369" i="7"/>
  <c r="C487" i="8"/>
  <c r="I487" i="8"/>
  <c r="U57" i="7"/>
  <c r="C488" i="8"/>
  <c r="I488" i="8"/>
  <c r="U235" i="7"/>
  <c r="C489" i="8"/>
  <c r="I489" i="8"/>
  <c r="U264" i="7"/>
  <c r="C490" i="8"/>
  <c r="I490" i="8"/>
  <c r="U341" i="7"/>
  <c r="C491" i="8"/>
  <c r="I491" i="8"/>
  <c r="U6" i="7"/>
  <c r="C492" i="8"/>
  <c r="I492" i="8"/>
  <c r="U267" i="7"/>
  <c r="C493" i="8"/>
  <c r="I493" i="8"/>
  <c r="U326" i="7"/>
  <c r="C494" i="8"/>
  <c r="I494" i="8"/>
  <c r="U421" i="7"/>
  <c r="C495" i="8"/>
  <c r="I495" i="8"/>
  <c r="U214" i="7"/>
  <c r="C496" i="8"/>
  <c r="I496" i="8"/>
  <c r="U344" i="7"/>
  <c r="C497" i="8"/>
  <c r="I497" i="8"/>
  <c r="U354" i="7"/>
  <c r="C498" i="8"/>
  <c r="I498" i="8"/>
  <c r="U377" i="7"/>
  <c r="C499" i="8"/>
  <c r="I499" i="8"/>
  <c r="U93" i="7"/>
  <c r="C5" i="8"/>
  <c r="I5" i="8"/>
  <c r="U229" i="7"/>
  <c r="C6" i="8"/>
  <c r="I6" i="8"/>
  <c r="U425" i="7"/>
  <c r="C7" i="8"/>
  <c r="I7" i="8"/>
  <c r="U14" i="7"/>
  <c r="C4" i="8"/>
  <c r="I4" i="8"/>
  <c r="F4" i="8"/>
  <c r="F5" i="8"/>
  <c r="F6" i="8"/>
  <c r="F7" i="8"/>
  <c r="F8" i="8"/>
  <c r="F9" i="8"/>
  <c r="F10" i="8"/>
  <c r="F11" i="8"/>
  <c r="F12" i="8"/>
  <c r="F13" i="8"/>
  <c r="F14" i="8"/>
  <c r="F15" i="8"/>
  <c r="F16" i="8"/>
  <c r="F17" i="8"/>
  <c r="F18" i="8"/>
  <c r="F19" i="8"/>
  <c r="F20" i="8"/>
  <c r="F21" i="8"/>
  <c r="F22" i="8"/>
  <c r="F23" i="8"/>
  <c r="F24" i="8"/>
  <c r="F25" i="8"/>
  <c r="F26" i="8"/>
  <c r="F27" i="8"/>
  <c r="F28" i="8"/>
  <c r="F29" i="8"/>
  <c r="F30" i="8"/>
  <c r="F31" i="8"/>
  <c r="F32" i="8"/>
  <c r="F33" i="8"/>
  <c r="F34" i="8"/>
  <c r="F35" i="8"/>
  <c r="F36" i="8"/>
  <c r="F37" i="8"/>
  <c r="F38" i="8"/>
  <c r="F39" i="8"/>
  <c r="F40" i="8"/>
  <c r="F41" i="8"/>
  <c r="F42" i="8"/>
  <c r="F43" i="8"/>
  <c r="F44" i="8"/>
  <c r="F45" i="8"/>
  <c r="F46" i="8"/>
  <c r="F47" i="8"/>
  <c r="F48" i="8"/>
  <c r="F49" i="8"/>
  <c r="F50" i="8"/>
  <c r="F51" i="8"/>
  <c r="F52" i="8"/>
  <c r="F53" i="8"/>
  <c r="F54" i="8"/>
  <c r="F55" i="8"/>
  <c r="F56" i="8"/>
  <c r="F57" i="8"/>
  <c r="F58" i="8"/>
  <c r="F59" i="8"/>
  <c r="F60" i="8"/>
  <c r="F61" i="8"/>
  <c r="F62" i="8"/>
  <c r="F63" i="8"/>
  <c r="F64" i="8"/>
  <c r="F65" i="8"/>
  <c r="F66" i="8"/>
  <c r="F67" i="8"/>
  <c r="F68" i="8"/>
  <c r="F69" i="8"/>
  <c r="F70" i="8"/>
  <c r="F71" i="8"/>
  <c r="F72" i="8"/>
  <c r="F73" i="8"/>
  <c r="F74" i="8"/>
  <c r="F75" i="8"/>
  <c r="F76" i="8"/>
  <c r="F77" i="8"/>
  <c r="F78" i="8"/>
  <c r="F79" i="8"/>
  <c r="F80" i="8"/>
  <c r="F81" i="8"/>
  <c r="F82" i="8"/>
  <c r="F83" i="8"/>
  <c r="F84" i="8"/>
  <c r="F85" i="8"/>
  <c r="F86" i="8"/>
  <c r="F87" i="8"/>
  <c r="F88" i="8"/>
  <c r="F89" i="8"/>
  <c r="F90" i="8"/>
  <c r="F91" i="8"/>
  <c r="F92" i="8"/>
  <c r="F93" i="8"/>
  <c r="F94" i="8"/>
  <c r="F95" i="8"/>
  <c r="F96" i="8"/>
  <c r="F97" i="8"/>
  <c r="F98" i="8"/>
  <c r="F99" i="8"/>
  <c r="F100" i="8"/>
  <c r="F101" i="8"/>
  <c r="F102" i="8"/>
  <c r="F103" i="8"/>
  <c r="F104" i="8"/>
  <c r="F105" i="8"/>
  <c r="F106" i="8"/>
  <c r="F107" i="8"/>
  <c r="F108" i="8"/>
  <c r="F109" i="8"/>
  <c r="F110" i="8"/>
  <c r="F111" i="8"/>
  <c r="F112" i="8"/>
  <c r="F113" i="8"/>
  <c r="F114" i="8"/>
  <c r="F115" i="8"/>
  <c r="F116" i="8"/>
  <c r="F117" i="8"/>
  <c r="F118" i="8"/>
  <c r="F119" i="8"/>
  <c r="F120" i="8"/>
  <c r="F121" i="8"/>
  <c r="F122" i="8"/>
  <c r="F123" i="8"/>
  <c r="F124" i="8"/>
  <c r="F125" i="8"/>
  <c r="F126" i="8"/>
  <c r="F127" i="8"/>
  <c r="F128" i="8"/>
  <c r="F129" i="8"/>
  <c r="F130" i="8"/>
  <c r="F131" i="8"/>
  <c r="F132" i="8"/>
  <c r="F133" i="8"/>
  <c r="F134" i="8"/>
  <c r="F135" i="8"/>
  <c r="F136" i="8"/>
  <c r="F137" i="8"/>
  <c r="F138" i="8"/>
  <c r="F139" i="8"/>
  <c r="F140" i="8"/>
  <c r="F141" i="8"/>
  <c r="F142" i="8"/>
  <c r="F143" i="8"/>
  <c r="F144" i="8"/>
  <c r="F145" i="8"/>
  <c r="F146" i="8"/>
  <c r="F147" i="8"/>
  <c r="F148" i="8"/>
  <c r="F149" i="8"/>
  <c r="F150" i="8"/>
  <c r="F151" i="8"/>
  <c r="F152" i="8"/>
  <c r="F153" i="8"/>
  <c r="F154" i="8"/>
  <c r="F155" i="8"/>
  <c r="F156" i="8"/>
  <c r="F157" i="8"/>
  <c r="F158" i="8"/>
  <c r="F159" i="8"/>
  <c r="F160" i="8"/>
  <c r="F161" i="8"/>
  <c r="F162" i="8"/>
  <c r="F163" i="8"/>
  <c r="F164" i="8"/>
  <c r="F165" i="8"/>
  <c r="F166" i="8"/>
  <c r="F167" i="8"/>
  <c r="F168" i="8"/>
  <c r="F169" i="8"/>
  <c r="F170" i="8"/>
  <c r="F171" i="8"/>
  <c r="F172" i="8"/>
  <c r="F173" i="8"/>
  <c r="F174" i="8"/>
  <c r="F175" i="8"/>
  <c r="F176" i="8"/>
  <c r="F177" i="8"/>
  <c r="F178" i="8"/>
  <c r="F179" i="8"/>
  <c r="F180" i="8"/>
  <c r="F181" i="8"/>
  <c r="F182" i="8"/>
  <c r="F183" i="8"/>
  <c r="F184" i="8"/>
  <c r="F185" i="8"/>
  <c r="F186" i="8"/>
  <c r="F187" i="8"/>
  <c r="F188" i="8"/>
  <c r="F189" i="8"/>
  <c r="F190" i="8"/>
  <c r="F191" i="8"/>
  <c r="F192" i="8"/>
  <c r="F193" i="8"/>
  <c r="F194" i="8"/>
  <c r="F195" i="8"/>
  <c r="F196" i="8"/>
  <c r="F197" i="8"/>
  <c r="F198" i="8"/>
  <c r="F199" i="8"/>
  <c r="F200" i="8"/>
  <c r="F201" i="8"/>
  <c r="F202" i="8"/>
  <c r="F203" i="8"/>
  <c r="F204" i="8"/>
  <c r="F205" i="8"/>
  <c r="F206" i="8"/>
  <c r="F207" i="8"/>
  <c r="F208" i="8"/>
  <c r="F209" i="8"/>
  <c r="F210" i="8"/>
  <c r="F211" i="8"/>
  <c r="F212" i="8"/>
  <c r="F213" i="8"/>
  <c r="F214" i="8"/>
  <c r="F215" i="8"/>
  <c r="F216" i="8"/>
  <c r="F217" i="8"/>
  <c r="F218" i="8"/>
  <c r="F219" i="8"/>
  <c r="F220" i="8"/>
  <c r="F221" i="8"/>
  <c r="F222" i="8"/>
  <c r="F223" i="8"/>
  <c r="F224" i="8"/>
  <c r="F225" i="8"/>
  <c r="F226" i="8"/>
  <c r="F227" i="8"/>
  <c r="F228" i="8"/>
  <c r="F229" i="8"/>
  <c r="F230" i="8"/>
  <c r="F231" i="8"/>
  <c r="F232" i="8"/>
  <c r="F233" i="8"/>
  <c r="F234" i="8"/>
  <c r="F235" i="8"/>
  <c r="F236" i="8"/>
  <c r="F237" i="8"/>
  <c r="F238" i="8"/>
  <c r="F239" i="8"/>
  <c r="F240" i="8"/>
  <c r="F241" i="8"/>
  <c r="F242" i="8"/>
  <c r="F243" i="8"/>
  <c r="F244" i="8"/>
  <c r="F245" i="8"/>
  <c r="F246" i="8"/>
  <c r="F247" i="8"/>
  <c r="F248" i="8"/>
  <c r="F249" i="8"/>
  <c r="F250" i="8"/>
  <c r="F251" i="8"/>
  <c r="F252" i="8"/>
  <c r="F253" i="8"/>
  <c r="F254" i="8"/>
  <c r="F255" i="8"/>
  <c r="F256" i="8"/>
  <c r="F257" i="8"/>
  <c r="F258" i="8"/>
  <c r="F259" i="8"/>
  <c r="F260" i="8"/>
  <c r="F261" i="8"/>
  <c r="F262" i="8"/>
  <c r="F263" i="8"/>
  <c r="F264" i="8"/>
  <c r="F265" i="8"/>
  <c r="F266" i="8"/>
  <c r="F267" i="8"/>
  <c r="F268" i="8"/>
  <c r="F269" i="8"/>
  <c r="F270" i="8"/>
  <c r="F271" i="8"/>
  <c r="F272" i="8"/>
  <c r="F273" i="8"/>
  <c r="F274" i="8"/>
  <c r="F275" i="8"/>
  <c r="F276" i="8"/>
  <c r="F277" i="8"/>
  <c r="F278" i="8"/>
  <c r="F279" i="8"/>
  <c r="F280" i="8"/>
  <c r="F281" i="8"/>
  <c r="F282" i="8"/>
  <c r="F283" i="8"/>
  <c r="F284" i="8"/>
  <c r="F285" i="8"/>
  <c r="F286" i="8"/>
  <c r="F287" i="8"/>
  <c r="F288" i="8"/>
  <c r="F289" i="8"/>
  <c r="F290" i="8"/>
  <c r="F291" i="8"/>
  <c r="F292" i="8"/>
  <c r="F293" i="8"/>
  <c r="F294" i="8"/>
  <c r="F295" i="8"/>
  <c r="F296" i="8"/>
  <c r="F297" i="8"/>
  <c r="F298" i="8"/>
  <c r="F299" i="8"/>
  <c r="F300" i="8"/>
  <c r="F301" i="8"/>
  <c r="F302" i="8"/>
  <c r="F303" i="8"/>
  <c r="F304" i="8"/>
  <c r="F305" i="8"/>
  <c r="F306" i="8"/>
  <c r="F307" i="8"/>
  <c r="F308" i="8"/>
  <c r="F309" i="8"/>
  <c r="F310" i="8"/>
  <c r="F311" i="8"/>
  <c r="F312" i="8"/>
  <c r="F313" i="8"/>
  <c r="F314" i="8"/>
  <c r="F315" i="8"/>
  <c r="F316" i="8"/>
  <c r="F317" i="8"/>
  <c r="F318" i="8"/>
  <c r="F319" i="8"/>
  <c r="F320" i="8"/>
  <c r="F321" i="8"/>
  <c r="F322" i="8"/>
  <c r="F323" i="8"/>
  <c r="F324" i="8"/>
  <c r="F325" i="8"/>
  <c r="F326" i="8"/>
  <c r="F327" i="8"/>
  <c r="F328" i="8"/>
  <c r="F329" i="8"/>
  <c r="F330" i="8"/>
  <c r="F331" i="8"/>
  <c r="F332" i="8"/>
  <c r="F333" i="8"/>
  <c r="F334" i="8"/>
  <c r="F335" i="8"/>
  <c r="F336" i="8"/>
  <c r="F337" i="8"/>
  <c r="F338" i="8"/>
  <c r="F339" i="8"/>
  <c r="F340" i="8"/>
  <c r="F341" i="8"/>
  <c r="F342" i="8"/>
  <c r="F343" i="8"/>
  <c r="F344" i="8"/>
  <c r="F345" i="8"/>
  <c r="F346" i="8"/>
  <c r="F347" i="8"/>
  <c r="F348" i="8"/>
  <c r="F349" i="8"/>
  <c r="F350" i="8"/>
  <c r="F351" i="8"/>
  <c r="F352" i="8"/>
  <c r="F353" i="8"/>
  <c r="F354" i="8"/>
  <c r="F355" i="8"/>
  <c r="F356" i="8"/>
  <c r="F357" i="8"/>
  <c r="F358" i="8"/>
  <c r="F359" i="8"/>
  <c r="F360" i="8"/>
  <c r="F361" i="8"/>
  <c r="F362" i="8"/>
  <c r="F363" i="8"/>
  <c r="F364" i="8"/>
  <c r="F365" i="8"/>
  <c r="F366" i="8"/>
  <c r="F367" i="8"/>
  <c r="F368" i="8"/>
  <c r="F369" i="8"/>
  <c r="F370" i="8"/>
  <c r="F371" i="8"/>
  <c r="F372" i="8"/>
  <c r="F373" i="8"/>
  <c r="F374" i="8"/>
  <c r="F375" i="8"/>
  <c r="F376" i="8"/>
  <c r="F377" i="8"/>
  <c r="F378" i="8"/>
  <c r="F379" i="8"/>
  <c r="F380" i="8"/>
  <c r="F381" i="8"/>
  <c r="F382" i="8"/>
  <c r="F383" i="8"/>
  <c r="F384" i="8"/>
  <c r="F385" i="8"/>
  <c r="F386" i="8"/>
  <c r="F387" i="8"/>
  <c r="F388" i="8"/>
  <c r="F389" i="8"/>
  <c r="F390" i="8"/>
  <c r="F391" i="8"/>
  <c r="F392" i="8"/>
  <c r="F393" i="8"/>
  <c r="F394" i="8"/>
  <c r="F395" i="8"/>
  <c r="F396" i="8"/>
  <c r="F397" i="8"/>
  <c r="F398" i="8"/>
  <c r="F399" i="8"/>
  <c r="F400" i="8"/>
  <c r="F401" i="8"/>
  <c r="F402" i="8"/>
  <c r="F403" i="8"/>
  <c r="F404" i="8"/>
  <c r="F405" i="8"/>
  <c r="F406" i="8"/>
  <c r="F407" i="8"/>
  <c r="F408" i="8"/>
  <c r="F409" i="8"/>
  <c r="F410" i="8"/>
  <c r="F411" i="8"/>
  <c r="F412" i="8"/>
  <c r="F413" i="8"/>
  <c r="F414" i="8"/>
  <c r="F415" i="8"/>
  <c r="F416" i="8"/>
  <c r="F417" i="8"/>
  <c r="F418" i="8"/>
  <c r="F419" i="8"/>
  <c r="F420" i="8"/>
  <c r="F421" i="8"/>
  <c r="F422" i="8"/>
  <c r="F423" i="8"/>
  <c r="F424" i="8"/>
  <c r="F425" i="8"/>
  <c r="F426" i="8"/>
  <c r="F427" i="8"/>
  <c r="F428" i="8"/>
  <c r="F429" i="8"/>
  <c r="F430" i="8"/>
  <c r="F431" i="8"/>
  <c r="F432" i="8"/>
  <c r="F433" i="8"/>
  <c r="F434" i="8"/>
  <c r="F435" i="8"/>
  <c r="F436" i="8"/>
  <c r="F437" i="8"/>
  <c r="F438" i="8"/>
  <c r="F439" i="8"/>
  <c r="F440" i="8"/>
  <c r="F441" i="8"/>
  <c r="F442" i="8"/>
  <c r="F443" i="8"/>
  <c r="F444" i="8"/>
  <c r="F445" i="8"/>
  <c r="F446" i="8"/>
  <c r="F447" i="8"/>
  <c r="F448" i="8"/>
  <c r="F449" i="8"/>
  <c r="F450" i="8"/>
  <c r="F451" i="8"/>
  <c r="F452" i="8"/>
  <c r="F453" i="8"/>
  <c r="F454" i="8"/>
  <c r="F455" i="8"/>
  <c r="F456" i="8"/>
  <c r="F457" i="8"/>
  <c r="F458" i="8"/>
  <c r="F459" i="8"/>
  <c r="F460" i="8"/>
  <c r="F461" i="8"/>
  <c r="F462" i="8"/>
  <c r="F463" i="8"/>
  <c r="F464" i="8"/>
  <c r="F465" i="8"/>
  <c r="F466" i="8"/>
  <c r="F467" i="8"/>
  <c r="F468" i="8"/>
  <c r="F469" i="8"/>
  <c r="F470" i="8"/>
  <c r="F471" i="8"/>
  <c r="F472" i="8"/>
  <c r="F473" i="8"/>
  <c r="F474" i="8"/>
  <c r="F475" i="8"/>
  <c r="F476" i="8"/>
  <c r="F477" i="8"/>
  <c r="F478" i="8"/>
  <c r="F479" i="8"/>
  <c r="F480" i="8"/>
  <c r="F481" i="8"/>
  <c r="F482" i="8"/>
  <c r="F483" i="8"/>
  <c r="F484" i="8"/>
  <c r="F485" i="8"/>
  <c r="F486" i="8"/>
  <c r="F487" i="8"/>
  <c r="F488" i="8"/>
  <c r="F489" i="8"/>
  <c r="F490" i="8"/>
  <c r="F491" i="8"/>
  <c r="F492" i="8"/>
  <c r="F493" i="8"/>
  <c r="F494" i="8"/>
  <c r="F495" i="8"/>
  <c r="F496" i="8"/>
  <c r="F497" i="8"/>
  <c r="F498" i="8"/>
  <c r="F499" i="8"/>
  <c r="K4" i="7"/>
  <c r="K5" i="7"/>
  <c r="K6" i="7"/>
  <c r="K7" i="7"/>
  <c r="K8" i="7"/>
  <c r="K9" i="7"/>
  <c r="K10" i="7"/>
  <c r="K11" i="7"/>
  <c r="K12" i="7"/>
  <c r="K13" i="7"/>
  <c r="K14" i="7"/>
  <c r="K15" i="7"/>
  <c r="K16" i="7"/>
  <c r="K17" i="7"/>
  <c r="K18" i="7"/>
  <c r="K19" i="7"/>
  <c r="K20" i="7"/>
  <c r="K21" i="7"/>
  <c r="K22" i="7"/>
  <c r="K23" i="7"/>
  <c r="K24" i="7"/>
  <c r="K25" i="7"/>
  <c r="K26" i="7"/>
  <c r="K27" i="7"/>
  <c r="K28" i="7"/>
  <c r="K29" i="7"/>
  <c r="K30" i="7"/>
  <c r="K31" i="7"/>
  <c r="K32" i="7"/>
  <c r="K33" i="7"/>
  <c r="K34" i="7"/>
  <c r="K35" i="7"/>
  <c r="K36" i="7"/>
  <c r="K37" i="7"/>
  <c r="K38" i="7"/>
  <c r="K39" i="7"/>
  <c r="K40" i="7"/>
  <c r="K41" i="7"/>
  <c r="K42" i="7"/>
  <c r="K43" i="7"/>
  <c r="K44" i="7"/>
  <c r="K45" i="7"/>
  <c r="K46" i="7"/>
  <c r="K47" i="7"/>
  <c r="K48" i="7"/>
  <c r="K49" i="7"/>
  <c r="K50" i="7"/>
  <c r="K51" i="7"/>
  <c r="K52" i="7"/>
  <c r="K53" i="7"/>
  <c r="K54" i="7"/>
  <c r="K55" i="7"/>
  <c r="K56" i="7"/>
  <c r="K57" i="7"/>
  <c r="K58" i="7"/>
  <c r="K59" i="7"/>
  <c r="K60" i="7"/>
  <c r="K61" i="7"/>
  <c r="K62" i="7"/>
  <c r="K63" i="7"/>
  <c r="K64" i="7"/>
  <c r="K65" i="7"/>
  <c r="K66" i="7"/>
  <c r="K67" i="7"/>
  <c r="K68" i="7"/>
  <c r="K69" i="7"/>
  <c r="K70" i="7"/>
  <c r="K71" i="7"/>
  <c r="K72" i="7"/>
  <c r="K73" i="7"/>
  <c r="K74" i="7"/>
  <c r="K75" i="7"/>
  <c r="K76" i="7"/>
  <c r="K77" i="7"/>
  <c r="K78" i="7"/>
  <c r="K79" i="7"/>
  <c r="K80" i="7"/>
  <c r="K81" i="7"/>
  <c r="K82" i="7"/>
  <c r="K83" i="7"/>
  <c r="K84" i="7"/>
  <c r="K85" i="7"/>
  <c r="K86" i="7"/>
  <c r="K87" i="7"/>
  <c r="K88" i="7"/>
  <c r="K89" i="7"/>
  <c r="K90" i="7"/>
  <c r="K91" i="7"/>
  <c r="K92" i="7"/>
  <c r="K93" i="7"/>
  <c r="K94" i="7"/>
  <c r="K95" i="7"/>
  <c r="K96" i="7"/>
  <c r="K97" i="7"/>
  <c r="K98" i="7"/>
  <c r="K99" i="7"/>
  <c r="K100" i="7"/>
  <c r="K101" i="7"/>
  <c r="K102" i="7"/>
  <c r="K103" i="7"/>
  <c r="K104" i="7"/>
  <c r="K105" i="7"/>
  <c r="K106" i="7"/>
  <c r="K107" i="7"/>
  <c r="K108" i="7"/>
  <c r="K109" i="7"/>
  <c r="K110" i="7"/>
  <c r="K111" i="7"/>
  <c r="K112" i="7"/>
  <c r="K113" i="7"/>
  <c r="K114" i="7"/>
  <c r="K115" i="7"/>
  <c r="K116" i="7"/>
  <c r="K117" i="7"/>
  <c r="K118" i="7"/>
  <c r="K119" i="7"/>
  <c r="K120" i="7"/>
  <c r="K121" i="7"/>
  <c r="K122" i="7"/>
  <c r="K123" i="7"/>
  <c r="K124" i="7"/>
  <c r="K125" i="7"/>
  <c r="K126" i="7"/>
  <c r="K127" i="7"/>
  <c r="K128" i="7"/>
  <c r="K129" i="7"/>
  <c r="K130" i="7"/>
  <c r="K131" i="7"/>
  <c r="K132" i="7"/>
  <c r="K133" i="7"/>
  <c r="K134" i="7"/>
  <c r="K135" i="7"/>
  <c r="K136" i="7"/>
  <c r="K137" i="7"/>
  <c r="K138" i="7"/>
  <c r="K139" i="7"/>
  <c r="K140" i="7"/>
  <c r="K141" i="7"/>
  <c r="K142" i="7"/>
  <c r="K143" i="7"/>
  <c r="K144" i="7"/>
  <c r="K145" i="7"/>
  <c r="K146" i="7"/>
  <c r="K147" i="7"/>
  <c r="K148" i="7"/>
  <c r="K149" i="7"/>
  <c r="K150" i="7"/>
  <c r="K151" i="7"/>
  <c r="K152" i="7"/>
  <c r="K153" i="7"/>
  <c r="K154" i="7"/>
  <c r="K155" i="7"/>
  <c r="K156" i="7"/>
  <c r="K157" i="7"/>
  <c r="K158" i="7"/>
  <c r="K159" i="7"/>
  <c r="K160" i="7"/>
  <c r="K161" i="7"/>
  <c r="K162" i="7"/>
  <c r="K163" i="7"/>
  <c r="K164" i="7"/>
  <c r="K165" i="7"/>
  <c r="K166" i="7"/>
  <c r="K167" i="7"/>
  <c r="K168" i="7"/>
  <c r="K169" i="7"/>
  <c r="K170" i="7"/>
  <c r="K171" i="7"/>
  <c r="K172" i="7"/>
  <c r="K173" i="7"/>
  <c r="K174" i="7"/>
  <c r="K175" i="7"/>
  <c r="K176" i="7"/>
  <c r="K177" i="7"/>
  <c r="K178" i="7"/>
  <c r="K179" i="7"/>
  <c r="K180" i="7"/>
  <c r="K181" i="7"/>
  <c r="K182" i="7"/>
  <c r="K183" i="7"/>
  <c r="K184" i="7"/>
  <c r="K185" i="7"/>
  <c r="K186" i="7"/>
  <c r="K187" i="7"/>
  <c r="K188" i="7"/>
  <c r="K189" i="7"/>
  <c r="K190" i="7"/>
  <c r="K191" i="7"/>
  <c r="K192" i="7"/>
  <c r="K193" i="7"/>
  <c r="K194" i="7"/>
  <c r="K195" i="7"/>
  <c r="K196" i="7"/>
  <c r="K197" i="7"/>
  <c r="K198" i="7"/>
  <c r="K199" i="7"/>
  <c r="K200" i="7"/>
  <c r="K201" i="7"/>
  <c r="K202" i="7"/>
  <c r="K203" i="7"/>
  <c r="K204" i="7"/>
  <c r="K205" i="7"/>
  <c r="K206" i="7"/>
  <c r="K207" i="7"/>
  <c r="K208" i="7"/>
  <c r="K209" i="7"/>
  <c r="K210" i="7"/>
  <c r="K211" i="7"/>
  <c r="K212" i="7"/>
  <c r="K213" i="7"/>
  <c r="K214" i="7"/>
  <c r="K215" i="7"/>
  <c r="K216" i="7"/>
  <c r="K217" i="7"/>
  <c r="K218" i="7"/>
  <c r="K219" i="7"/>
  <c r="K220" i="7"/>
  <c r="K221" i="7"/>
  <c r="K222" i="7"/>
  <c r="K223" i="7"/>
  <c r="K224" i="7"/>
  <c r="K225" i="7"/>
  <c r="K226" i="7"/>
  <c r="K227" i="7"/>
  <c r="K228" i="7"/>
  <c r="K229" i="7"/>
  <c r="K230" i="7"/>
  <c r="K231" i="7"/>
  <c r="K232" i="7"/>
  <c r="K233" i="7"/>
  <c r="K234" i="7"/>
  <c r="K235" i="7"/>
  <c r="K236" i="7"/>
  <c r="K237" i="7"/>
  <c r="K238" i="7"/>
  <c r="K239" i="7"/>
  <c r="K240" i="7"/>
  <c r="K241" i="7"/>
  <c r="K242" i="7"/>
  <c r="K243" i="7"/>
  <c r="K244" i="7"/>
  <c r="K245" i="7"/>
  <c r="K246" i="7"/>
  <c r="K247" i="7"/>
  <c r="K248" i="7"/>
  <c r="K249" i="7"/>
  <c r="K250" i="7"/>
  <c r="K251" i="7"/>
  <c r="K252" i="7"/>
  <c r="K253" i="7"/>
  <c r="K254" i="7"/>
  <c r="K255" i="7"/>
  <c r="K256" i="7"/>
  <c r="K257" i="7"/>
  <c r="K258" i="7"/>
  <c r="K259" i="7"/>
  <c r="K260" i="7"/>
  <c r="K261" i="7"/>
  <c r="K262" i="7"/>
  <c r="K263" i="7"/>
  <c r="K264" i="7"/>
  <c r="K265" i="7"/>
  <c r="K266" i="7"/>
  <c r="K267" i="7"/>
  <c r="K268" i="7"/>
  <c r="K269" i="7"/>
  <c r="K270" i="7"/>
  <c r="K271" i="7"/>
  <c r="K272" i="7"/>
  <c r="K273" i="7"/>
  <c r="K274" i="7"/>
  <c r="K275" i="7"/>
  <c r="K276" i="7"/>
  <c r="K277" i="7"/>
  <c r="K278" i="7"/>
  <c r="K279" i="7"/>
  <c r="K280" i="7"/>
  <c r="K281" i="7"/>
  <c r="K282" i="7"/>
  <c r="K283" i="7"/>
  <c r="K284" i="7"/>
  <c r="K285" i="7"/>
  <c r="K286" i="7"/>
  <c r="K287" i="7"/>
  <c r="K288" i="7"/>
  <c r="K289" i="7"/>
  <c r="K290" i="7"/>
  <c r="K291" i="7"/>
  <c r="K292" i="7"/>
  <c r="K293" i="7"/>
  <c r="K294" i="7"/>
  <c r="K295" i="7"/>
  <c r="K296" i="7"/>
  <c r="K297" i="7"/>
  <c r="K298" i="7"/>
  <c r="K299" i="7"/>
  <c r="K300" i="7"/>
  <c r="K301" i="7"/>
  <c r="K302" i="7"/>
  <c r="K303" i="7"/>
  <c r="K304" i="7"/>
  <c r="K305" i="7"/>
  <c r="K306" i="7"/>
  <c r="K307" i="7"/>
  <c r="K308" i="7"/>
  <c r="K309" i="7"/>
  <c r="K310" i="7"/>
  <c r="K311" i="7"/>
  <c r="K312" i="7"/>
  <c r="K313" i="7"/>
  <c r="K314" i="7"/>
  <c r="K315" i="7"/>
  <c r="K316" i="7"/>
  <c r="K317" i="7"/>
  <c r="K318" i="7"/>
  <c r="K319" i="7"/>
  <c r="K320" i="7"/>
  <c r="K321" i="7"/>
  <c r="K322" i="7"/>
  <c r="K323" i="7"/>
  <c r="K324" i="7"/>
  <c r="K325" i="7"/>
  <c r="K326" i="7"/>
  <c r="K327" i="7"/>
  <c r="K328" i="7"/>
  <c r="K329" i="7"/>
  <c r="K330" i="7"/>
  <c r="K331" i="7"/>
  <c r="K332" i="7"/>
  <c r="K333" i="7"/>
  <c r="K334" i="7"/>
  <c r="K335" i="7"/>
  <c r="K336" i="7"/>
  <c r="K337" i="7"/>
  <c r="K338" i="7"/>
  <c r="K339" i="7"/>
  <c r="K340" i="7"/>
  <c r="K341" i="7"/>
  <c r="K342" i="7"/>
  <c r="K343" i="7"/>
  <c r="K344" i="7"/>
  <c r="K345" i="7"/>
  <c r="K346" i="7"/>
  <c r="K347" i="7"/>
  <c r="K348" i="7"/>
  <c r="K349" i="7"/>
  <c r="K350" i="7"/>
  <c r="K351" i="7"/>
  <c r="K352" i="7"/>
  <c r="K353" i="7"/>
  <c r="K354" i="7"/>
  <c r="K355" i="7"/>
  <c r="K356" i="7"/>
  <c r="K357" i="7"/>
  <c r="K358" i="7"/>
  <c r="K359" i="7"/>
  <c r="K360" i="7"/>
  <c r="K361" i="7"/>
  <c r="K362" i="7"/>
  <c r="K363" i="7"/>
  <c r="K364" i="7"/>
  <c r="K365" i="7"/>
  <c r="K366" i="7"/>
  <c r="K367" i="7"/>
  <c r="K368" i="7"/>
  <c r="K369" i="7"/>
  <c r="K370" i="7"/>
  <c r="K371" i="7"/>
  <c r="K372" i="7"/>
  <c r="K373" i="7"/>
  <c r="K374" i="7"/>
  <c r="K375" i="7"/>
  <c r="K376" i="7"/>
  <c r="K377" i="7"/>
  <c r="K378" i="7"/>
  <c r="K379" i="7"/>
  <c r="K380" i="7"/>
  <c r="K381" i="7"/>
  <c r="K382" i="7"/>
  <c r="K383" i="7"/>
  <c r="K384" i="7"/>
  <c r="K385" i="7"/>
  <c r="K386" i="7"/>
  <c r="K387" i="7"/>
  <c r="K388" i="7"/>
  <c r="K389" i="7"/>
  <c r="K390" i="7"/>
  <c r="K391" i="7"/>
  <c r="K392" i="7"/>
  <c r="K393" i="7"/>
  <c r="K394" i="7"/>
  <c r="K395" i="7"/>
  <c r="K396" i="7"/>
  <c r="K397" i="7"/>
  <c r="K398" i="7"/>
  <c r="K399" i="7"/>
  <c r="K400" i="7"/>
  <c r="K401" i="7"/>
  <c r="K402" i="7"/>
  <c r="K403" i="7"/>
  <c r="K404" i="7"/>
  <c r="K405" i="7"/>
  <c r="K406" i="7"/>
  <c r="K407" i="7"/>
  <c r="K408" i="7"/>
  <c r="K409" i="7"/>
  <c r="K410" i="7"/>
  <c r="K411" i="7"/>
  <c r="K412" i="7"/>
  <c r="K413" i="7"/>
  <c r="K414" i="7"/>
  <c r="K415" i="7"/>
  <c r="K416" i="7"/>
  <c r="K417" i="7"/>
  <c r="K418" i="7"/>
  <c r="K419" i="7"/>
  <c r="K420" i="7"/>
  <c r="K421" i="7"/>
  <c r="K422" i="7"/>
  <c r="K423" i="7"/>
  <c r="K424" i="7"/>
  <c r="K425" i="7"/>
  <c r="K426" i="7"/>
  <c r="K427" i="7"/>
  <c r="K428" i="7"/>
  <c r="K429" i="7"/>
  <c r="K430" i="7"/>
  <c r="K431" i="7"/>
  <c r="K432" i="7"/>
  <c r="K433" i="7"/>
  <c r="K434" i="7"/>
  <c r="K435" i="7"/>
  <c r="K436" i="7"/>
  <c r="K437" i="7"/>
  <c r="K438" i="7"/>
  <c r="K439" i="7"/>
  <c r="K440" i="7"/>
  <c r="K441" i="7"/>
  <c r="K442" i="7"/>
  <c r="K443" i="7"/>
  <c r="K444" i="7"/>
  <c r="K445" i="7"/>
  <c r="K446" i="7"/>
  <c r="K447" i="7"/>
  <c r="K448" i="7"/>
  <c r="K449" i="7"/>
  <c r="K450" i="7"/>
  <c r="K451" i="7"/>
  <c r="K452" i="7"/>
  <c r="K453" i="7"/>
  <c r="K454" i="7"/>
  <c r="K455" i="7"/>
  <c r="K456" i="7"/>
  <c r="K457" i="7"/>
  <c r="K458" i="7"/>
  <c r="K459" i="7"/>
  <c r="K460" i="7"/>
  <c r="K461" i="7"/>
  <c r="K462" i="7"/>
  <c r="K463" i="7"/>
  <c r="K464" i="7"/>
  <c r="K465" i="7"/>
  <c r="K466" i="7"/>
  <c r="K467" i="7"/>
  <c r="K468" i="7"/>
  <c r="K469" i="7"/>
  <c r="K470" i="7"/>
  <c r="K471" i="7"/>
  <c r="K472" i="7"/>
  <c r="K473" i="7"/>
  <c r="K474" i="7"/>
  <c r="K475" i="7"/>
  <c r="K476" i="7"/>
  <c r="K477" i="7"/>
  <c r="K478" i="7"/>
  <c r="K479" i="7"/>
  <c r="K480" i="7"/>
  <c r="K481" i="7"/>
  <c r="K482" i="7"/>
  <c r="K483" i="7"/>
  <c r="K484" i="7"/>
  <c r="K485" i="7"/>
  <c r="K486" i="7"/>
  <c r="K487" i="7"/>
  <c r="K488" i="7"/>
  <c r="K489" i="7"/>
  <c r="K490" i="7"/>
  <c r="K491" i="7"/>
  <c r="K492" i="7"/>
  <c r="K493" i="7"/>
  <c r="K494" i="7"/>
  <c r="K495" i="7"/>
  <c r="K496" i="7"/>
  <c r="K497" i="7"/>
  <c r="K498" i="7"/>
  <c r="K3" i="7"/>
  <c r="J4" i="7"/>
  <c r="J5" i="7"/>
  <c r="J6" i="7"/>
  <c r="J7" i="7"/>
  <c r="J8" i="7"/>
  <c r="J9" i="7"/>
  <c r="J10" i="7"/>
  <c r="J11" i="7"/>
  <c r="J12" i="7"/>
  <c r="J13" i="7"/>
  <c r="J14" i="7"/>
  <c r="J15" i="7"/>
  <c r="J16" i="7"/>
  <c r="J17" i="7"/>
  <c r="J18" i="7"/>
  <c r="J19" i="7"/>
  <c r="J20" i="7"/>
  <c r="J21" i="7"/>
  <c r="J22" i="7"/>
  <c r="J23" i="7"/>
  <c r="J24" i="7"/>
  <c r="J25" i="7"/>
  <c r="J26" i="7"/>
  <c r="J27" i="7"/>
  <c r="J28" i="7"/>
  <c r="J29" i="7"/>
  <c r="J30" i="7"/>
  <c r="J31" i="7"/>
  <c r="J32" i="7"/>
  <c r="J33" i="7"/>
  <c r="J34" i="7"/>
  <c r="J35" i="7"/>
  <c r="J36" i="7"/>
  <c r="J37" i="7"/>
  <c r="J38" i="7"/>
  <c r="J39" i="7"/>
  <c r="J40" i="7"/>
  <c r="J41" i="7"/>
  <c r="J42" i="7"/>
  <c r="J43" i="7"/>
  <c r="J44" i="7"/>
  <c r="J45" i="7"/>
  <c r="J46" i="7"/>
  <c r="J47" i="7"/>
  <c r="J48" i="7"/>
  <c r="J49" i="7"/>
  <c r="J50" i="7"/>
  <c r="J51" i="7"/>
  <c r="J52" i="7"/>
  <c r="J53" i="7"/>
  <c r="J54" i="7"/>
  <c r="J55" i="7"/>
  <c r="J56" i="7"/>
  <c r="J57" i="7"/>
  <c r="J58" i="7"/>
  <c r="J59" i="7"/>
  <c r="J60" i="7"/>
  <c r="J61" i="7"/>
  <c r="J62" i="7"/>
  <c r="J63" i="7"/>
  <c r="J64" i="7"/>
  <c r="J65" i="7"/>
  <c r="J66" i="7"/>
  <c r="J67" i="7"/>
  <c r="J68" i="7"/>
  <c r="J69" i="7"/>
  <c r="J70" i="7"/>
  <c r="J71" i="7"/>
  <c r="J72" i="7"/>
  <c r="J73" i="7"/>
  <c r="J74" i="7"/>
  <c r="J75" i="7"/>
  <c r="J76" i="7"/>
  <c r="J77" i="7"/>
  <c r="J78" i="7"/>
  <c r="J79" i="7"/>
  <c r="J80" i="7"/>
  <c r="J81" i="7"/>
  <c r="J82" i="7"/>
  <c r="J83" i="7"/>
  <c r="J84" i="7"/>
  <c r="J85" i="7"/>
  <c r="J86" i="7"/>
  <c r="J87" i="7"/>
  <c r="J88" i="7"/>
  <c r="J89" i="7"/>
  <c r="J90" i="7"/>
  <c r="J91" i="7"/>
  <c r="J92" i="7"/>
  <c r="J93" i="7"/>
  <c r="J94" i="7"/>
  <c r="J95" i="7"/>
  <c r="J96" i="7"/>
  <c r="J97" i="7"/>
  <c r="J98" i="7"/>
  <c r="J99" i="7"/>
  <c r="J100" i="7"/>
  <c r="J101" i="7"/>
  <c r="J102" i="7"/>
  <c r="J103" i="7"/>
  <c r="J104" i="7"/>
  <c r="J105" i="7"/>
  <c r="J106" i="7"/>
  <c r="J107" i="7"/>
  <c r="J108" i="7"/>
  <c r="J109" i="7"/>
  <c r="J110" i="7"/>
  <c r="J111" i="7"/>
  <c r="J112" i="7"/>
  <c r="J113" i="7"/>
  <c r="J114" i="7"/>
  <c r="J115" i="7"/>
  <c r="J116" i="7"/>
  <c r="J117" i="7"/>
  <c r="J118" i="7"/>
  <c r="J119" i="7"/>
  <c r="J120" i="7"/>
  <c r="J121" i="7"/>
  <c r="J122" i="7"/>
  <c r="J123" i="7"/>
  <c r="J124" i="7"/>
  <c r="J125" i="7"/>
  <c r="J126" i="7"/>
  <c r="J127" i="7"/>
  <c r="J128" i="7"/>
  <c r="J129" i="7"/>
  <c r="J130" i="7"/>
  <c r="J131" i="7"/>
  <c r="J132" i="7"/>
  <c r="J133" i="7"/>
  <c r="J134" i="7"/>
  <c r="J135" i="7"/>
  <c r="J136" i="7"/>
  <c r="J137" i="7"/>
  <c r="J138" i="7"/>
  <c r="J139" i="7"/>
  <c r="J140" i="7"/>
  <c r="J141" i="7"/>
  <c r="J142" i="7"/>
  <c r="J143" i="7"/>
  <c r="J144" i="7"/>
  <c r="J145" i="7"/>
  <c r="J146" i="7"/>
  <c r="J147" i="7"/>
  <c r="J148" i="7"/>
  <c r="J149" i="7"/>
  <c r="J150" i="7"/>
  <c r="J151" i="7"/>
  <c r="J152" i="7"/>
  <c r="J153" i="7"/>
  <c r="J154" i="7"/>
  <c r="J155" i="7"/>
  <c r="J156" i="7"/>
  <c r="J157" i="7"/>
  <c r="J158" i="7"/>
  <c r="J159" i="7"/>
  <c r="J160" i="7"/>
  <c r="J161" i="7"/>
  <c r="J162" i="7"/>
  <c r="J163" i="7"/>
  <c r="J164" i="7"/>
  <c r="J165" i="7"/>
  <c r="J166" i="7"/>
  <c r="J167" i="7"/>
  <c r="J168" i="7"/>
  <c r="J169" i="7"/>
  <c r="J170" i="7"/>
  <c r="J171" i="7"/>
  <c r="J172" i="7"/>
  <c r="J173" i="7"/>
  <c r="J174" i="7"/>
  <c r="J175" i="7"/>
  <c r="J176" i="7"/>
  <c r="J177" i="7"/>
  <c r="J178" i="7"/>
  <c r="J179" i="7"/>
  <c r="J180" i="7"/>
  <c r="J181" i="7"/>
  <c r="J182" i="7"/>
  <c r="J183" i="7"/>
  <c r="J184" i="7"/>
  <c r="J185" i="7"/>
  <c r="J186" i="7"/>
  <c r="J187" i="7"/>
  <c r="J188" i="7"/>
  <c r="J189" i="7"/>
  <c r="J190" i="7"/>
  <c r="J191" i="7"/>
  <c r="J192" i="7"/>
  <c r="J193" i="7"/>
  <c r="J194" i="7"/>
  <c r="J195" i="7"/>
  <c r="J196" i="7"/>
  <c r="J197" i="7"/>
  <c r="J198" i="7"/>
  <c r="J199" i="7"/>
  <c r="J200" i="7"/>
  <c r="J201" i="7"/>
  <c r="J202" i="7"/>
  <c r="J203" i="7"/>
  <c r="J204" i="7"/>
  <c r="J205" i="7"/>
  <c r="J206" i="7"/>
  <c r="J207" i="7"/>
  <c r="J208" i="7"/>
  <c r="J209" i="7"/>
  <c r="J210" i="7"/>
  <c r="J211" i="7"/>
  <c r="J212" i="7"/>
  <c r="J213" i="7"/>
  <c r="J214" i="7"/>
  <c r="J215" i="7"/>
  <c r="J216" i="7"/>
  <c r="J217" i="7"/>
  <c r="J218" i="7"/>
  <c r="J219" i="7"/>
  <c r="J220" i="7"/>
  <c r="J221" i="7"/>
  <c r="J222" i="7"/>
  <c r="J223" i="7"/>
  <c r="J224" i="7"/>
  <c r="J225" i="7"/>
  <c r="J226" i="7"/>
  <c r="J227" i="7"/>
  <c r="J228" i="7"/>
  <c r="J229" i="7"/>
  <c r="J230" i="7"/>
  <c r="J231" i="7"/>
  <c r="J232" i="7"/>
  <c r="J233" i="7"/>
  <c r="J234" i="7"/>
  <c r="J235" i="7"/>
  <c r="J236" i="7"/>
  <c r="J237" i="7"/>
  <c r="J238" i="7"/>
  <c r="J239" i="7"/>
  <c r="J240" i="7"/>
  <c r="J241" i="7"/>
  <c r="J242" i="7"/>
  <c r="J243" i="7"/>
  <c r="J244" i="7"/>
  <c r="J245" i="7"/>
  <c r="J246" i="7"/>
  <c r="J247" i="7"/>
  <c r="J248" i="7"/>
  <c r="J249" i="7"/>
  <c r="J250" i="7"/>
  <c r="J251" i="7"/>
  <c r="J252" i="7"/>
  <c r="J253" i="7"/>
  <c r="J254" i="7"/>
  <c r="J255" i="7"/>
  <c r="J256" i="7"/>
  <c r="J257" i="7"/>
  <c r="J258" i="7"/>
  <c r="J259" i="7"/>
  <c r="J260" i="7"/>
  <c r="J261" i="7"/>
  <c r="J262" i="7"/>
  <c r="J263" i="7"/>
  <c r="J264" i="7"/>
  <c r="J265" i="7"/>
  <c r="J266" i="7"/>
  <c r="J267" i="7"/>
  <c r="J268" i="7"/>
  <c r="J269" i="7"/>
  <c r="J270" i="7"/>
  <c r="J271" i="7"/>
  <c r="J272" i="7"/>
  <c r="J273" i="7"/>
  <c r="J274" i="7"/>
  <c r="J275" i="7"/>
  <c r="J276" i="7"/>
  <c r="J277" i="7"/>
  <c r="J278" i="7"/>
  <c r="J279" i="7"/>
  <c r="J280" i="7"/>
  <c r="J281" i="7"/>
  <c r="J282" i="7"/>
  <c r="J283" i="7"/>
  <c r="J284" i="7"/>
  <c r="J285" i="7"/>
  <c r="J286" i="7"/>
  <c r="J287" i="7"/>
  <c r="J288" i="7"/>
  <c r="J289" i="7"/>
  <c r="J290" i="7"/>
  <c r="J291" i="7"/>
  <c r="J292" i="7"/>
  <c r="J293" i="7"/>
  <c r="J294" i="7"/>
  <c r="J295" i="7"/>
  <c r="J296" i="7"/>
  <c r="J297" i="7"/>
  <c r="J298" i="7"/>
  <c r="J299" i="7"/>
  <c r="J300" i="7"/>
  <c r="J301" i="7"/>
  <c r="J302" i="7"/>
  <c r="J303" i="7"/>
  <c r="J304" i="7"/>
  <c r="J305" i="7"/>
  <c r="J306" i="7"/>
  <c r="J307" i="7"/>
  <c r="J308" i="7"/>
  <c r="J309" i="7"/>
  <c r="J310" i="7"/>
  <c r="J311" i="7"/>
  <c r="J312" i="7"/>
  <c r="J313" i="7"/>
  <c r="J314" i="7"/>
  <c r="J315" i="7"/>
  <c r="J316" i="7"/>
  <c r="J317" i="7"/>
  <c r="J318" i="7"/>
  <c r="J319" i="7"/>
  <c r="J320" i="7"/>
  <c r="J321" i="7"/>
  <c r="J322" i="7"/>
  <c r="J323" i="7"/>
  <c r="J324" i="7"/>
  <c r="J325" i="7"/>
  <c r="J326" i="7"/>
  <c r="J327" i="7"/>
  <c r="J328" i="7"/>
  <c r="J329" i="7"/>
  <c r="J330" i="7"/>
  <c r="J331" i="7"/>
  <c r="J332" i="7"/>
  <c r="J333" i="7"/>
  <c r="J334" i="7"/>
  <c r="J335" i="7"/>
  <c r="J336" i="7"/>
  <c r="J337" i="7"/>
  <c r="J338" i="7"/>
  <c r="J339" i="7"/>
  <c r="J340" i="7"/>
  <c r="J341" i="7"/>
  <c r="J342" i="7"/>
  <c r="J343" i="7"/>
  <c r="J344" i="7"/>
  <c r="J345" i="7"/>
  <c r="J346" i="7"/>
  <c r="J347" i="7"/>
  <c r="J348" i="7"/>
  <c r="J349" i="7"/>
  <c r="J350" i="7"/>
  <c r="J351" i="7"/>
  <c r="J352" i="7"/>
  <c r="J353" i="7"/>
  <c r="J354" i="7"/>
  <c r="J355" i="7"/>
  <c r="J356" i="7"/>
  <c r="J357" i="7"/>
  <c r="J358" i="7"/>
  <c r="J359" i="7"/>
  <c r="J360" i="7"/>
  <c r="J361" i="7"/>
  <c r="J362" i="7"/>
  <c r="J363" i="7"/>
  <c r="J364" i="7"/>
  <c r="J365" i="7"/>
  <c r="J366" i="7"/>
  <c r="J367" i="7"/>
  <c r="J368" i="7"/>
  <c r="J369" i="7"/>
  <c r="J370" i="7"/>
  <c r="J371" i="7"/>
  <c r="J372" i="7"/>
  <c r="J373" i="7"/>
  <c r="J374" i="7"/>
  <c r="J375" i="7"/>
  <c r="J376" i="7"/>
  <c r="J377" i="7"/>
  <c r="J378" i="7"/>
  <c r="J379" i="7"/>
  <c r="J380" i="7"/>
  <c r="J381" i="7"/>
  <c r="J382" i="7"/>
  <c r="J383" i="7"/>
  <c r="J384" i="7"/>
  <c r="J385" i="7"/>
  <c r="J386" i="7"/>
  <c r="J387" i="7"/>
  <c r="J388" i="7"/>
  <c r="J389" i="7"/>
  <c r="J390" i="7"/>
  <c r="J391" i="7"/>
  <c r="J392" i="7"/>
  <c r="J393" i="7"/>
  <c r="J394" i="7"/>
  <c r="J395" i="7"/>
  <c r="J396" i="7"/>
  <c r="J397" i="7"/>
  <c r="J398" i="7"/>
  <c r="J399" i="7"/>
  <c r="J400" i="7"/>
  <c r="J401" i="7"/>
  <c r="J402" i="7"/>
  <c r="J403" i="7"/>
  <c r="J404" i="7"/>
  <c r="J405" i="7"/>
  <c r="J406" i="7"/>
  <c r="J407" i="7"/>
  <c r="J408" i="7"/>
  <c r="J409" i="7"/>
  <c r="J410" i="7"/>
  <c r="J411" i="7"/>
  <c r="J412" i="7"/>
  <c r="J413" i="7"/>
  <c r="J414" i="7"/>
  <c r="J415" i="7"/>
  <c r="J416" i="7"/>
  <c r="J417" i="7"/>
  <c r="J418" i="7"/>
  <c r="J419" i="7"/>
  <c r="J420" i="7"/>
  <c r="J421" i="7"/>
  <c r="J422" i="7"/>
  <c r="J423" i="7"/>
  <c r="J424" i="7"/>
  <c r="J425" i="7"/>
  <c r="J426" i="7"/>
  <c r="J427" i="7"/>
  <c r="J428" i="7"/>
  <c r="J429" i="7"/>
  <c r="J430" i="7"/>
  <c r="J431" i="7"/>
  <c r="J432" i="7"/>
  <c r="J433" i="7"/>
  <c r="J434" i="7"/>
  <c r="J435" i="7"/>
  <c r="J436" i="7"/>
  <c r="J437" i="7"/>
  <c r="J438" i="7"/>
  <c r="J439" i="7"/>
  <c r="J440" i="7"/>
  <c r="J441" i="7"/>
  <c r="J442" i="7"/>
  <c r="J443" i="7"/>
  <c r="J444" i="7"/>
  <c r="J445" i="7"/>
  <c r="J446" i="7"/>
  <c r="J447" i="7"/>
  <c r="J448" i="7"/>
  <c r="J449" i="7"/>
  <c r="J450" i="7"/>
  <c r="J451" i="7"/>
  <c r="J452" i="7"/>
  <c r="J453" i="7"/>
  <c r="J454" i="7"/>
  <c r="J455" i="7"/>
  <c r="J456" i="7"/>
  <c r="J457" i="7"/>
  <c r="J458" i="7"/>
  <c r="J459" i="7"/>
  <c r="J460" i="7"/>
  <c r="J461" i="7"/>
  <c r="J462" i="7"/>
  <c r="J463" i="7"/>
  <c r="J464" i="7"/>
  <c r="J465" i="7"/>
  <c r="J466" i="7"/>
  <c r="J467" i="7"/>
  <c r="J468" i="7"/>
  <c r="J469" i="7"/>
  <c r="J470" i="7"/>
  <c r="J471" i="7"/>
  <c r="J472" i="7"/>
  <c r="J473" i="7"/>
  <c r="J474" i="7"/>
  <c r="J475" i="7"/>
  <c r="J476" i="7"/>
  <c r="J477" i="7"/>
  <c r="J478" i="7"/>
  <c r="J479" i="7"/>
  <c r="J480" i="7"/>
  <c r="J481" i="7"/>
  <c r="J482" i="7"/>
  <c r="J483" i="7"/>
  <c r="J484" i="7"/>
  <c r="J485" i="7"/>
  <c r="J486" i="7"/>
  <c r="J487" i="7"/>
  <c r="J488" i="7"/>
  <c r="J489" i="7"/>
  <c r="J490" i="7"/>
  <c r="J491" i="7"/>
  <c r="J492" i="7"/>
  <c r="J493" i="7"/>
  <c r="J494" i="7"/>
  <c r="J495" i="7"/>
  <c r="J496" i="7"/>
  <c r="J497" i="7"/>
  <c r="J498" i="7"/>
  <c r="J3" i="7"/>
  <c r="E3" i="7"/>
  <c r="E4" i="7"/>
  <c r="E5" i="7"/>
  <c r="E6" i="7"/>
  <c r="E498" i="7"/>
  <c r="E497" i="7"/>
  <c r="E496" i="7"/>
  <c r="E495" i="7"/>
  <c r="E494" i="7"/>
  <c r="E493" i="7"/>
  <c r="E492" i="7"/>
  <c r="E491" i="7"/>
  <c r="E490" i="7"/>
  <c r="E489" i="7"/>
  <c r="E488" i="7"/>
  <c r="E487" i="7"/>
  <c r="E486" i="7"/>
  <c r="E485" i="7"/>
  <c r="E484" i="7"/>
  <c r="E483" i="7"/>
  <c r="E482" i="7"/>
  <c r="E481" i="7"/>
  <c r="E480" i="7"/>
  <c r="E479" i="7"/>
  <c r="E478" i="7"/>
  <c r="E477" i="7"/>
  <c r="E476" i="7"/>
  <c r="E475" i="7"/>
  <c r="E474" i="7"/>
  <c r="E473" i="7"/>
  <c r="E472" i="7"/>
  <c r="E471" i="7"/>
  <c r="E470" i="7"/>
  <c r="E469" i="7"/>
  <c r="E468" i="7"/>
  <c r="E467" i="7"/>
  <c r="E466" i="7"/>
  <c r="E465" i="7"/>
  <c r="E464" i="7"/>
  <c r="E463" i="7"/>
  <c r="E462" i="7"/>
  <c r="E461" i="7"/>
  <c r="E460" i="7"/>
  <c r="E459" i="7"/>
  <c r="E458" i="7"/>
  <c r="E457" i="7"/>
  <c r="E456" i="7"/>
  <c r="E455" i="7"/>
  <c r="E454" i="7"/>
  <c r="E453" i="7"/>
  <c r="E452" i="7"/>
  <c r="E451" i="7"/>
  <c r="E450" i="7"/>
  <c r="E449" i="7"/>
  <c r="E448" i="7"/>
  <c r="E447" i="7"/>
  <c r="E446" i="7"/>
  <c r="E445" i="7"/>
  <c r="E444" i="7"/>
  <c r="E443" i="7"/>
  <c r="E442" i="7"/>
  <c r="E441" i="7"/>
  <c r="E440" i="7"/>
  <c r="E439" i="7"/>
  <c r="E438" i="7"/>
  <c r="E437" i="7"/>
  <c r="E436" i="7"/>
  <c r="E435" i="7"/>
  <c r="E434" i="7"/>
  <c r="E433" i="7"/>
  <c r="E432" i="7"/>
  <c r="E431" i="7"/>
  <c r="E430" i="7"/>
  <c r="E429" i="7"/>
  <c r="E428" i="7"/>
  <c r="E427" i="7"/>
  <c r="E426" i="7"/>
  <c r="E425" i="7"/>
  <c r="E424" i="7"/>
  <c r="E423" i="7"/>
  <c r="E422" i="7"/>
  <c r="E421" i="7"/>
  <c r="E420" i="7"/>
  <c r="E419" i="7"/>
  <c r="E418" i="7"/>
  <c r="E417" i="7"/>
  <c r="E416" i="7"/>
  <c r="E415" i="7"/>
  <c r="E414" i="7"/>
  <c r="E413" i="7"/>
  <c r="E412" i="7"/>
  <c r="E411" i="7"/>
  <c r="E410" i="7"/>
  <c r="E409" i="7"/>
  <c r="E408" i="7"/>
  <c r="E407" i="7"/>
  <c r="E406" i="7"/>
  <c r="E405" i="7"/>
  <c r="E404" i="7"/>
  <c r="E403" i="7"/>
  <c r="E402" i="7"/>
  <c r="E401" i="7"/>
  <c r="E400" i="7"/>
  <c r="E399" i="7"/>
  <c r="E398" i="7"/>
  <c r="E397" i="7"/>
  <c r="E396" i="7"/>
  <c r="E395" i="7"/>
  <c r="E394" i="7"/>
  <c r="E393" i="7"/>
  <c r="E392" i="7"/>
  <c r="E391" i="7"/>
  <c r="E390" i="7"/>
  <c r="E389" i="7"/>
  <c r="E388" i="7"/>
  <c r="E387" i="7"/>
  <c r="E386" i="7"/>
  <c r="E385" i="7"/>
  <c r="E384" i="7"/>
  <c r="E383" i="7"/>
  <c r="E382" i="7"/>
  <c r="E381" i="7"/>
  <c r="E380" i="7"/>
  <c r="E379" i="7"/>
  <c r="E378" i="7"/>
  <c r="E377" i="7"/>
  <c r="E376" i="7"/>
  <c r="E375" i="7"/>
  <c r="E374" i="7"/>
  <c r="E373" i="7"/>
  <c r="E372" i="7"/>
  <c r="E371" i="7"/>
  <c r="E370" i="7"/>
  <c r="E369" i="7"/>
  <c r="E368" i="7"/>
  <c r="E367" i="7"/>
  <c r="E366" i="7"/>
  <c r="E365" i="7"/>
  <c r="E364" i="7"/>
  <c r="E363" i="7"/>
  <c r="E362" i="7"/>
  <c r="E361" i="7"/>
  <c r="E360" i="7"/>
  <c r="E359" i="7"/>
  <c r="E358" i="7"/>
  <c r="E357" i="7"/>
  <c r="E356" i="7"/>
  <c r="E355" i="7"/>
  <c r="E354" i="7"/>
  <c r="E353" i="7"/>
  <c r="E352" i="7"/>
  <c r="E351" i="7"/>
  <c r="E350" i="7"/>
  <c r="E349" i="7"/>
  <c r="E348" i="7"/>
  <c r="E347" i="7"/>
  <c r="E346" i="7"/>
  <c r="E345" i="7"/>
  <c r="E344" i="7"/>
  <c r="E343" i="7"/>
  <c r="E342" i="7"/>
  <c r="E341" i="7"/>
  <c r="E340" i="7"/>
  <c r="E339" i="7"/>
  <c r="E338" i="7"/>
  <c r="E337" i="7"/>
  <c r="E336" i="7"/>
  <c r="E335" i="7"/>
  <c r="E334" i="7"/>
  <c r="E333" i="7"/>
  <c r="E332" i="7"/>
  <c r="E331" i="7"/>
  <c r="E330" i="7"/>
  <c r="E329" i="7"/>
  <c r="E328" i="7"/>
  <c r="E327" i="7"/>
  <c r="E326" i="7"/>
  <c r="E325" i="7"/>
  <c r="E324" i="7"/>
  <c r="E323" i="7"/>
  <c r="E322" i="7"/>
  <c r="E321" i="7"/>
  <c r="E320" i="7"/>
  <c r="E319" i="7"/>
  <c r="E318" i="7"/>
  <c r="E317" i="7"/>
  <c r="E316" i="7"/>
  <c r="E315" i="7"/>
  <c r="E314" i="7"/>
  <c r="E313" i="7"/>
  <c r="E312" i="7"/>
  <c r="E311" i="7"/>
  <c r="E310" i="7"/>
  <c r="E309" i="7"/>
  <c r="E308" i="7"/>
  <c r="E307" i="7"/>
  <c r="E306" i="7"/>
  <c r="E305" i="7"/>
  <c r="E304" i="7"/>
  <c r="E303" i="7"/>
  <c r="E302" i="7"/>
  <c r="E301" i="7"/>
  <c r="E300" i="7"/>
  <c r="E299" i="7"/>
  <c r="E298" i="7"/>
  <c r="E297" i="7"/>
  <c r="E296" i="7"/>
  <c r="E295" i="7"/>
  <c r="E294" i="7"/>
  <c r="E293" i="7"/>
  <c r="E292" i="7"/>
  <c r="E291" i="7"/>
  <c r="E290" i="7"/>
  <c r="E289" i="7"/>
  <c r="E288" i="7"/>
  <c r="E287" i="7"/>
  <c r="E286" i="7"/>
  <c r="E285" i="7"/>
  <c r="E284" i="7"/>
  <c r="E283" i="7"/>
  <c r="E282" i="7"/>
  <c r="E281" i="7"/>
  <c r="E280" i="7"/>
  <c r="E279" i="7"/>
  <c r="E278" i="7"/>
  <c r="E277" i="7"/>
  <c r="E276" i="7"/>
  <c r="E275" i="7"/>
  <c r="E274" i="7"/>
  <c r="E273" i="7"/>
  <c r="E272" i="7"/>
  <c r="E271" i="7"/>
  <c r="E270" i="7"/>
  <c r="E269" i="7"/>
  <c r="E268" i="7"/>
  <c r="E267" i="7"/>
  <c r="E266" i="7"/>
  <c r="E265" i="7"/>
  <c r="E264" i="7"/>
  <c r="E263" i="7"/>
  <c r="E262" i="7"/>
  <c r="E261" i="7"/>
  <c r="E260" i="7"/>
  <c r="E259" i="7"/>
  <c r="E258" i="7"/>
  <c r="E257" i="7"/>
  <c r="E256" i="7"/>
  <c r="E255" i="7"/>
  <c r="E254" i="7"/>
  <c r="E253" i="7"/>
  <c r="E252" i="7"/>
  <c r="E251" i="7"/>
  <c r="E250" i="7"/>
  <c r="E249" i="7"/>
  <c r="E248" i="7"/>
  <c r="E247" i="7"/>
  <c r="E246" i="7"/>
  <c r="E245" i="7"/>
  <c r="E244" i="7"/>
  <c r="E243" i="7"/>
  <c r="E242" i="7"/>
  <c r="E241" i="7"/>
  <c r="E240" i="7"/>
  <c r="E239" i="7"/>
  <c r="E238" i="7"/>
  <c r="E237" i="7"/>
  <c r="E236" i="7"/>
  <c r="E235" i="7"/>
  <c r="E234" i="7"/>
  <c r="E233" i="7"/>
  <c r="E232" i="7"/>
  <c r="E231" i="7"/>
  <c r="E230" i="7"/>
  <c r="E229" i="7"/>
  <c r="E228" i="7"/>
  <c r="E227" i="7"/>
  <c r="E226" i="7"/>
  <c r="E225" i="7"/>
  <c r="E224" i="7"/>
  <c r="E223" i="7"/>
  <c r="E222" i="7"/>
  <c r="E221" i="7"/>
  <c r="E220" i="7"/>
  <c r="E219" i="7"/>
  <c r="E218" i="7"/>
  <c r="E217" i="7"/>
  <c r="E216" i="7"/>
  <c r="E215" i="7"/>
  <c r="E214" i="7"/>
  <c r="E213" i="7"/>
  <c r="E212" i="7"/>
  <c r="E211" i="7"/>
  <c r="E210" i="7"/>
  <c r="E209" i="7"/>
  <c r="E208" i="7"/>
  <c r="E207" i="7"/>
  <c r="E206" i="7"/>
  <c r="E205" i="7"/>
  <c r="E204" i="7"/>
  <c r="E203" i="7"/>
  <c r="E202" i="7"/>
  <c r="E201" i="7"/>
  <c r="E200" i="7"/>
  <c r="E199" i="7"/>
  <c r="E198" i="7"/>
  <c r="E197" i="7"/>
  <c r="E196" i="7"/>
  <c r="E195" i="7"/>
  <c r="E194" i="7"/>
  <c r="E193" i="7"/>
  <c r="E192" i="7"/>
  <c r="E191" i="7"/>
  <c r="E190" i="7"/>
  <c r="E189" i="7"/>
  <c r="E188" i="7"/>
  <c r="E187" i="7"/>
  <c r="E186" i="7"/>
  <c r="E185" i="7"/>
  <c r="E184" i="7"/>
  <c r="E183" i="7"/>
  <c r="E182" i="7"/>
  <c r="E181" i="7"/>
  <c r="E180" i="7"/>
  <c r="E179" i="7"/>
  <c r="E178" i="7"/>
  <c r="E177" i="7"/>
  <c r="E176" i="7"/>
  <c r="E175" i="7"/>
  <c r="E174" i="7"/>
  <c r="E173" i="7"/>
  <c r="E172" i="7"/>
  <c r="E171" i="7"/>
  <c r="E170" i="7"/>
  <c r="E169" i="7"/>
  <c r="E168" i="7"/>
  <c r="E167" i="7"/>
  <c r="E166" i="7"/>
  <c r="E165" i="7"/>
  <c r="E164" i="7"/>
  <c r="E163" i="7"/>
  <c r="E162" i="7"/>
  <c r="E161" i="7"/>
  <c r="E160" i="7"/>
  <c r="E159" i="7"/>
  <c r="E158" i="7"/>
  <c r="E157" i="7"/>
  <c r="E156" i="7"/>
  <c r="E155" i="7"/>
  <c r="E154" i="7"/>
  <c r="E153" i="7"/>
  <c r="E152" i="7"/>
  <c r="E151" i="7"/>
  <c r="E150" i="7"/>
  <c r="E149" i="7"/>
  <c r="E148" i="7"/>
  <c r="E147" i="7"/>
  <c r="E146" i="7"/>
  <c r="E145" i="7"/>
  <c r="E144" i="7"/>
  <c r="E143" i="7"/>
  <c r="E142" i="7"/>
  <c r="E141" i="7"/>
  <c r="E140" i="7"/>
  <c r="E139" i="7"/>
  <c r="E138" i="7"/>
  <c r="E137" i="7"/>
  <c r="E136" i="7"/>
  <c r="E135" i="7"/>
  <c r="E134" i="7"/>
  <c r="E133" i="7"/>
  <c r="E132" i="7"/>
  <c r="E131" i="7"/>
  <c r="E130" i="7"/>
  <c r="E129" i="7"/>
  <c r="E128" i="7"/>
  <c r="E127" i="7"/>
  <c r="E126" i="7"/>
  <c r="E125" i="7"/>
  <c r="E124" i="7"/>
  <c r="E123" i="7"/>
  <c r="E122" i="7"/>
  <c r="E121" i="7"/>
  <c r="E120" i="7"/>
  <c r="E119" i="7"/>
  <c r="E118" i="7"/>
  <c r="E117" i="7"/>
  <c r="E116" i="7"/>
  <c r="E115" i="7"/>
  <c r="E114" i="7"/>
  <c r="E113" i="7"/>
  <c r="E112" i="7"/>
  <c r="E111" i="7"/>
  <c r="E110" i="7"/>
  <c r="E109" i="7"/>
  <c r="E108" i="7"/>
  <c r="E107" i="7"/>
  <c r="E106" i="7"/>
  <c r="E105" i="7"/>
  <c r="E104" i="7"/>
  <c r="E103" i="7"/>
  <c r="E102" i="7"/>
  <c r="E101" i="7"/>
  <c r="E100" i="7"/>
  <c r="E99" i="7"/>
  <c r="E98" i="7"/>
  <c r="E97" i="7"/>
  <c r="E96" i="7"/>
  <c r="E95" i="7"/>
  <c r="E94" i="7"/>
  <c r="E93" i="7"/>
  <c r="E92" i="7"/>
  <c r="E91" i="7"/>
  <c r="E90" i="7"/>
  <c r="E89" i="7"/>
  <c r="E88" i="7"/>
  <c r="E87" i="7"/>
  <c r="E86" i="7"/>
  <c r="E85" i="7"/>
  <c r="E84" i="7"/>
  <c r="E83" i="7"/>
  <c r="E82" i="7"/>
  <c r="E81" i="7"/>
  <c r="E80" i="7"/>
  <c r="E79" i="7"/>
  <c r="E78" i="7"/>
  <c r="E77" i="7"/>
  <c r="E76" i="7"/>
  <c r="E75" i="7"/>
  <c r="E74" i="7"/>
  <c r="E73" i="7"/>
  <c r="E72" i="7"/>
  <c r="E71" i="7"/>
  <c r="E70" i="7"/>
  <c r="E69" i="7"/>
  <c r="E68" i="7"/>
  <c r="E67" i="7"/>
  <c r="E66" i="7"/>
  <c r="E65" i="7"/>
  <c r="E64" i="7"/>
  <c r="E63" i="7"/>
  <c r="E62" i="7"/>
  <c r="E61" i="7"/>
  <c r="E60" i="7"/>
  <c r="E59" i="7"/>
  <c r="E58" i="7"/>
  <c r="E57" i="7"/>
  <c r="E56" i="7"/>
  <c r="E55" i="7"/>
  <c r="E54" i="7"/>
  <c r="E53" i="7"/>
  <c r="E52" i="7"/>
  <c r="E51" i="7"/>
  <c r="E50" i="7"/>
  <c r="E49" i="7"/>
  <c r="E48" i="7"/>
  <c r="E47" i="7"/>
  <c r="E46" i="7"/>
  <c r="E45" i="7"/>
  <c r="E44" i="7"/>
  <c r="E43" i="7"/>
  <c r="E42" i="7"/>
  <c r="E41" i="7"/>
  <c r="E40" i="7"/>
  <c r="E39" i="7"/>
  <c r="E38" i="7"/>
  <c r="E37" i="7"/>
  <c r="E36" i="7"/>
  <c r="E35" i="7"/>
  <c r="E34" i="7"/>
  <c r="E33" i="7"/>
  <c r="E32" i="7"/>
  <c r="E31" i="7"/>
  <c r="E30" i="7"/>
  <c r="E29" i="7"/>
  <c r="E28" i="7"/>
  <c r="E27" i="7"/>
  <c r="E26" i="7"/>
  <c r="E25" i="7"/>
  <c r="E24" i="7"/>
  <c r="E23" i="7"/>
  <c r="E22" i="7"/>
  <c r="E21" i="7"/>
  <c r="E20" i="7"/>
  <c r="E19" i="7"/>
  <c r="E18" i="7"/>
  <c r="E17" i="7"/>
  <c r="E16" i="7"/>
  <c r="E15" i="7"/>
  <c r="E14" i="7"/>
  <c r="E13" i="7"/>
  <c r="E12" i="7"/>
  <c r="E11" i="7"/>
  <c r="E10" i="7"/>
  <c r="E9" i="7"/>
  <c r="E8" i="7"/>
  <c r="E7" i="7"/>
  <c r="E2" i="7"/>
  <c r="C3" i="7"/>
  <c r="C4" i="7"/>
  <c r="C5" i="7"/>
  <c r="C6" i="7"/>
  <c r="C498" i="7"/>
  <c r="C497" i="7"/>
  <c r="C496" i="7"/>
  <c r="C495" i="7"/>
  <c r="C494" i="7"/>
  <c r="C493" i="7"/>
  <c r="C492" i="7"/>
  <c r="C491" i="7"/>
  <c r="C490" i="7"/>
  <c r="C489" i="7"/>
  <c r="C488" i="7"/>
  <c r="C487" i="7"/>
  <c r="C486" i="7"/>
  <c r="C485" i="7"/>
  <c r="C484" i="7"/>
  <c r="C483" i="7"/>
  <c r="C482" i="7"/>
  <c r="C481" i="7"/>
  <c r="C480" i="7"/>
  <c r="C479" i="7"/>
  <c r="C478" i="7"/>
  <c r="C477" i="7"/>
  <c r="C476" i="7"/>
  <c r="C475" i="7"/>
  <c r="C474" i="7"/>
  <c r="C473" i="7"/>
  <c r="C472" i="7"/>
  <c r="C471" i="7"/>
  <c r="C470" i="7"/>
  <c r="C469" i="7"/>
  <c r="C468" i="7"/>
  <c r="C467" i="7"/>
  <c r="C466" i="7"/>
  <c r="C465" i="7"/>
  <c r="C464" i="7"/>
  <c r="C463" i="7"/>
  <c r="C462" i="7"/>
  <c r="C461" i="7"/>
  <c r="C460" i="7"/>
  <c r="C459" i="7"/>
  <c r="C458" i="7"/>
  <c r="C457" i="7"/>
  <c r="C456" i="7"/>
  <c r="C455" i="7"/>
  <c r="C454" i="7"/>
  <c r="C453" i="7"/>
  <c r="C452" i="7"/>
  <c r="C451" i="7"/>
  <c r="C450" i="7"/>
  <c r="C449" i="7"/>
  <c r="C448" i="7"/>
  <c r="C447" i="7"/>
  <c r="C446" i="7"/>
  <c r="C445" i="7"/>
  <c r="C444" i="7"/>
  <c r="C443" i="7"/>
  <c r="C442" i="7"/>
  <c r="C441" i="7"/>
  <c r="C440" i="7"/>
  <c r="C439" i="7"/>
  <c r="C438" i="7"/>
  <c r="C437" i="7"/>
  <c r="C436" i="7"/>
  <c r="C435" i="7"/>
  <c r="C434" i="7"/>
  <c r="C433" i="7"/>
  <c r="C432" i="7"/>
  <c r="C431" i="7"/>
  <c r="C430" i="7"/>
  <c r="C429" i="7"/>
  <c r="C428" i="7"/>
  <c r="C427" i="7"/>
  <c r="C426" i="7"/>
  <c r="C425" i="7"/>
  <c r="C424" i="7"/>
  <c r="C423" i="7"/>
  <c r="C422" i="7"/>
  <c r="C421" i="7"/>
  <c r="C420" i="7"/>
  <c r="C419" i="7"/>
  <c r="C418" i="7"/>
  <c r="C417" i="7"/>
  <c r="C416" i="7"/>
  <c r="C415" i="7"/>
  <c r="C414" i="7"/>
  <c r="C413" i="7"/>
  <c r="C412" i="7"/>
  <c r="C411" i="7"/>
  <c r="C410" i="7"/>
  <c r="C409" i="7"/>
  <c r="C408" i="7"/>
  <c r="C407" i="7"/>
  <c r="C406" i="7"/>
  <c r="C405" i="7"/>
  <c r="C404" i="7"/>
  <c r="C403" i="7"/>
  <c r="C402" i="7"/>
  <c r="C401" i="7"/>
  <c r="C400" i="7"/>
  <c r="C399" i="7"/>
  <c r="C398" i="7"/>
  <c r="C397" i="7"/>
  <c r="C396" i="7"/>
  <c r="C395" i="7"/>
  <c r="C394" i="7"/>
  <c r="C393" i="7"/>
  <c r="C392" i="7"/>
  <c r="C391" i="7"/>
  <c r="C390" i="7"/>
  <c r="C389" i="7"/>
  <c r="C388" i="7"/>
  <c r="C387" i="7"/>
  <c r="C386" i="7"/>
  <c r="C385" i="7"/>
  <c r="C384" i="7"/>
  <c r="C383" i="7"/>
  <c r="C382" i="7"/>
  <c r="C381" i="7"/>
  <c r="C380" i="7"/>
  <c r="C379" i="7"/>
  <c r="C378" i="7"/>
  <c r="C377" i="7"/>
  <c r="C376" i="7"/>
  <c r="C375" i="7"/>
  <c r="C374" i="7"/>
  <c r="C373" i="7"/>
  <c r="C372" i="7"/>
  <c r="C371" i="7"/>
  <c r="C370" i="7"/>
  <c r="C369" i="7"/>
  <c r="C368" i="7"/>
  <c r="C367" i="7"/>
  <c r="C366" i="7"/>
  <c r="C365" i="7"/>
  <c r="C364" i="7"/>
  <c r="C363" i="7"/>
  <c r="C362" i="7"/>
  <c r="C361" i="7"/>
  <c r="C360" i="7"/>
  <c r="C359" i="7"/>
  <c r="C358" i="7"/>
  <c r="C357" i="7"/>
  <c r="C356" i="7"/>
  <c r="C355" i="7"/>
  <c r="C354" i="7"/>
  <c r="C353" i="7"/>
  <c r="C352" i="7"/>
  <c r="C351" i="7"/>
  <c r="C350" i="7"/>
  <c r="C349" i="7"/>
  <c r="C348" i="7"/>
  <c r="C347" i="7"/>
  <c r="C346" i="7"/>
  <c r="C345" i="7"/>
  <c r="C344" i="7"/>
  <c r="C343" i="7"/>
  <c r="C342" i="7"/>
  <c r="C341" i="7"/>
  <c r="C340" i="7"/>
  <c r="C339" i="7"/>
  <c r="C338" i="7"/>
  <c r="C337" i="7"/>
  <c r="C336" i="7"/>
  <c r="C335" i="7"/>
  <c r="C334" i="7"/>
  <c r="C333" i="7"/>
  <c r="C332" i="7"/>
  <c r="C331" i="7"/>
  <c r="C330" i="7"/>
  <c r="C329" i="7"/>
  <c r="C328" i="7"/>
  <c r="C327" i="7"/>
  <c r="C326" i="7"/>
  <c r="C325" i="7"/>
  <c r="C324" i="7"/>
  <c r="C323" i="7"/>
  <c r="C322" i="7"/>
  <c r="C321" i="7"/>
  <c r="C320" i="7"/>
  <c r="C319" i="7"/>
  <c r="C318" i="7"/>
  <c r="C317" i="7"/>
  <c r="C316" i="7"/>
  <c r="C315" i="7"/>
  <c r="C314" i="7"/>
  <c r="C313" i="7"/>
  <c r="C312" i="7"/>
  <c r="C311" i="7"/>
  <c r="C310" i="7"/>
  <c r="C309" i="7"/>
  <c r="C308" i="7"/>
  <c r="C307" i="7"/>
  <c r="C306" i="7"/>
  <c r="C305" i="7"/>
  <c r="C304" i="7"/>
  <c r="C303" i="7"/>
  <c r="C302" i="7"/>
  <c r="C301" i="7"/>
  <c r="C300" i="7"/>
  <c r="C299" i="7"/>
  <c r="C298" i="7"/>
  <c r="C297" i="7"/>
  <c r="C296" i="7"/>
  <c r="C295" i="7"/>
  <c r="C294" i="7"/>
  <c r="C293" i="7"/>
  <c r="C292" i="7"/>
  <c r="C291" i="7"/>
  <c r="C290" i="7"/>
  <c r="C289" i="7"/>
  <c r="C288" i="7"/>
  <c r="C287" i="7"/>
  <c r="C286" i="7"/>
  <c r="C285" i="7"/>
  <c r="C284" i="7"/>
  <c r="C283" i="7"/>
  <c r="C282" i="7"/>
  <c r="C281" i="7"/>
  <c r="C280" i="7"/>
  <c r="C279" i="7"/>
  <c r="C278" i="7"/>
  <c r="C277" i="7"/>
  <c r="C276" i="7"/>
  <c r="C275" i="7"/>
  <c r="C274" i="7"/>
  <c r="C273" i="7"/>
  <c r="C272" i="7"/>
  <c r="C271" i="7"/>
  <c r="C270" i="7"/>
  <c r="C269" i="7"/>
  <c r="C268" i="7"/>
  <c r="C267" i="7"/>
  <c r="C266" i="7"/>
  <c r="C265" i="7"/>
  <c r="C264" i="7"/>
  <c r="C263" i="7"/>
  <c r="C262" i="7"/>
  <c r="C261" i="7"/>
  <c r="C260" i="7"/>
  <c r="C259" i="7"/>
  <c r="C258" i="7"/>
  <c r="C257" i="7"/>
  <c r="C256" i="7"/>
  <c r="C255" i="7"/>
  <c r="C254" i="7"/>
  <c r="C253" i="7"/>
  <c r="C252" i="7"/>
  <c r="C251" i="7"/>
  <c r="C250" i="7"/>
  <c r="C249" i="7"/>
  <c r="C248" i="7"/>
  <c r="C247" i="7"/>
  <c r="C246" i="7"/>
  <c r="C245" i="7"/>
  <c r="C244" i="7"/>
  <c r="C243" i="7"/>
  <c r="C242" i="7"/>
  <c r="C241" i="7"/>
  <c r="C240" i="7"/>
  <c r="C239" i="7"/>
  <c r="C238" i="7"/>
  <c r="C237" i="7"/>
  <c r="C236" i="7"/>
  <c r="C235" i="7"/>
  <c r="C234" i="7"/>
  <c r="C233" i="7"/>
  <c r="C232" i="7"/>
  <c r="C231" i="7"/>
  <c r="C230" i="7"/>
  <c r="C229" i="7"/>
  <c r="C228" i="7"/>
  <c r="C227" i="7"/>
  <c r="C226" i="7"/>
  <c r="C225" i="7"/>
  <c r="C224" i="7"/>
  <c r="C223" i="7"/>
  <c r="C222" i="7"/>
  <c r="C221" i="7"/>
  <c r="C220" i="7"/>
  <c r="C219" i="7"/>
  <c r="C218" i="7"/>
  <c r="C217" i="7"/>
  <c r="C216" i="7"/>
  <c r="C215" i="7"/>
  <c r="C214" i="7"/>
  <c r="C213" i="7"/>
  <c r="C212" i="7"/>
  <c r="C211" i="7"/>
  <c r="C210" i="7"/>
  <c r="C209" i="7"/>
  <c r="C208" i="7"/>
  <c r="C207" i="7"/>
  <c r="C206" i="7"/>
  <c r="C205" i="7"/>
  <c r="C204" i="7"/>
  <c r="C203" i="7"/>
  <c r="C202" i="7"/>
  <c r="C201" i="7"/>
  <c r="C200" i="7"/>
  <c r="C199" i="7"/>
  <c r="C198" i="7"/>
  <c r="C197" i="7"/>
  <c r="C196" i="7"/>
  <c r="C195" i="7"/>
  <c r="C194" i="7"/>
  <c r="C193" i="7"/>
  <c r="C192" i="7"/>
  <c r="C191" i="7"/>
  <c r="C190" i="7"/>
  <c r="C189" i="7"/>
  <c r="C188" i="7"/>
  <c r="C187" i="7"/>
  <c r="C186" i="7"/>
  <c r="C185" i="7"/>
  <c r="C184" i="7"/>
  <c r="C183" i="7"/>
  <c r="C182" i="7"/>
  <c r="C181" i="7"/>
  <c r="C180" i="7"/>
  <c r="C179" i="7"/>
  <c r="C178" i="7"/>
  <c r="C177" i="7"/>
  <c r="C176" i="7"/>
  <c r="C175" i="7"/>
  <c r="C174" i="7"/>
  <c r="C173" i="7"/>
  <c r="C172" i="7"/>
  <c r="C171" i="7"/>
  <c r="C170" i="7"/>
  <c r="C169" i="7"/>
  <c r="C168" i="7"/>
  <c r="C167" i="7"/>
  <c r="C166" i="7"/>
  <c r="C165" i="7"/>
  <c r="C164" i="7"/>
  <c r="C163" i="7"/>
  <c r="C162" i="7"/>
  <c r="C161" i="7"/>
  <c r="C160" i="7"/>
  <c r="C159" i="7"/>
  <c r="C158" i="7"/>
  <c r="C157" i="7"/>
  <c r="C156" i="7"/>
  <c r="C155" i="7"/>
  <c r="C154" i="7"/>
  <c r="C153" i="7"/>
  <c r="C152" i="7"/>
  <c r="C151" i="7"/>
  <c r="C150" i="7"/>
  <c r="C149" i="7"/>
  <c r="C148" i="7"/>
  <c r="C147" i="7"/>
  <c r="C146" i="7"/>
  <c r="C145" i="7"/>
  <c r="C144" i="7"/>
  <c r="C143" i="7"/>
  <c r="C142" i="7"/>
  <c r="C141" i="7"/>
  <c r="C140" i="7"/>
  <c r="C139" i="7"/>
  <c r="C138" i="7"/>
  <c r="C137" i="7"/>
  <c r="C136" i="7"/>
  <c r="C135" i="7"/>
  <c r="C134" i="7"/>
  <c r="C133" i="7"/>
  <c r="C132" i="7"/>
  <c r="C131" i="7"/>
  <c r="C130" i="7"/>
  <c r="C129" i="7"/>
  <c r="C128" i="7"/>
  <c r="C127" i="7"/>
  <c r="C126" i="7"/>
  <c r="C125" i="7"/>
  <c r="C124" i="7"/>
  <c r="C123" i="7"/>
  <c r="C122" i="7"/>
  <c r="C121" i="7"/>
  <c r="C120" i="7"/>
  <c r="C119" i="7"/>
  <c r="C118" i="7"/>
  <c r="C117" i="7"/>
  <c r="C116" i="7"/>
  <c r="C115" i="7"/>
  <c r="C114" i="7"/>
  <c r="C113" i="7"/>
  <c r="C112" i="7"/>
  <c r="C111" i="7"/>
  <c r="C110" i="7"/>
  <c r="C109" i="7"/>
  <c r="C108" i="7"/>
  <c r="C107" i="7"/>
  <c r="C106" i="7"/>
  <c r="C105" i="7"/>
  <c r="C104" i="7"/>
  <c r="C103" i="7"/>
  <c r="C102" i="7"/>
  <c r="C101" i="7"/>
  <c r="C100" i="7"/>
  <c r="C99" i="7"/>
  <c r="C98" i="7"/>
  <c r="C97" i="7"/>
  <c r="C96" i="7"/>
  <c r="C95" i="7"/>
  <c r="C94" i="7"/>
  <c r="C93" i="7"/>
  <c r="C92" i="7"/>
  <c r="C91" i="7"/>
  <c r="C90" i="7"/>
  <c r="C89" i="7"/>
  <c r="C88" i="7"/>
  <c r="C87" i="7"/>
  <c r="C86" i="7"/>
  <c r="C85" i="7"/>
  <c r="C84" i="7"/>
  <c r="C83" i="7"/>
  <c r="C82" i="7"/>
  <c r="C81" i="7"/>
  <c r="C80" i="7"/>
  <c r="C79" i="7"/>
  <c r="C78" i="7"/>
  <c r="C77" i="7"/>
  <c r="C76" i="7"/>
  <c r="C75" i="7"/>
  <c r="C74" i="7"/>
  <c r="C73" i="7"/>
  <c r="C72" i="7"/>
  <c r="C71" i="7"/>
  <c r="C70" i="7"/>
  <c r="C69" i="7"/>
  <c r="C68" i="7"/>
  <c r="C67" i="7"/>
  <c r="C66" i="7"/>
  <c r="C65" i="7"/>
  <c r="C64" i="7"/>
  <c r="C63" i="7"/>
  <c r="C62" i="7"/>
  <c r="C61" i="7"/>
  <c r="C60" i="7"/>
  <c r="C59" i="7"/>
  <c r="C58" i="7"/>
  <c r="C57" i="7"/>
  <c r="C56" i="7"/>
  <c r="C55" i="7"/>
  <c r="C54" i="7"/>
  <c r="C53" i="7"/>
  <c r="C52" i="7"/>
  <c r="C51" i="7"/>
  <c r="C50" i="7"/>
  <c r="C49" i="7"/>
  <c r="C48" i="7"/>
  <c r="C47" i="7"/>
  <c r="C46" i="7"/>
  <c r="C45" i="7"/>
  <c r="C44" i="7"/>
  <c r="C43" i="7"/>
  <c r="C42" i="7"/>
  <c r="C41" i="7"/>
  <c r="C40" i="7"/>
  <c r="C39" i="7"/>
  <c r="C38" i="7"/>
  <c r="C37" i="7"/>
  <c r="C36" i="7"/>
  <c r="C35" i="7"/>
  <c r="C34" i="7"/>
  <c r="C33" i="7"/>
  <c r="C32" i="7"/>
  <c r="C31" i="7"/>
  <c r="C30" i="7"/>
  <c r="C29" i="7"/>
  <c r="C28" i="7"/>
  <c r="C27" i="7"/>
  <c r="C26" i="7"/>
  <c r="C25" i="7"/>
  <c r="C24" i="7"/>
  <c r="C23" i="7"/>
  <c r="C22" i="7"/>
  <c r="C21" i="7"/>
  <c r="C20" i="7"/>
  <c r="C19" i="7"/>
  <c r="C18" i="7"/>
  <c r="C17" i="7"/>
  <c r="C16" i="7"/>
  <c r="C15" i="7"/>
  <c r="C14" i="7"/>
  <c r="C13" i="7"/>
  <c r="C12" i="7"/>
  <c r="C11" i="7"/>
  <c r="C10" i="7"/>
  <c r="C9" i="7"/>
  <c r="C8" i="7"/>
  <c r="C7" i="7"/>
  <c r="C2" i="7"/>
  <c r="A4" i="7"/>
  <c r="A5" i="7"/>
  <c r="A6" i="7"/>
  <c r="A7" i="7"/>
  <c r="A8" i="7"/>
  <c r="A9" i="7"/>
  <c r="A10" i="7"/>
  <c r="A11" i="7"/>
  <c r="A12" i="7"/>
  <c r="A13" i="7"/>
  <c r="A14" i="7"/>
  <c r="A15" i="7"/>
  <c r="A16" i="7"/>
  <c r="A17" i="7"/>
  <c r="A18" i="7"/>
  <c r="A19" i="7"/>
  <c r="A20" i="7"/>
  <c r="A21" i="7"/>
  <c r="A22" i="7"/>
  <c r="A23" i="7"/>
  <c r="A24" i="7"/>
  <c r="A25" i="7"/>
  <c r="A26" i="7"/>
  <c r="A27" i="7"/>
  <c r="A28" i="7"/>
  <c r="A29" i="7"/>
  <c r="A30" i="7"/>
  <c r="A31" i="7"/>
  <c r="A32" i="7"/>
  <c r="A33" i="7"/>
  <c r="A34" i="7"/>
  <c r="A35" i="7"/>
  <c r="A36" i="7"/>
  <c r="A37" i="7"/>
  <c r="A38" i="7"/>
  <c r="A39" i="7"/>
  <c r="A40" i="7"/>
  <c r="A41" i="7"/>
  <c r="A42" i="7"/>
  <c r="A43" i="7"/>
  <c r="A44" i="7"/>
  <c r="A45" i="7"/>
  <c r="A46" i="7"/>
  <c r="A47" i="7"/>
  <c r="A48" i="7"/>
  <c r="A49" i="7"/>
  <c r="A50" i="7"/>
  <c r="A51" i="7"/>
  <c r="A52" i="7"/>
  <c r="A53" i="7"/>
  <c r="A54" i="7"/>
  <c r="A55" i="7"/>
  <c r="A56" i="7"/>
  <c r="A57" i="7"/>
  <c r="A58" i="7"/>
  <c r="A59" i="7"/>
  <c r="A60" i="7"/>
  <c r="A61" i="7"/>
  <c r="A62" i="7"/>
  <c r="A63" i="7"/>
  <c r="A64" i="7"/>
  <c r="A65" i="7"/>
  <c r="A66" i="7"/>
  <c r="A67" i="7"/>
  <c r="A68" i="7"/>
  <c r="A69" i="7"/>
  <c r="A70" i="7"/>
  <c r="A71" i="7"/>
  <c r="A72" i="7"/>
  <c r="A73" i="7"/>
  <c r="A74" i="7"/>
  <c r="A75" i="7"/>
  <c r="A76" i="7"/>
  <c r="A77" i="7"/>
  <c r="A78" i="7"/>
  <c r="A79" i="7"/>
  <c r="A80" i="7"/>
  <c r="A81" i="7"/>
  <c r="A82" i="7"/>
  <c r="A83" i="7"/>
  <c r="A84" i="7"/>
  <c r="A85" i="7"/>
  <c r="A86" i="7"/>
  <c r="A87" i="7"/>
  <c r="A88" i="7"/>
  <c r="A89" i="7"/>
  <c r="A90" i="7"/>
  <c r="A91" i="7"/>
  <c r="A92" i="7"/>
  <c r="A93" i="7"/>
  <c r="A94" i="7"/>
  <c r="A95" i="7"/>
  <c r="A96" i="7"/>
  <c r="A97" i="7"/>
  <c r="A98" i="7"/>
  <c r="A99" i="7"/>
  <c r="A100" i="7"/>
  <c r="A101" i="7"/>
  <c r="A102" i="7"/>
  <c r="A103" i="7"/>
  <c r="A104" i="7"/>
  <c r="A105" i="7"/>
  <c r="A106" i="7"/>
  <c r="A107" i="7"/>
  <c r="A108" i="7"/>
  <c r="A109" i="7"/>
  <c r="A110" i="7"/>
  <c r="A111" i="7"/>
  <c r="A112" i="7"/>
  <c r="A113" i="7"/>
  <c r="A114" i="7"/>
  <c r="A115" i="7"/>
  <c r="A116" i="7"/>
  <c r="A117" i="7"/>
  <c r="A118" i="7"/>
  <c r="A119" i="7"/>
  <c r="A120" i="7"/>
  <c r="A121" i="7"/>
  <c r="A122" i="7"/>
  <c r="A123" i="7"/>
  <c r="A124" i="7"/>
  <c r="A125" i="7"/>
  <c r="A126" i="7"/>
  <c r="A127" i="7"/>
  <c r="A128" i="7"/>
  <c r="A129" i="7"/>
  <c r="A130" i="7"/>
  <c r="A131" i="7"/>
  <c r="A132" i="7"/>
  <c r="A133" i="7"/>
  <c r="A134" i="7"/>
  <c r="A135" i="7"/>
  <c r="A136" i="7"/>
  <c r="A137" i="7"/>
  <c r="A138" i="7"/>
  <c r="A139" i="7"/>
  <c r="A140" i="7"/>
  <c r="A141" i="7"/>
  <c r="A142" i="7"/>
  <c r="A143" i="7"/>
  <c r="A144" i="7"/>
  <c r="A145" i="7"/>
  <c r="A146" i="7"/>
  <c r="A147" i="7"/>
  <c r="A148" i="7"/>
  <c r="A149" i="7"/>
  <c r="A150" i="7"/>
  <c r="A151" i="7"/>
  <c r="A152" i="7"/>
  <c r="A153" i="7"/>
  <c r="A154" i="7"/>
  <c r="A155" i="7"/>
  <c r="A156" i="7"/>
  <c r="A157" i="7"/>
  <c r="A158" i="7"/>
  <c r="A159" i="7"/>
  <c r="A160" i="7"/>
  <c r="A161" i="7"/>
  <c r="A162" i="7"/>
  <c r="A163" i="7"/>
  <c r="A164" i="7"/>
  <c r="A165" i="7"/>
  <c r="A166" i="7"/>
  <c r="A167" i="7"/>
  <c r="A168" i="7"/>
  <c r="A169" i="7"/>
  <c r="A170" i="7"/>
  <c r="A171" i="7"/>
  <c r="A172" i="7"/>
  <c r="A173" i="7"/>
  <c r="A174" i="7"/>
  <c r="A175" i="7"/>
  <c r="A176" i="7"/>
  <c r="A177" i="7"/>
  <c r="A178" i="7"/>
  <c r="A179" i="7"/>
  <c r="A180" i="7"/>
  <c r="A181" i="7"/>
  <c r="A182" i="7"/>
  <c r="A183" i="7"/>
  <c r="A184" i="7"/>
  <c r="A185" i="7"/>
  <c r="A186" i="7"/>
  <c r="A187" i="7"/>
  <c r="A188" i="7"/>
  <c r="A189" i="7"/>
  <c r="A190" i="7"/>
  <c r="A191" i="7"/>
  <c r="A192" i="7"/>
  <c r="A193" i="7"/>
  <c r="A194" i="7"/>
  <c r="A195" i="7"/>
  <c r="A196" i="7"/>
  <c r="A197" i="7"/>
  <c r="A198" i="7"/>
  <c r="A199" i="7"/>
  <c r="A200" i="7"/>
  <c r="A201" i="7"/>
  <c r="A202" i="7"/>
  <c r="A203" i="7"/>
  <c r="A204" i="7"/>
  <c r="A205" i="7"/>
  <c r="A206" i="7"/>
  <c r="A207" i="7"/>
  <c r="A208" i="7"/>
  <c r="A209" i="7"/>
  <c r="A210" i="7"/>
  <c r="A211" i="7"/>
  <c r="A212" i="7"/>
  <c r="A213" i="7"/>
  <c r="A214" i="7"/>
  <c r="A215" i="7"/>
  <c r="A216" i="7"/>
  <c r="A217" i="7"/>
  <c r="A218" i="7"/>
  <c r="A219" i="7"/>
  <c r="A220" i="7"/>
  <c r="A221" i="7"/>
  <c r="A222" i="7"/>
  <c r="A223" i="7"/>
  <c r="A224" i="7"/>
  <c r="A225" i="7"/>
  <c r="A226" i="7"/>
  <c r="A227" i="7"/>
  <c r="A228" i="7"/>
  <c r="A229" i="7"/>
  <c r="A230" i="7"/>
  <c r="A231" i="7"/>
  <c r="A232" i="7"/>
  <c r="A233" i="7"/>
  <c r="A234" i="7"/>
  <c r="A235" i="7"/>
  <c r="A236" i="7"/>
  <c r="A237" i="7"/>
  <c r="A238" i="7"/>
  <c r="A239" i="7"/>
  <c r="A240" i="7"/>
  <c r="A241" i="7"/>
  <c r="A242" i="7"/>
  <c r="A243" i="7"/>
  <c r="A244" i="7"/>
  <c r="A245" i="7"/>
  <c r="A246" i="7"/>
  <c r="A247" i="7"/>
  <c r="A248" i="7"/>
  <c r="A249" i="7"/>
  <c r="A250" i="7"/>
  <c r="A251" i="7"/>
  <c r="A252" i="7"/>
  <c r="A253" i="7"/>
  <c r="A254" i="7"/>
  <c r="A255" i="7"/>
  <c r="A256" i="7"/>
  <c r="A257" i="7"/>
  <c r="A258" i="7"/>
  <c r="A259" i="7"/>
  <c r="A260" i="7"/>
  <c r="A261" i="7"/>
  <c r="A262" i="7"/>
  <c r="A263" i="7"/>
  <c r="A264" i="7"/>
  <c r="A265" i="7"/>
  <c r="A266" i="7"/>
  <c r="A267" i="7"/>
  <c r="A268" i="7"/>
  <c r="A269" i="7"/>
  <c r="A270" i="7"/>
  <c r="A271" i="7"/>
  <c r="A272" i="7"/>
  <c r="A273" i="7"/>
  <c r="A274" i="7"/>
  <c r="A275" i="7"/>
  <c r="A276" i="7"/>
  <c r="A277" i="7"/>
  <c r="A278" i="7"/>
  <c r="A279" i="7"/>
  <c r="A280" i="7"/>
  <c r="A281" i="7"/>
  <c r="A282" i="7"/>
  <c r="A283" i="7"/>
  <c r="A284" i="7"/>
  <c r="A285" i="7"/>
  <c r="A286" i="7"/>
  <c r="A287" i="7"/>
  <c r="A288" i="7"/>
  <c r="A289" i="7"/>
  <c r="A290" i="7"/>
  <c r="A291" i="7"/>
  <c r="A292" i="7"/>
  <c r="A293" i="7"/>
  <c r="A294" i="7"/>
  <c r="A295" i="7"/>
  <c r="A296" i="7"/>
  <c r="A297" i="7"/>
  <c r="A298" i="7"/>
  <c r="A299" i="7"/>
  <c r="A300" i="7"/>
  <c r="A301" i="7"/>
  <c r="A302" i="7"/>
  <c r="A303" i="7"/>
  <c r="A304" i="7"/>
  <c r="A305" i="7"/>
  <c r="A306" i="7"/>
  <c r="A307" i="7"/>
  <c r="A308" i="7"/>
  <c r="A309" i="7"/>
  <c r="A310" i="7"/>
  <c r="A311" i="7"/>
  <c r="A312" i="7"/>
  <c r="A313" i="7"/>
  <c r="A314" i="7"/>
  <c r="A315" i="7"/>
  <c r="A316" i="7"/>
  <c r="A317" i="7"/>
  <c r="A318" i="7"/>
  <c r="A319" i="7"/>
  <c r="A320" i="7"/>
  <c r="A321" i="7"/>
  <c r="A322" i="7"/>
  <c r="A323" i="7"/>
  <c r="A324" i="7"/>
  <c r="A325" i="7"/>
  <c r="A326" i="7"/>
  <c r="A327" i="7"/>
  <c r="A328" i="7"/>
  <c r="A329" i="7"/>
  <c r="A330" i="7"/>
  <c r="A331" i="7"/>
  <c r="A332" i="7"/>
  <c r="A333" i="7"/>
  <c r="A334" i="7"/>
  <c r="A335" i="7"/>
  <c r="A336" i="7"/>
  <c r="A337" i="7"/>
  <c r="A338" i="7"/>
  <c r="A339" i="7"/>
  <c r="A340" i="7"/>
  <c r="A341" i="7"/>
  <c r="A342" i="7"/>
  <c r="A343" i="7"/>
  <c r="A344" i="7"/>
  <c r="A345" i="7"/>
  <c r="A346" i="7"/>
  <c r="A347" i="7"/>
  <c r="A348" i="7"/>
  <c r="A349" i="7"/>
  <c r="A350" i="7"/>
  <c r="A351" i="7"/>
  <c r="A352" i="7"/>
  <c r="A353" i="7"/>
  <c r="A354" i="7"/>
  <c r="A355" i="7"/>
  <c r="A356" i="7"/>
  <c r="A357" i="7"/>
  <c r="A358" i="7"/>
  <c r="A359" i="7"/>
  <c r="A360" i="7"/>
  <c r="A361" i="7"/>
  <c r="A362" i="7"/>
  <c r="A363" i="7"/>
  <c r="A364" i="7"/>
  <c r="A365" i="7"/>
  <c r="A366" i="7"/>
  <c r="A367" i="7"/>
  <c r="A368" i="7"/>
  <c r="A369" i="7"/>
  <c r="A370" i="7"/>
  <c r="A371" i="7"/>
  <c r="A372" i="7"/>
  <c r="A373" i="7"/>
  <c r="A374" i="7"/>
  <c r="A375" i="7"/>
  <c r="A376" i="7"/>
  <c r="A377" i="7"/>
  <c r="A378" i="7"/>
  <c r="A379" i="7"/>
  <c r="A380" i="7"/>
  <c r="A381" i="7"/>
  <c r="A382" i="7"/>
  <c r="A383" i="7"/>
  <c r="A384" i="7"/>
  <c r="A385" i="7"/>
  <c r="A386" i="7"/>
  <c r="A387" i="7"/>
  <c r="A388" i="7"/>
  <c r="A389" i="7"/>
  <c r="A390" i="7"/>
  <c r="A391" i="7"/>
  <c r="A392" i="7"/>
  <c r="A393" i="7"/>
  <c r="A394" i="7"/>
  <c r="A395" i="7"/>
  <c r="A396" i="7"/>
  <c r="A397" i="7"/>
  <c r="A398" i="7"/>
  <c r="A399" i="7"/>
  <c r="A400" i="7"/>
  <c r="A401" i="7"/>
  <c r="A402" i="7"/>
  <c r="A403" i="7"/>
  <c r="A404" i="7"/>
  <c r="A405" i="7"/>
  <c r="A406" i="7"/>
  <c r="A407" i="7"/>
  <c r="A408" i="7"/>
  <c r="A409" i="7"/>
  <c r="A410" i="7"/>
  <c r="A411" i="7"/>
  <c r="A412" i="7"/>
  <c r="A413" i="7"/>
  <c r="A414" i="7"/>
  <c r="A415" i="7"/>
  <c r="A416" i="7"/>
  <c r="A417" i="7"/>
  <c r="A418" i="7"/>
  <c r="A419" i="7"/>
  <c r="A420" i="7"/>
  <c r="A421" i="7"/>
  <c r="A422" i="7"/>
  <c r="A423" i="7"/>
  <c r="A424" i="7"/>
  <c r="A425" i="7"/>
  <c r="A426" i="7"/>
  <c r="A427" i="7"/>
  <c r="A428" i="7"/>
  <c r="A429" i="7"/>
  <c r="A430" i="7"/>
  <c r="A431" i="7"/>
  <c r="A432" i="7"/>
  <c r="A433" i="7"/>
  <c r="A434" i="7"/>
  <c r="A435" i="7"/>
  <c r="A436" i="7"/>
  <c r="A437" i="7"/>
  <c r="A438" i="7"/>
  <c r="A439" i="7"/>
  <c r="A440" i="7"/>
  <c r="A441" i="7"/>
  <c r="A442" i="7"/>
  <c r="A443" i="7"/>
  <c r="A444" i="7"/>
  <c r="A445" i="7"/>
  <c r="A446" i="7"/>
  <c r="A447" i="7"/>
  <c r="A448" i="7"/>
  <c r="A449" i="7"/>
  <c r="A450" i="7"/>
  <c r="A451" i="7"/>
  <c r="A452" i="7"/>
  <c r="A453" i="7"/>
  <c r="A454" i="7"/>
  <c r="A455" i="7"/>
  <c r="A456" i="7"/>
  <c r="A457" i="7"/>
  <c r="A458" i="7"/>
  <c r="A459" i="7"/>
  <c r="A460" i="7"/>
  <c r="A461" i="7"/>
  <c r="A462" i="7"/>
  <c r="A463" i="7"/>
  <c r="A464" i="7"/>
  <c r="A465" i="7"/>
  <c r="A466" i="7"/>
  <c r="A467" i="7"/>
  <c r="A468" i="7"/>
  <c r="A469" i="7"/>
  <c r="A470" i="7"/>
  <c r="A471" i="7"/>
  <c r="A472" i="7"/>
  <c r="A473" i="7"/>
  <c r="A474" i="7"/>
  <c r="A475" i="7"/>
  <c r="A476" i="7"/>
  <c r="A477" i="7"/>
  <c r="A478" i="7"/>
  <c r="A479" i="7"/>
  <c r="A480" i="7"/>
  <c r="A481" i="7"/>
  <c r="A482" i="7"/>
  <c r="A483" i="7"/>
  <c r="A484" i="7"/>
  <c r="A485" i="7"/>
  <c r="A486" i="7"/>
  <c r="A487" i="7"/>
  <c r="A488" i="7"/>
  <c r="A489" i="7"/>
  <c r="A490" i="7"/>
  <c r="A491" i="7"/>
  <c r="A492" i="7"/>
  <c r="A493" i="7"/>
  <c r="A494" i="7"/>
  <c r="A495" i="7"/>
  <c r="A496" i="7"/>
  <c r="A497" i="7"/>
  <c r="A498" i="7"/>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<sst xmlns="http://schemas.openxmlformats.org/spreadsheetml/2006/main" count="693" uniqueCount="614">
  <si>
    <t>Record</t>
  </si>
  <si>
    <t>#</t>
  </si>
  <si>
    <t>Product</t>
  </si>
  <si>
    <t>Sales Person</t>
  </si>
  <si>
    <t>Date</t>
  </si>
  <si>
    <t>Sales Amount ($)</t>
  </si>
  <si>
    <t>Workings</t>
  </si>
  <si>
    <t>/PR:Games____SP:Barney20171027   $1250   _x001F_</t>
  </si>
  <si>
    <t>////PR:Music_SP:David20171020     $1054  _x001E_</t>
  </si>
  <si>
    <t>//PR:Books__SP:Barney20171027     $699     _x001C_</t>
  </si>
  <si>
    <t>/PR:Music___SP:Carol20171031  $1305   _x001C_</t>
  </si>
  <si>
    <t>//PR:Games__SP:David20171027   $0 _x001D_</t>
  </si>
  <si>
    <t>//PR:Books___SP:Barney20171026     $740    _x001D_</t>
  </si>
  <si>
    <t>////PR:Clothing__SP:David20171011  $811    _x001F_</t>
  </si>
  <si>
    <t>/////PR:Clothing_____SP:David20171029   $1175 _x001D_</t>
  </si>
  <si>
    <t>////PR:Books____SP:Alice20171013   $586  _x001E_</t>
  </si>
  <si>
    <t>////PR:Music__SP:David20171015     $1202 _x001D_</t>
  </si>
  <si>
    <t>/////PR:Games___SP:David20171022 $0   _x001E_</t>
  </si>
  <si>
    <t>/////PR:Books_____SP:Alice2017101     $597   _x001E_</t>
  </si>
  <si>
    <t>/////PR:Music__SP:Alice20171031   $1142 _x001D_</t>
  </si>
  <si>
    <t>/PR:Clothing_SP:Carol20171025   $1213  _x001E_</t>
  </si>
  <si>
    <t>/////PR:Games_____SP:Alice20171021 $0     _x001C_</t>
  </si>
  <si>
    <t>///PR:Clothing_SP:David20171013   $0    _x001F_</t>
  </si>
  <si>
    <t>/////PR:Books_SP:Carol2017103  $721    _x001C_</t>
  </si>
  <si>
    <t>////PR:Clothing__SP:Carol20171026   $0 _x001E_</t>
  </si>
  <si>
    <t>////PR:Clothing___SP:Barney20171016    $945 _x001F_</t>
  </si>
  <si>
    <t>//PR:Clothing__SP:Barney20171025 $801  _x001C_</t>
  </si>
  <si>
    <t>/////PR:Books_SP:David2017109     $866    _x001D_</t>
  </si>
  <si>
    <t>/////PR:Books__SP:David20171017  $0  _x001D_</t>
  </si>
  <si>
    <t>/PR:Clothing___SP:David2017104  $1574    _x001F_</t>
  </si>
  <si>
    <t>////PR:Music__SP:Barney2017108 $0 _x001F_</t>
  </si>
  <si>
    <t>///PR:Books___SP:Carol20171023 $0   _x001E_</t>
  </si>
  <si>
    <t>//PR:Games__SP:Alice20171011 $1326  _x001C_</t>
  </si>
  <si>
    <t>/////PR:Clothing_SP:David20171026  $1044 _x001E_</t>
  </si>
  <si>
    <t>//PR:Books_SP:Carol2017102  $0  _x001D_</t>
  </si>
  <si>
    <t>/PR:Books_____SP:Carol2017104 $718    _x001D_</t>
  </si>
  <si>
    <t>//PR:Games__SP:Alice20171027     $1683     _x001E_</t>
  </si>
  <si>
    <t>////PR:Clothing__SP:Carol20171017     $794   _x001E_</t>
  </si>
  <si>
    <t>///PR:Games____SP:Alice20171023  $1747   _x001F_</t>
  </si>
  <si>
    <t>/////PR:Games____SP:David2017107    $1489    _x001E_</t>
  </si>
  <si>
    <t>//PR:Clothing_____SP:Carol20171024     $681     _x001D_</t>
  </si>
  <si>
    <t>/PR:Clothing_SP:Carol20171030   $0     _x001E_</t>
  </si>
  <si>
    <t>//PR:Music____SP:Alice20171020  $0    _x001D_</t>
  </si>
  <si>
    <t>//PR:Books__SP:David20171021    $960    _x001C_</t>
  </si>
  <si>
    <t>/PR:Books_____SP:Carol20171030   $731   _x001E_</t>
  </si>
  <si>
    <t>/////PR:Games_____SP:David2017102   $2153    _x001E_</t>
  </si>
  <si>
    <t>////PR:Music_SP:Alice20171011  $0    _x001F_</t>
  </si>
  <si>
    <t>////PR:Books_____SP:Carol20171015   $754   _x001F_</t>
  </si>
  <si>
    <t>/////PR:Music____SP:Carol20171012  $0  _x001D_</t>
  </si>
  <si>
    <t>///PR:Clothing_SP:Barney2017109  $1944    _x001F_</t>
  </si>
  <si>
    <t>/PR:Clothing__SP:Carol20171014     $808   _x001D_</t>
  </si>
  <si>
    <t>/////PR:Clothing___SP:Carol20171010    $1732   _x001E_</t>
  </si>
  <si>
    <t>//PR:Games____SP:Barney20171018 $2493  _x001C_</t>
  </si>
  <si>
    <t>/PR:Music_SP:Barney2017109    $0  _x001E_</t>
  </si>
  <si>
    <t>/////PR:Music___SP:Barney20171027    $0     _x001E_</t>
  </si>
  <si>
    <t>/////PR:Games___SP:Carol20171024     $1893  _x001C_</t>
  </si>
  <si>
    <t>////PR:Music_SP:David20171027    $1303    _x001C_</t>
  </si>
  <si>
    <t>//PR:Clothing___SP:Alice2017105 $1991     _x001C_</t>
  </si>
  <si>
    <t>/PR:Music__SP:David20171026 $1288  _x001F_</t>
  </si>
  <si>
    <t>//PR:Clothing____SP:Alice20171018 $1757 _x001D_</t>
  </si>
  <si>
    <t>///PR:Games____SP:Alice20171025    $2406   _x001D_</t>
  </si>
  <si>
    <t>////PR:Music___SP:Barney20171031    $1155 _x001C_</t>
  </si>
  <si>
    <t>/////PR:Games_SP:Carol20171020  $1107    _x001C_</t>
  </si>
  <si>
    <t>//PR:Clothing_SP:Alice20171015    $1986     _x001C_</t>
  </si>
  <si>
    <t>////PR:Books_____SP:David20171010     $987  _x001F_</t>
  </si>
  <si>
    <t>///PR:Games____SP:David20171015    $0 _x001F_</t>
  </si>
  <si>
    <t>/////PR:Music___SP:David2017108 $1355   _x001F_</t>
  </si>
  <si>
    <t>////PR:Games__SP:David20171026    $1466    _x001C_</t>
  </si>
  <si>
    <t>/PR:Books_____SP:Carol2017108     $591   _x001F_</t>
  </si>
  <si>
    <t>////PR:Books___SP:David20171019 $564   _x001F_</t>
  </si>
  <si>
    <t>////PR:Clothing_____SP:Barney20171020   $1875  _x001F_</t>
  </si>
  <si>
    <t>////PR:Games_____SP:Barney20171024  $0    _x001E_</t>
  </si>
  <si>
    <t>/PR:Clothing_____SP:David2017107  $1564   _x001E_</t>
  </si>
  <si>
    <t>///PR:Games___SP:Carol2017107   $0     _x001E_</t>
  </si>
  <si>
    <t>/////PR:Books_____SP:Carol20171019  $0     _x001F_</t>
  </si>
  <si>
    <t>////PR:Games____SP:Carol20171010 $0    _x001D_</t>
  </si>
  <si>
    <t>/////PR:Music___SP:Barney20171020   $0 _x001F_</t>
  </si>
  <si>
    <t>/PR:Books__SP:Carol20171021 $582  _x001E_</t>
  </si>
  <si>
    <t>/////PR:Clothing____SP:Carol20171013   $0   _x001E_</t>
  </si>
  <si>
    <t>///PR:Games___SP:Carol2017109  $893   _x001D_</t>
  </si>
  <si>
    <t>//PR:Music_____SP:Alice20171012  $1447     _x001D_</t>
  </si>
  <si>
    <t>/////PR:Clothing_____SP:Barney20171024    $1395     _x001D_</t>
  </si>
  <si>
    <t>//PR:Clothing_____SP:Alice20171025     $729  _x001C_</t>
  </si>
  <si>
    <t>////PR:Clothing___SP:Carol2017104     $819   _x001E_</t>
  </si>
  <si>
    <t>/PR:Clothing__SP:David20171024     $0   _x001C_</t>
  </si>
  <si>
    <t>///PR:Games__SP:David20171025     $1409     _x001C_</t>
  </si>
  <si>
    <t>/////PR:Games____SP:David20171028    $1628   _x001D_</t>
  </si>
  <si>
    <t>/PR:Music_SP:David20171030 $0  _x001F_</t>
  </si>
  <si>
    <t>//PR:Games___SP:Alice20171030 $1228 _x001C_</t>
  </si>
  <si>
    <t>////PR:Music_____SP:Carol20171018   $1232    _x001C_</t>
  </si>
  <si>
    <t>///PR:Clothing___SP:Barney20171029   $754 _x001C_</t>
  </si>
  <si>
    <t>//PR:Clothing_____SP:Carol20171023     $1234     _x001E_</t>
  </si>
  <si>
    <t>////PR:Music_____SP:Barney2017102    $927     _x001D_</t>
  </si>
  <si>
    <t>//PR:Clothing_SP:Barney2017107 $1419 _x001F_</t>
  </si>
  <si>
    <t>////PR:Games___SP:Barney20171022     $2167  _x001D_</t>
  </si>
  <si>
    <t>/////PR:Games____SP:Barney20171014   $1771  _x001D_</t>
  </si>
  <si>
    <t>/////PR:Games__SP:Barney2017109     $0 _x001F_</t>
  </si>
  <si>
    <t>/////PR:Clothing____SP:Alice2017101     $0    _x001D_</t>
  </si>
  <si>
    <t>/PR:Books__SP:Barney20171015  $0  _x001E_</t>
  </si>
  <si>
    <t>/////PR:Clothing___SP:Carol20171012  $1973  _x001F_</t>
  </si>
  <si>
    <t>///PR:Music__SP:David20171028     $941 _x001E_</t>
  </si>
  <si>
    <t>/////PR:Books_____SP:Carol20171028   $671   _x001F_</t>
  </si>
  <si>
    <t>///PR:Clothing____SP:Barney20171015    $1743 _x001D_</t>
  </si>
  <si>
    <t>/////PR:Games_SP:David20171017 $963    _x001E_</t>
  </si>
  <si>
    <t>//PR:Games__SP:Alice20171022     $0     _x001F_</t>
  </si>
  <si>
    <t>/PR:Books___SP:Barney20171023 $881    _x001C_</t>
  </si>
  <si>
    <t>/////PR:Games__SP:Carol20171025 $2083     _x001E_</t>
  </si>
  <si>
    <t>///PR:Clothing___SP:Carol2017108     $772   _x001E_</t>
  </si>
  <si>
    <t>/PR:Books___SP:Barney20171010   $725 _x001F_</t>
  </si>
  <si>
    <t>/PR:Music_SP:Barney20171029   $0 _x001E_</t>
  </si>
  <si>
    <t>////PR:Games__SP:Barney2017107 $1117    _x001E_</t>
  </si>
  <si>
    <t>////PR:Music___SP:Barney2017105   $1492  _x001F_</t>
  </si>
  <si>
    <t>/PR:Books_SP:Carol20171012    $500 _x001C_</t>
  </si>
  <si>
    <t>/////PR:Books_____SP:David20171024     $528  _x001E_</t>
  </si>
  <si>
    <t>//PR:Books_SP:David20171020    $825 _x001E_</t>
  </si>
  <si>
    <t>////PR:Games__SP:Barney20171026    $1752  _x001D_</t>
  </si>
  <si>
    <t>/////PR:Games__SP:Barney20171010     $1954     _x001E_</t>
  </si>
  <si>
    <t>/PR:Music_____SP:David20171025   $1179    _x001C_</t>
  </si>
  <si>
    <t>//PR:Clothing_SP:Barney2017106     $883  _x001C_</t>
  </si>
  <si>
    <t>/////PR:Games_____SP:Alice20171010     $2259    _x001D_</t>
  </si>
  <si>
    <t>///PR:Music_____SP:David20171024 $965  _x001F_</t>
  </si>
  <si>
    <t>//PR:Books__SP:Alice2017103     $0     _x001E_</t>
  </si>
  <si>
    <t>////PR:Books_____SP:Carol20171029   $697    _x001D_</t>
  </si>
  <si>
    <t>/////PR:Clothing_____SP:Carol20171029  $1227  _x001C_</t>
  </si>
  <si>
    <t>/PR:Music_____SP:Carol2017103  $1061    _x001D_</t>
  </si>
  <si>
    <t>//PR:Music_____SP:Barney20171028    $925 _x001E_</t>
  </si>
  <si>
    <t>/////PR:Games__SP:David2017108   $2271    _x001F_</t>
  </si>
  <si>
    <t>/PR:Music_____SP:Barney2017103    $1170   _x001D_</t>
  </si>
  <si>
    <t>/////PR:Clothing_SP:David20171027    $1154   _x001E_</t>
  </si>
  <si>
    <t>/////PR:Books___SP:David20171016  $598   _x001C_</t>
  </si>
  <si>
    <t>///PR:Games___SP:Alice20171016  $1101     _x001C_</t>
  </si>
  <si>
    <t>///PR:Books____SP:Barney20171028    $905 _x001C_</t>
  </si>
  <si>
    <t>////PR:Books____SP:Barney2017104    $818  _x001D_</t>
  </si>
  <si>
    <t>/PR:Games____SP:David2017104     $0   _x001C_</t>
  </si>
  <si>
    <t>//PR:Books___SP:Alice20171017  $820     _x001E_</t>
  </si>
  <si>
    <t>/PR:Games__SP:Carol2017103 $2228   _x001C_</t>
  </si>
  <si>
    <t>///PR:Games____SP:David20171012    $0  _x001F_</t>
  </si>
  <si>
    <t>///PR:Books____SP:Carol2017109  $970     _x001D_</t>
  </si>
  <si>
    <t>//PR:Games_____SP:David2017103    $944  _x001F_</t>
  </si>
  <si>
    <t>/PR:Music___SP:Barney20171026   $1404    _x001D_</t>
  </si>
  <si>
    <t>/////PR:Clothing_____SP:Alice20171030    $1305     _x001C_</t>
  </si>
  <si>
    <t>///PR:Games_____SP:David20171020  $869   _x001D_</t>
  </si>
  <si>
    <t>/////PR:Clothing__SP:Carol2017102     $0   _x001D_</t>
  </si>
  <si>
    <t>///PR:Games_SP:Barney20171025 $0   _x001E_</t>
  </si>
  <si>
    <t>////PR:Books___SP:Carol20171014   $0  _x001C_</t>
  </si>
  <si>
    <t>////PR:Music___SP:Alice2017104    $1461     _x001D_</t>
  </si>
  <si>
    <t>//PR:Books____SP:Barney20171011    $999     _x001E_</t>
  </si>
  <si>
    <t>/////PR:Books__SP:Barney20171022     $510    _x001E_</t>
  </si>
  <si>
    <t>////PR:Music____SP:Alice20171013 $1103    _x001E_</t>
  </si>
  <si>
    <t>////PR:Music____SP:Carol20171016     $1412   _x001D_</t>
  </si>
  <si>
    <t>////PR:Books_SP:Barney20171016     $0 _x001F_</t>
  </si>
  <si>
    <t>//PR:Books__SP:Alice2017108   $763 _x001D_</t>
  </si>
  <si>
    <t>///PR:Clothing___SP:Barney20171011     $1419  _x001F_</t>
  </si>
  <si>
    <t>/PR:Books_SP:Alice20171031 $906     _x001E_</t>
  </si>
  <si>
    <t>///PR:Books___SP:Carol20171010  $725 _x001F_</t>
  </si>
  <si>
    <t>////PR:Clothing__SP:Carol20171015  $1304    _x001F_</t>
  </si>
  <si>
    <t>//PR:Games_____SP:Carol20171026   $1050    _x001C_</t>
  </si>
  <si>
    <t>/////PR:Books_SP:David2017103   $765 _x001F_</t>
  </si>
  <si>
    <t>//PR:Music__SP:Barney2017101  $1272   _x001D_</t>
  </si>
  <si>
    <t>//PR:Music_SP:David2017107  $1424    _x001E_</t>
  </si>
  <si>
    <t>/////PR:Music____SP:Alice2017105 $1047     _x001D_</t>
  </si>
  <si>
    <t>////PR:Games_SP:Carol2017101    $1451   _x001D_</t>
  </si>
  <si>
    <t>/////PR:Clothing___SP:Barney20171010    $667   _x001C_</t>
  </si>
  <si>
    <t>///PR:Books_____SP:Carol2017101     $670    _x001D_</t>
  </si>
  <si>
    <t>//PR:Books____SP:David2017104  $729   _x001F_</t>
  </si>
  <si>
    <t>/////PR:Clothing_____SP:Carol20171021  $1864     _x001F_</t>
  </si>
  <si>
    <t>////PR:Books__SP:Carol20171013    $0   _x001E_</t>
  </si>
  <si>
    <t>//PR:Clothing_____SP:Carol20171019  $0  _x001F_</t>
  </si>
  <si>
    <t>/PR:Clothing____SP:David20171028   $850     _x001F_</t>
  </si>
  <si>
    <t>/PR:Games__SP:Carol20171015     $1500    _x001F_</t>
  </si>
  <si>
    <t>//PR:Music_SP:Carol20171011    $0 _x001C_</t>
  </si>
  <si>
    <t>/PR:Music___SP:Barney2017104   $1242    _x001E_</t>
  </si>
  <si>
    <t>////PR:Music___SP:Carol20171024 $0   _x001E_</t>
  </si>
  <si>
    <t>/////PR:Books___SP:David20171023  $804     _x001F_</t>
  </si>
  <si>
    <t>/PR:Clothing_____SP:Barney20171018     $615    _x001C_</t>
  </si>
  <si>
    <t>//PR:Books___SP:Barney2017106 $0   _x001F_</t>
  </si>
  <si>
    <t>///PR:Games___SP:Carol20171016  $1900  _x001F_</t>
  </si>
  <si>
    <t>///PR:Clothing_____SP:Alice2017102  $1657 _x001D_</t>
  </si>
  <si>
    <t>/PR:Clothing___SP:Alice20171026    $1243    _x001E_</t>
  </si>
  <si>
    <t>/PR:Clothing____SP:Barney2017103 $0  _x001C_</t>
  </si>
  <si>
    <t>////PR:Games____SP:Carol20171022     $1616   _x001D_</t>
  </si>
  <si>
    <t>/PR:Music_____SP:David2017105 $1136   _x001C_</t>
  </si>
  <si>
    <t>///PR:Clothing__SP:Alice20171014  $1671  _x001F_</t>
  </si>
  <si>
    <t>/////PR:Books___SP:Alice2017109    $640   _x001D_</t>
  </si>
  <si>
    <t>//PR:Music___SP:Carol20171022 $952    _x001F_</t>
  </si>
  <si>
    <t>/////PR:Games____SP:Barney20171011   $1198    _x001C_</t>
  </si>
  <si>
    <t>////PR:Music__SP:Barney20171015   $1291  _x001C_</t>
  </si>
  <si>
    <t>///PR:Games___SP:Carol20171021     $1037 _x001F_</t>
  </si>
  <si>
    <t>///PR:Clothing_____SP:Barney20171027  $1105    _x001C_</t>
  </si>
  <si>
    <t>///PR:Books_SP:Carol20171024     $767     _x001C_</t>
  </si>
  <si>
    <t>////PR:Clothing____SP:Alice2017103    $1121     _x001D_</t>
  </si>
  <si>
    <t>//PR:Music_SP:Barney20171012  $914  _x001C_</t>
  </si>
  <si>
    <t>///PR:Clothing_____SP:David2017108   $1631  _x001D_</t>
  </si>
  <si>
    <t>////PR:Games_SP:Barney2017104 $0  _x001F_</t>
  </si>
  <si>
    <t>////PR:Games__SP:David20171021     $1916   _x001D_</t>
  </si>
  <si>
    <t>/PR:Games_SP:Alice2017106   $2406 _x001F_</t>
  </si>
  <si>
    <t>/////PR:Games____SP:Carol20171012    $1878   _x001D_</t>
  </si>
  <si>
    <t>////PR:Games____SP:David20171019 $0     _x001D_</t>
  </si>
  <si>
    <t>/////PR:Music__SP:Carol20171015    $1360   _x001D_</t>
  </si>
  <si>
    <t>/PR:Music____SP:Carol20171014     $0  _x001C_</t>
  </si>
  <si>
    <t>//PR:Books_____SP:Barney2017105   $844   _x001E_</t>
  </si>
  <si>
    <t>/////PR:Clothing__SP:David20171020  $1172     _x001C_</t>
  </si>
  <si>
    <t>///PR:Books____SP:Alice20171030 $0    _x001D_</t>
  </si>
  <si>
    <t>/PR:Music___SP:Alice2017107    $924 _x001E_</t>
  </si>
  <si>
    <t>/////PR:Games__SP:Barney2017102     $2368 _x001E_</t>
  </si>
  <si>
    <t>////PR:Games____SP:Carol20171018 $1616    _x001E_</t>
  </si>
  <si>
    <t>//PR:Music_____SP:David20171012     $1445  _x001D_</t>
  </si>
  <si>
    <t>/PR:Music___SP:Carol20171030  $1133   _x001E_</t>
  </si>
  <si>
    <t>/////PR:Clothing___SP:Carol2017105     $0     _x001C_</t>
  </si>
  <si>
    <t>///PR:Clothing__SP:Alice20171031     $874 _x001F_</t>
  </si>
  <si>
    <t>//PR:Music___SP:Carol2017108     $1003   _x001F_</t>
  </si>
  <si>
    <t>///PR:Books__SP:David20171012     $688  _x001E_</t>
  </si>
  <si>
    <t>//PR:Clothing_____SP:Carol20171022  $1334     _x001E_</t>
  </si>
  <si>
    <t>/PR:Books_SP:Alice20171014     $552  _x001E_</t>
  </si>
  <si>
    <t>////PR:Books_____SP:Carol20171011     $776   _x001F_</t>
  </si>
  <si>
    <t>/PR:Games__SP:Barney20171028    $1261    _x001E_</t>
  </si>
  <si>
    <t>////PR:Music____SP:David20171022   $1437 _x001E_</t>
  </si>
  <si>
    <t>/PR:Clothing__SP:David20171025 $0     _x001C_</t>
  </si>
  <si>
    <t>///PR:Games_SP:David20171031    $1562  _x001E_</t>
  </si>
  <si>
    <t>/PR:Music___SP:Alice20171021 $1342    _x001D_</t>
  </si>
  <si>
    <t>////PR:Music__SP:David2017103     $0 _x001F_</t>
  </si>
  <si>
    <t>/PR:Games____SP:Alice20171017     $892 _x001F_</t>
  </si>
  <si>
    <t>//PR:Music_SP:Alice20171014    $1236    _x001E_</t>
  </si>
  <si>
    <t>/PR:Games____SP:Carol20171019    $1289  _x001D_</t>
  </si>
  <si>
    <t>/////PR:Clothing___SP:David20171016   $1414    _x001D_</t>
  </si>
  <si>
    <t>/PR:Music__SP:Barney2017107     $984   _x001D_</t>
  </si>
  <si>
    <t>//PR:Music__SP:Alice20171030     $0   _x001E_</t>
  </si>
  <si>
    <t>////PR:Books_SP:David20171013   $0   _x001C_</t>
  </si>
  <si>
    <t>///PR:Clothing_SP:Barney2017108    $718  _x001F_</t>
  </si>
  <si>
    <t>/////PR:Music_SP:Alice2017103   $0 _x001D_</t>
  </si>
  <si>
    <t>//PR:Music___SP:Alice2017102  $975 _x001C_</t>
  </si>
  <si>
    <t>///PR:Clothing_SP:David20171010     $1545   _x001D_</t>
  </si>
  <si>
    <t>///PR:Music___SP:David2017106     $0 _x001F_</t>
  </si>
  <si>
    <t>/////PR:Music__SP:Alice2017101  $0  _x001C_</t>
  </si>
  <si>
    <t>///PR:Games____SP:David20171029  $0  _x001C_</t>
  </si>
  <si>
    <t>/////PR:Books___SP:Alice20171012    $743  _x001C_</t>
  </si>
  <si>
    <t>////PR:Music_SP:Alice2017109    $1347 _x001F_</t>
  </si>
  <si>
    <t>/////PR:Books___SP:Alice20171021     $875    _x001E_</t>
  </si>
  <si>
    <t>////PR:Games____SP:Carol20171014    $2331   _x001F_</t>
  </si>
  <si>
    <t>///PR:Books_SP:Barney20171031  $0     _x001F_</t>
  </si>
  <si>
    <t>//PR:Clothing_SP:Alice2017107    $1182  _x001C_</t>
  </si>
  <si>
    <t>////PR:Books__SP:Alice20171011 $675    _x001E_</t>
  </si>
  <si>
    <t>//PR:Music_____SP:Barney20171025 $981  _x001F_</t>
  </si>
  <si>
    <t>//PR:Clothing_____SP:Alice20171013     $1693  _x001F_</t>
  </si>
  <si>
    <t>////PR:Music___SP:Alice20171015  $1499  _x001F_</t>
  </si>
  <si>
    <t>////PR:Clothing____SP:Carol20171028  $1774    _x001E_</t>
  </si>
  <si>
    <t>/////PR:Music_____SP:Carol2017106    $1256     _x001F_</t>
  </si>
  <si>
    <t>////PR:Games_____SP:Carol20171028   $1298     _x001C_</t>
  </si>
  <si>
    <t>/////PR:Games__SP:Barney20171021  $0 _x001C_</t>
  </si>
  <si>
    <t>/PR:Books__SP:Carol2017106  $0    _x001E_</t>
  </si>
  <si>
    <t>////PR:Clothing_____SP:Carol2017109 $987  _x001F_</t>
  </si>
  <si>
    <t>///PR:Music____SP:David20171013  $1454    _x001C_</t>
  </si>
  <si>
    <t>/////PR:Games___SP:Carol20171029 $0 _x001F_</t>
  </si>
  <si>
    <t>/////PR:Games_SP:Carol20171030   $803  _x001D_</t>
  </si>
  <si>
    <t>///PR:Games_SP:Barney2017105 $0    _x001F_</t>
  </si>
  <si>
    <t>////PR:Clothing_____SP:Barney20171030  $0 _x001C_</t>
  </si>
  <si>
    <t>///PR:Music___SP:Barney20171030 $1227  _x001E_</t>
  </si>
  <si>
    <t>/////PR:Music____SP:Alice20171027   $1325   _x001C_</t>
  </si>
  <si>
    <t>////PR:Clothing_____SP:David20171018   $0     _x001F_</t>
  </si>
  <si>
    <t>////PR:Games_____SP:Alice20171024   $1035  _x001F_</t>
  </si>
  <si>
    <t>///PR:Books___SP:David20171030 $553 _x001C_</t>
  </si>
  <si>
    <t>//PR:Music___SP:Barney20171021 $1139 _x001C_</t>
  </si>
  <si>
    <t>/////PR:Games__SP:Barney20171029   $0     _x001C_</t>
  </si>
  <si>
    <t>//PR:Music_SP:Carol20171026     $0    _x001D_</t>
  </si>
  <si>
    <t>////PR:Books____SP:Barney20171013 $922    _x001F_</t>
  </si>
  <si>
    <t>/////PR:Books____SP:Alice20171029  $933   _x001F_</t>
  </si>
  <si>
    <t>///PR:Music____SP:Carol2017101   $902 _x001D_</t>
  </si>
  <si>
    <t>//PR:Books___SP:Barney2017102  $885 _x001C_</t>
  </si>
  <si>
    <t>/////PR:Clothing___SP:Barney20171031     $0  _x001D_</t>
  </si>
  <si>
    <t>/PR:Clothing___SP:Alice20171016  $0    _x001F_</t>
  </si>
  <si>
    <t>/////PR:Music___SP:David20171010 $1040 _x001E_</t>
  </si>
  <si>
    <t>////PR:Clothing_____SP:Carol20171031  $0    _x001D_</t>
  </si>
  <si>
    <t>////PR:Games_____SP:Carol2017105 $2347     _x001D_</t>
  </si>
  <si>
    <t>/////PR:Games_____SP:Alice20171019  $1388   _x001D_</t>
  </si>
  <si>
    <t>/PR:Clothing____SP:David2017102 $0   _x001F_</t>
  </si>
  <si>
    <t>//PR:Clothing_____SP:Barney2017104    $1992  _x001E_</t>
  </si>
  <si>
    <t>/PR:Games__SP:David20171014    $1110   _x001F_</t>
  </si>
  <si>
    <t>//PR:Music_____SP:David2017102    $1315 _x001F_</t>
  </si>
  <si>
    <t>/////PR:Clothing_____SP:David20171014     $962     _x001D_</t>
  </si>
  <si>
    <t>/PR:Clothing____SP:David20171012  $1066     _x001E_</t>
  </si>
  <si>
    <t>///PR:Books_SP:David20171025    $749 _x001D_</t>
  </si>
  <si>
    <t>/////PR:Clothing__SP:Carol2017107 $1535     _x001F_</t>
  </si>
  <si>
    <t>/PR:Music___SP:Alice20171026   $1330   _x001E_</t>
  </si>
  <si>
    <t>/PR:Games__SP:Carol20171011 $0    _x001E_</t>
  </si>
  <si>
    <t>/////PR:Games___SP:David2017106  $1248   _x001D_</t>
  </si>
  <si>
    <t>//PR:Clothing__SP:David2017106     $1106 _x001F_</t>
  </si>
  <si>
    <t>//PR:Games____SP:Alice20171029     $1164    _x001D_</t>
  </si>
  <si>
    <t>//PR:Games____SP:Barney2017106  $0 _x001F_</t>
  </si>
  <si>
    <t>////PR:Games___SP:David20171030   $1281  _x001D_</t>
  </si>
  <si>
    <t>///PR:Music_SP:Alice20171019    $0     _x001E_</t>
  </si>
  <si>
    <t>//PR:Clothing_SP:Alice20171027   $0    _x001F_</t>
  </si>
  <si>
    <t>//PR:Books_____SP:David20171027     $0    _x001F_</t>
  </si>
  <si>
    <t>//PR:Clothing____SP:Alice2017104     $1616 _x001E_</t>
  </si>
  <si>
    <t>////PR:Games_SP:Alice20171020    $2087 _x001E_</t>
  </si>
  <si>
    <t>///PR:Books____SP:Alice20171024  $762   _x001E_</t>
  </si>
  <si>
    <t>/////PR:Clothing____SP:Barney20171023     $0 _x001C_</t>
  </si>
  <si>
    <t>////PR:Books_SP:Barney2017103    $0  _x001C_</t>
  </si>
  <si>
    <t>//PR:Books__SP:David20171028    $904   _x001C_</t>
  </si>
  <si>
    <t>//PR:Books__SP:Alice20171010     $0 _x001F_</t>
  </si>
  <si>
    <t>///PR:Games___SP:Barney20171015 $0    _x001D_</t>
  </si>
  <si>
    <t>////PR:Books__SP:David2017106 $523  _x001D_</t>
  </si>
  <si>
    <t>////PR:Clothing_SP:Carol20171018  $905     _x001C_</t>
  </si>
  <si>
    <t>/PR:Clothing____SP:Alice20171021  $834   _x001C_</t>
  </si>
  <si>
    <t>////PR:Clothing__SP:Barney20171017   $1740   _x001F_</t>
  </si>
  <si>
    <t>//PR:Music_SP:Carol20171013 $1143   _x001D_</t>
  </si>
  <si>
    <t>/////PR:Clothing__SP:Barney20171019    $0 _x001F_</t>
  </si>
  <si>
    <t>//PR:Music__SP:Barney20171023  $984     _x001D_</t>
  </si>
  <si>
    <t>//PR:Books__SP:Barney20171019 $604    _x001F_</t>
  </si>
  <si>
    <t>//PR:Games_____SP:Barney20171013   $1349    _x001D_</t>
  </si>
  <si>
    <t>//PR:Books_SP:David20171015  $852  _x001E_</t>
  </si>
  <si>
    <t>/PR:Books__SP:Barney20171014 $621     _x001D_</t>
  </si>
  <si>
    <t>//PR:Books____SP:Alice20171026   $950  _x001C_</t>
  </si>
  <si>
    <t>////PR:Books_SP:Carol20171020 $713  _x001C_</t>
  </si>
  <si>
    <t>///PR:Clothing___SP:Barney2017105    $999 _x001D_</t>
  </si>
  <si>
    <t>//PR:Clothing____SP:Carol20171011     $1635     _x001F_</t>
  </si>
  <si>
    <t>////PR:Books_SP:Alice20171020 $940   _x001F_</t>
  </si>
  <si>
    <t>////PR:Music__SP:Alice20171018   $1071     _x001F_</t>
  </si>
  <si>
    <t>//PR:Music__SP:David2017104  $0   _x001F_</t>
  </si>
  <si>
    <t>////PR:Games____SP:David20171010  $1870  _x001E_</t>
  </si>
  <si>
    <t>///PR:Books__SP:Barney20171029 $764 _x001D_</t>
  </si>
  <si>
    <t>//PR:Clothing_____SP:David20171023   $1176 _x001D_</t>
  </si>
  <si>
    <t>/PR:Clothing___SP:Alice20171024    $681 _x001E_</t>
  </si>
  <si>
    <t>///PR:Music_____SP:Barney20171019    $1500  _x001C_</t>
  </si>
  <si>
    <t>/////PR:Music__SP:David20171029 $0     _x001E_</t>
  </si>
  <si>
    <t>//PR:Music__SP:Alice20171017     $0 _x001C_</t>
  </si>
  <si>
    <t>/////PR:Music_SP:Carol2017105     $1428  _x001D_</t>
  </si>
  <si>
    <t>///PR:Music____SP:Carol20171023     $968     _x001D_</t>
  </si>
  <si>
    <t>///PR:Games__SP:Alice20171026     $0    _x001F_</t>
  </si>
  <si>
    <t>////PR:Games_____SP:Barney20171016   $1522  _x001C_</t>
  </si>
  <si>
    <t>//PR:Music__SP:Carol20171019  $0 _x001F_</t>
  </si>
  <si>
    <t>//PR:Books____SP:Carol20171031  $900    _x001E_</t>
  </si>
  <si>
    <t>//PR:Music_____SP:Alice20171028     $0  _x001E_</t>
  </si>
  <si>
    <t>/PR:Books___SP:David2017107   $978    _x001E_</t>
  </si>
  <si>
    <t>/PR:Clothing__SP:Alice2017106    $680 _x001E_</t>
  </si>
  <si>
    <t>///PR:Games___SP:Barney20171017     $1489    _x001F_</t>
  </si>
  <si>
    <t>/////PR:Games____SP:Barney20171030     $0  _x001D_</t>
  </si>
  <si>
    <t>/PR:Books_SP:Alice20171023 $0    _x001E_</t>
  </si>
  <si>
    <t>////PR:Clothing__SP:David2017105 $0   _x001E_</t>
  </si>
  <si>
    <t>///PR:Books_SP:Alice2017105   $508 _x001F_</t>
  </si>
  <si>
    <t>/////PR:Clothing_____SP:Barney20171026  $1793   _x001F_</t>
  </si>
  <si>
    <t>/PR:Books_____SP:Barney2017107  $765    _x001D_</t>
  </si>
  <si>
    <t>//PR:Clothing_SP:Alice20171023  $1099    _x001F_</t>
  </si>
  <si>
    <t>////PR:Clothing_____SP:David2017101  $610     _x001E_</t>
  </si>
  <si>
    <t>//PR:Music__SP:Barney20171024  $1157     _x001E_</t>
  </si>
  <si>
    <t>///PR:Clothing_____SP:Barney20171022 $845  _x001C_</t>
  </si>
  <si>
    <t>/////PR:Games_SP:Barney20171031     $1381   _x001E_</t>
  </si>
  <si>
    <t>////PR:Games_SP:David2017109 $1960   _x001E_</t>
  </si>
  <si>
    <t>/////PR:Games_____SP:Barney2017103  $1957   _x001F_</t>
  </si>
  <si>
    <t>///PR:Music_SP:David20171031     $1247    _x001D_</t>
  </si>
  <si>
    <t>//PR:Games__SP:Barney2017108  $1478  _x001F_</t>
  </si>
  <si>
    <t>///PR:Games_____SP:Alice2017109  $0  _x001C_</t>
  </si>
  <si>
    <t>/////PR:Music_____SP:Carol20171028   $1137 _x001F_</t>
  </si>
  <si>
    <t>///PR:Clothing____SP:Carol2017106    $0   _x001F_</t>
  </si>
  <si>
    <t>////PR:Music_SP:Carol20171017    $1223     _x001D_</t>
  </si>
  <si>
    <t>/PR:Clothing___SP:Barney2017101   $732    _x001F_</t>
  </si>
  <si>
    <t>////PR:Clothing___SP:Carol20171020    $0     _x001F_</t>
  </si>
  <si>
    <t>//PR:Books___SP:Carol2017105    $619    _x001D_</t>
  </si>
  <si>
    <t>/PR:Clothing_SP:Alice20171019     $877  _x001F_</t>
  </si>
  <si>
    <t>///PR:Books_____SP:David20171031    $629   _x001D_</t>
  </si>
  <si>
    <t>///PR:Clothing____SP:Carol2017103     $1069 _x001D_</t>
  </si>
  <si>
    <t>////PR:Music__SP:Alice20171022    $1348  _x001F_</t>
  </si>
  <si>
    <t>//PR:Clothing_____SP:David20171017  $1475 _x001D_</t>
  </si>
  <si>
    <t>///PR:Music__SP:Carol20171021    $0 _x001E_</t>
  </si>
  <si>
    <t>///PR:Games___SP:Alice20171014   $2209     _x001D_</t>
  </si>
  <si>
    <t>/////PR:Games___SP:David20171024     $0    _x001E_</t>
  </si>
  <si>
    <t>////PR:Games____SP:Barney20171019 $0 _x001F_</t>
  </si>
  <si>
    <t>///PR:Games___SP:Carol2017106  $1733 _x001E_</t>
  </si>
  <si>
    <t>/////PR:Games__SP:David2017105    $1878     _x001E_</t>
  </si>
  <si>
    <t>//PR:Clothing___SP:Barney20171012    $925     _x001C_</t>
  </si>
  <si>
    <t>/PR:Books___SP:Barney2017101    $686    _x001F_</t>
  </si>
  <si>
    <t>/////PR:Clothing_____SP:David2017109     $1703   _x001D_</t>
  </si>
  <si>
    <t>///PR:Music_SP:David20171021   $1038 _x001C_</t>
  </si>
  <si>
    <t>////PR:Games__SP:David20171013 $1573    _x001F_</t>
  </si>
  <si>
    <t>//PR:Games____SP:Alice20171031     $1364 _x001F_</t>
  </si>
  <si>
    <t>/////PR:Clothing__SP:David20171015    $1281  _x001E_</t>
  </si>
  <si>
    <t>//PR:Books_____SP:David20171022     $996 _x001D_</t>
  </si>
  <si>
    <t>////PR:Music____SP:Alice2017108   $0    _x001D_</t>
  </si>
  <si>
    <t>/PR:Books_____SP:Carol20171027   $528  _x001C_</t>
  </si>
  <si>
    <t>///PR:Books_SP:Barney20171012    $789     _x001E_</t>
  </si>
  <si>
    <t>////PR:Games_SP:Alice2017103     $0 _x001C_</t>
  </si>
  <si>
    <t>//PR:Music_____SP:David20171011     $1306  _x001F_</t>
  </si>
  <si>
    <t>//PR:Clothing__SP:David20171031     $1389  _x001D_</t>
  </si>
  <si>
    <t>/////PR:Clothing_SP:Alice20171029    $1950  _x001D_</t>
  </si>
  <si>
    <t>///PR:Books_____SP:Alice20171016   $735 _x001E_</t>
  </si>
  <si>
    <t>///PR:Music____SP:Carol2017109  $1368  _x001E_</t>
  </si>
  <si>
    <t>//PR:Clothing_____SP:Alice20171010  $1069 _x001F_</t>
  </si>
  <si>
    <t>/////PR:Games_____SP:Barney2017101    $1477  _x001D_</t>
  </si>
  <si>
    <t>////PR:Books___SP:Barney20171018 $669  _x001E_</t>
  </si>
  <si>
    <t>///PR:Games_SP:Carol20171023  $2447    _x001D_</t>
  </si>
  <si>
    <t>/PR:Books___SP:David20171014  $0     _x001F_</t>
  </si>
  <si>
    <t>///PR:Games_SP:Barney20171023    $2144     _x001E_</t>
  </si>
  <si>
    <t>///PR:Books____SP:Alice20171022     $699  _x001D_</t>
  </si>
  <si>
    <t>///PR:Music_SP:David20171017     $0 _x001D_</t>
  </si>
  <si>
    <t>///PR:Music____SP:Barney20171013   $0   _x001D_</t>
  </si>
  <si>
    <t>/PR:Books_____SP:Carol20171017     $825     _x001C_</t>
  </si>
  <si>
    <t>////PR:Games__SP:Alice2017107     $0   _x001C_</t>
  </si>
  <si>
    <t>//PR:Games_____SP:David2017101    $1810     _x001E_</t>
  </si>
  <si>
    <t>/////PR:Books__SP:Carol20171026  $686   _x001E_</t>
  </si>
  <si>
    <t>////PR:Music_____SP:Carol2017104  $1025  _x001C_</t>
  </si>
  <si>
    <t>///PR:Games_SP:Carol2017102    $827     _x001D_</t>
  </si>
  <si>
    <t>/////PR:Books____SP:David20171018  $0  _x001C_</t>
  </si>
  <si>
    <t>///PR:Music_____SP:Barney20171022 $1291   _x001C_</t>
  </si>
  <si>
    <t>/////PR:Music___SP:Barney20171017   $1294   _x001D_</t>
  </si>
  <si>
    <t>/////PR:Music__SP:Alice20171010   $1098    _x001D_</t>
  </si>
  <si>
    <t>////PR:Books___SP:Alice2017104  $716  _x001D_</t>
  </si>
  <si>
    <t>///PR:Clothing____SP:Alice20171012 $0     _x001C_</t>
  </si>
  <si>
    <t>///PR:Clothing_SP:David20171019   $0  _x001F_</t>
  </si>
  <si>
    <t>//PR:Clothing_SP:Carol2017101 $988 _x001C_</t>
  </si>
  <si>
    <t>//PR:Music_SP:Barney20171010 $1140   _x001C_</t>
  </si>
  <si>
    <t>////PR:Books__SP:Alice20171019   $0  _x001C_</t>
  </si>
  <si>
    <t>/////PR:Music_SP:David20171018   $0 _x001F_</t>
  </si>
  <si>
    <t>/PR:Books_SP:David20171029  $0     _x001D_</t>
  </si>
  <si>
    <t>//PR:Clothing___SP:Barney20171028    $1976 _x001E_</t>
  </si>
  <si>
    <t>/////PR:Clothing_SP:David20171021    $847   _x001F_</t>
  </si>
  <si>
    <t>/////PR:Music_____SP:David20171014    $1203     _x001C_</t>
  </si>
  <si>
    <t>/PR:Music_____SP:David20171023     $0    _x001F_</t>
  </si>
  <si>
    <t>/PR:Music_____SP:Alice20171025     $1069 _x001F_</t>
  </si>
  <si>
    <t>/PR:Books_____SP:David20171026    $837  _x001E_</t>
  </si>
  <si>
    <t>//PR:Games___SP:Carol20171027     $2326   _x001E_</t>
  </si>
  <si>
    <t>////PR:Music__SP:Carol20171027   $1060   _x001C_</t>
  </si>
  <si>
    <t>/PR:Books_SP:David2017105 $540 _x001F_</t>
  </si>
  <si>
    <t>/////PR:Music_SP:Barney2017106   $973     _x001F_</t>
  </si>
  <si>
    <t>////PR:Games__SP:Alice20171018 $2109   _x001E_</t>
  </si>
  <si>
    <t>////PR:Books__SP:Carol20171016 $618     _x001E_</t>
  </si>
  <si>
    <t>/////PR:Clothing_SP:Carol20171016   $1602    _x001D_</t>
  </si>
  <si>
    <t>/////PR:Games__SP:Carol20171031   $0   _x001E_</t>
  </si>
  <si>
    <t>//PR:Games__SP:Carol2017104     $0 _x001E_</t>
  </si>
  <si>
    <t>/PR:Games_____SP:Carol20171013  $1546    _x001D_</t>
  </si>
  <si>
    <t>///PR:Games_____SP:Carol2017108  $2008  _x001C_</t>
  </si>
  <si>
    <t>////PR:Games_SP:Alice2017101 $2292  _x001E_</t>
  </si>
  <si>
    <t>/PR:Books_SP:Alice20171015    $952  _x001E_</t>
  </si>
  <si>
    <t>///PR:Books__SP:Alice2017102 $547   _x001D_</t>
  </si>
  <si>
    <t>///PR:Clothing__SP:David2017103 $1671 _x001F_</t>
  </si>
  <si>
    <t>/////PR:Music__SP:Carol2017102    $1007     _x001C_</t>
  </si>
  <si>
    <t>///PR:Music__SP:Barney20171018   $1347  _x001E_</t>
  </si>
  <si>
    <t>//PR:Clothing_____SP:Carol20171027     $0  _x001E_</t>
  </si>
  <si>
    <t>////PR:Music__SP:David2017101     $1396     _x001F_</t>
  </si>
  <si>
    <t>/PR:Music____SP:Alice20171023    $1212 _x001C_</t>
  </si>
  <si>
    <t>/PR:Books__SP:Alice20171025 $0 _x001D_</t>
  </si>
  <si>
    <t>///PR:Books_____SP:Barney20171017 $726     _x001F_</t>
  </si>
  <si>
    <t>/PR:Games___SP:David20171023    $0  _x001F_</t>
  </si>
  <si>
    <t>/PR:Music_____SP:Carol2017107  $0    _x001C_</t>
  </si>
  <si>
    <t>////PR:Books_SP:Carol20171022 $505     _x001F_</t>
  </si>
  <si>
    <t>/PR:Music__SP:Barney20171016    $0 _x001F_</t>
  </si>
  <si>
    <t>/////PR:Games_SP:Alice2017104     $2364   _x001F_</t>
  </si>
  <si>
    <t>/////PR:Clothing____SP:Barney20171013  $0 _x001E_</t>
  </si>
  <si>
    <t>////PR:Games_____SP:David20171011 $1930  _x001C_</t>
  </si>
  <si>
    <t>////PR:Books___SP:Carol20171018 $529   _x001D_</t>
  </si>
  <si>
    <t>//PR:Clothing_____SP:Alice20171020 $688 _x001C_</t>
  </si>
  <si>
    <t>/PR:Games__SP:David20171016    $0  _x001E_</t>
  </si>
  <si>
    <t>/PR:Books_SP:Carol2017107     $0   _x001C_</t>
  </si>
  <si>
    <t>///PR:Music__SP:Alice20171029  $1338     _x001C_</t>
  </si>
  <si>
    <t>//PR:Books__SP:Barney20171030   $695    _x001E_</t>
  </si>
  <si>
    <t>//PR:Books_____SP:Alice20171028   $543 _x001C_</t>
  </si>
  <si>
    <t>/////PR:Music____SP:Alice20171016    $0  _x001E_</t>
  </si>
  <si>
    <t>/////PR:Books___SP:Alice20171018    $523  _x001C_</t>
  </si>
  <si>
    <t>/////PR:Games_SP:Alice2017108     $1218   _x001F_</t>
  </si>
  <si>
    <t>///PR:Books_SP:Barney20171025     $838    _x001C_</t>
  </si>
  <si>
    <t>//PR:Games__SP:David20171018     $1893     _x001F_</t>
  </si>
  <si>
    <t>//PR:Clothing_____SP:Alice2017109  $989 _x001D_</t>
  </si>
  <si>
    <t>////PR:Music___SP:Barney20171014   $1144    _x001F_</t>
  </si>
  <si>
    <t>//PR:Clothing_____SP:Alice20171022    $1619   _x001F_</t>
  </si>
  <si>
    <t>/PR:Books_SP:David20171011  $842     _x001F_</t>
  </si>
  <si>
    <t>/PR:Games__SP:Alice2017105  $2369  _x001C_</t>
  </si>
  <si>
    <t>//PR:Books__SP:Barney2017108 $981    _x001C_</t>
  </si>
  <si>
    <t>//PR:Games_____SP:Alice20171012 $2500  _x001C_</t>
  </si>
  <si>
    <t>///PR:Music__SP:Carol20171010     $951    _x001D_</t>
  </si>
  <si>
    <t>//PR:Music____SP:David20171016 $1330 _x001D_</t>
  </si>
  <si>
    <t>//PR:Games_SP:Carol20171017     $2487    _x001D_</t>
  </si>
  <si>
    <t>/PR:Music___SP:Carol20171029   $1464   _x001E_</t>
  </si>
  <si>
    <t>///PR:Books____SP:David2017101  $0   _x001D_</t>
  </si>
  <si>
    <t>/PR:Games_____SP:Alice20171013 $1045 _x001D_</t>
  </si>
  <si>
    <t>////PR:Games_____SP:Alice20171015 $0   _x001E_</t>
  </si>
  <si>
    <t>/////PR:Books___SP:Alice2017107 $0  _x001F_</t>
  </si>
  <si>
    <t>//PR:Clothing__SP:David20171022  $0   _x001C_</t>
  </si>
  <si>
    <t>/PR:Games___SP:Alice2017102    $0     _x001E_</t>
  </si>
  <si>
    <t>/PR:Clothing___SP:Alice20171028 $1021     _x001F_</t>
  </si>
  <si>
    <t>/PR:Games____SP:Alice20171028   $1887    _x001F_</t>
  </si>
  <si>
    <t>/PR:Games___SP:Barney20171012    $1700  _x001E_</t>
  </si>
  <si>
    <t>////PR:Music_____SP:Barney20171011     $1382    _x001C_</t>
  </si>
  <si>
    <t>/////PR:Books_SP:Barney20171021  $808    _x001E_</t>
  </si>
  <si>
    <t>///PR:Music____SP:David20171019     $0     _x001F_</t>
  </si>
  <si>
    <t>//PR:Music_SP:Carol20171025 $1496  _x001D_</t>
  </si>
  <si>
    <t>/PR:Clothing___SP:Alice20171011 $1375   _x001E_</t>
  </si>
  <si>
    <t>/////PR:Books_SP:Alice2017106   $750   _x001C_</t>
  </si>
  <si>
    <t>/////PR:Books_____SP:David2017102     $890 _x001C_</t>
  </si>
  <si>
    <t>/PR:Music_SP:David2017109 $1345 _x001C_</t>
  </si>
  <si>
    <t>////PR:Music___SP:Alice20171024   $0    _x001D_</t>
  </si>
  <si>
    <t>/PR:Clothing__SP:David20171030 $660 _x001D_</t>
  </si>
  <si>
    <t>////PR:Clothing___SP:Barney20171021 $0    _x001F_</t>
  </si>
  <si>
    <t>//PR:Games_____SP:Barney20171020   $2380     _x001E_</t>
  </si>
  <si>
    <t>/////PR:Books____SP:Carol20171025  $515   _x001C_</t>
  </si>
  <si>
    <t>////PR:Clothing__SP:Alice20171017    $650 _x001C_</t>
  </si>
  <si>
    <t>////PR:Books_SP:Barney2017109 $0   _x001D_</t>
  </si>
  <si>
    <t>///PR:Clothing__SP:Barney2017102  $1988    _x001D_</t>
  </si>
  <si>
    <t>/////PR:Music__SP:Carol20171020    $0     _x001D_</t>
  </si>
  <si>
    <t>////PR:Books___SP:David2017108     $501     _x001F_</t>
  </si>
  <si>
    <t>//PR:Clothing_____SP:Alice2017108  $859     _x001D_</t>
  </si>
  <si>
    <t>////PR:Clothing__SP:Barney20171014 $0   _x001D_</t>
  </si>
  <si>
    <t>////PR:Books___SP:Barney20171024  $743  _x001E_</t>
  </si>
  <si>
    <t>/////PR:Books_____SP:Alice20171027    $0  _x001E_</t>
  </si>
  <si>
    <t>/////PR:Books_____SP:Barney20171020 $0 _x001E_</t>
  </si>
  <si>
    <t>/PR:Music__SP:Alice2017106 $1010 _x001C_</t>
  </si>
  <si>
    <t>1st space</t>
  </si>
  <si>
    <t>2nd space</t>
  </si>
  <si>
    <t>3rd space</t>
  </si>
  <si>
    <t>Sales person</t>
  </si>
  <si>
    <t>Amount</t>
  </si>
  <si>
    <t>Final clean record</t>
  </si>
  <si>
    <t>Date (text)</t>
  </si>
  <si>
    <t>Date (value)</t>
  </si>
  <si>
    <t>Row Labels</t>
  </si>
  <si>
    <t>Grand Total</t>
  </si>
  <si>
    <t>Sum of Sales Amount ($)</t>
  </si>
  <si>
    <t>Transaction Amount</t>
  </si>
  <si>
    <t>Average Prices</t>
  </si>
  <si>
    <t>Books</t>
  </si>
  <si>
    <t>Clothing</t>
  </si>
  <si>
    <t>Music</t>
  </si>
  <si>
    <t>Games</t>
  </si>
  <si>
    <t>Alice</t>
  </si>
  <si>
    <t>Barney</t>
  </si>
  <si>
    <t>Carol</t>
  </si>
  <si>
    <t>David</t>
  </si>
  <si>
    <t>Sum of Transaction Amount</t>
  </si>
  <si>
    <t>Day</t>
  </si>
  <si>
    <t>If Sales Amount &gt; 0</t>
  </si>
  <si>
    <t>Sum of If Sales Amount &gt; 0</t>
  </si>
  <si>
    <t>Column Labels</t>
  </si>
  <si>
    <t>Empty</t>
  </si>
  <si>
    <t>Needle</t>
  </si>
  <si>
    <t>Area-1</t>
  </si>
  <si>
    <t>Area-2</t>
  </si>
  <si>
    <t>Area-3</t>
  </si>
  <si>
    <t>Area-4</t>
  </si>
  <si>
    <t>Category :</t>
  </si>
  <si>
    <t>Option-1</t>
  </si>
  <si>
    <t>Option-2</t>
  </si>
  <si>
    <r>
      <t xml:space="preserve">Salesperson to Transact on Assigned Category </t>
    </r>
    <r>
      <rPr>
        <b/>
        <sz val="14"/>
        <color theme="0"/>
        <rFont val="Calibri"/>
        <family val="2"/>
        <scheme val="minor"/>
      </rPr>
      <t>Only</t>
    </r>
  </si>
  <si>
    <r>
      <rPr>
        <b/>
        <sz val="14"/>
        <color theme="0"/>
        <rFont val="Calibri"/>
        <family val="2"/>
        <scheme val="minor"/>
      </rPr>
      <t>Assign</t>
    </r>
    <r>
      <rPr>
        <sz val="12"/>
        <color theme="0"/>
        <rFont val="Calibri"/>
        <family val="2"/>
        <scheme val="minor"/>
      </rPr>
      <t xml:space="preserve"> Salesperson </t>
    </r>
    <r>
      <rPr>
        <sz val="11"/>
        <color theme="0"/>
        <rFont val="Calibri"/>
        <family val="2"/>
        <scheme val="minor"/>
      </rPr>
      <t>to Category</t>
    </r>
  </si>
  <si>
    <r>
      <rPr>
        <b/>
        <sz val="14"/>
        <color theme="0"/>
        <rFont val="Calibri"/>
        <family val="2"/>
        <scheme val="minor"/>
      </rPr>
      <t>Train</t>
    </r>
    <r>
      <rPr>
        <sz val="11"/>
        <color theme="0"/>
        <rFont val="Calibri"/>
        <family val="2"/>
        <scheme val="minor"/>
      </rPr>
      <t xml:space="preserve"> Salesperson on 1 Non-Music category + Music Category</t>
    </r>
  </si>
  <si>
    <r>
      <t xml:space="preserve">Salesperson to Transact on Trained Categories </t>
    </r>
    <r>
      <rPr>
        <b/>
        <sz val="14"/>
        <color theme="0"/>
        <rFont val="Calibri"/>
        <family val="2"/>
        <scheme val="minor"/>
      </rPr>
      <t>Only</t>
    </r>
  </si>
  <si>
    <t>Total</t>
  </si>
  <si>
    <t>Transaction Volume</t>
  </si>
  <si>
    <t>Salesperson</t>
  </si>
  <si>
    <t>Salesperson:</t>
  </si>
  <si>
    <t>Remaining</t>
  </si>
  <si>
    <t>percentage</t>
  </si>
  <si>
    <t>Dial</t>
  </si>
  <si>
    <t>Remainder</t>
  </si>
  <si>
    <r>
      <t xml:space="preserve">Transaction Volume Per </t>
    </r>
    <r>
      <rPr>
        <b/>
        <sz val="12"/>
        <color theme="0"/>
        <rFont val="Calibri"/>
        <family val="2"/>
        <scheme val="minor"/>
      </rPr>
      <t>Salesperson</t>
    </r>
  </si>
  <si>
    <t>:</t>
  </si>
  <si>
    <t>Administrative Points</t>
  </si>
  <si>
    <t>Empty rows are deleted.</t>
  </si>
  <si>
    <t>Duplicates are removed.</t>
  </si>
  <si>
    <t>CLEAN, SUBSTITUTE, TRIM functions are applied to get rid of respective ASCII codes.</t>
  </si>
  <si>
    <t>Clean but one-row-four-field data is separated into its fields by FIND, MID, LEFT functions.</t>
  </si>
  <si>
    <t>Number formatting is applied where necessary along with VALUE function.</t>
  </si>
  <si>
    <t>Date field in the clean data is enriched by extracting the day value, as the dates are only from October 2017.</t>
  </si>
  <si>
    <t>"If Sales Amount &gt; 0" logical field is added to see if any sale is transacted for a salesperson and product category in question.</t>
  </si>
  <si>
    <t>The Project "October 2017 Sales Breakdown" aims to answer two question:</t>
  </si>
  <si>
    <t>No outliers are seen.</t>
  </si>
  <si>
    <t>Spell-checked</t>
  </si>
  <si>
    <t>Converted to the table</t>
  </si>
  <si>
    <t>INDEX</t>
  </si>
  <si>
    <t>Remainder-1</t>
  </si>
  <si>
    <t>Remainder-2</t>
  </si>
  <si>
    <r>
      <t xml:space="preserve">Transaction Volume Per </t>
    </r>
    <r>
      <rPr>
        <b/>
        <sz val="11"/>
        <color theme="0"/>
        <rFont val="Calibri"/>
        <family val="2"/>
        <scheme val="minor"/>
      </rPr>
      <t>Product Category</t>
    </r>
  </si>
  <si>
    <t>a</t>
  </si>
  <si>
    <t>b</t>
  </si>
  <si>
    <t>i</t>
  </si>
  <si>
    <t>c</t>
  </si>
  <si>
    <t>d</t>
  </si>
  <si>
    <t>e</t>
  </si>
  <si>
    <t>f</t>
  </si>
  <si>
    <t>g</t>
  </si>
  <si>
    <t>h</t>
  </si>
  <si>
    <t>j</t>
  </si>
  <si>
    <t>k</t>
  </si>
  <si>
    <r>
      <t xml:space="preserve">Total sales distribution by salesperson and by product category is graphed </t>
    </r>
    <r>
      <rPr>
        <b/>
        <sz val="12"/>
        <color theme="1"/>
        <rFont val="Calibri"/>
        <family val="2"/>
        <scheme val="minor"/>
      </rPr>
      <t>in two doughnut-pie charts</t>
    </r>
    <r>
      <rPr>
        <sz val="12"/>
        <color theme="1"/>
        <rFont val="Calibri"/>
        <family val="2"/>
        <scheme val="minor"/>
      </rPr>
      <t>.</t>
    </r>
  </si>
  <si>
    <r>
      <rPr>
        <b/>
        <sz val="12"/>
        <color theme="1"/>
        <rFont val="Calibri"/>
        <family val="2"/>
        <scheme val="minor"/>
      </rPr>
      <t>Analysis:</t>
    </r>
    <r>
      <rPr>
        <sz val="12"/>
        <color theme="1"/>
        <rFont val="Calibri"/>
        <family val="2"/>
        <scheme val="minor"/>
      </rPr>
      <t xml:space="preserve"> All salespersons have equal share from the total sales.</t>
    </r>
  </si>
  <si>
    <r>
      <rPr>
        <b/>
        <sz val="12"/>
        <color theme="1"/>
        <rFont val="Calibri"/>
        <family val="2"/>
        <scheme val="minor"/>
      </rPr>
      <t>Analysis:</t>
    </r>
    <r>
      <rPr>
        <sz val="12"/>
        <color theme="1"/>
        <rFont val="Calibri"/>
        <family val="2"/>
        <scheme val="minor"/>
      </rPr>
      <t xml:space="preserve"> All salespersons have equal share from the total transactions in all manners.</t>
    </r>
  </si>
  <si>
    <r>
      <rPr>
        <b/>
        <sz val="12"/>
        <color theme="1"/>
        <rFont val="Calibri"/>
        <family val="2"/>
        <scheme val="minor"/>
      </rPr>
      <t xml:space="preserve">Analysis: </t>
    </r>
    <r>
      <rPr>
        <sz val="12"/>
        <color theme="1"/>
        <rFont val="Calibri"/>
        <family val="2"/>
        <scheme val="minor"/>
      </rPr>
      <t>to make a room for daily or salesperson based business intelligence inferences.</t>
    </r>
  </si>
  <si>
    <r>
      <t xml:space="preserve">Total sales and transaction amount </t>
    </r>
    <r>
      <rPr>
        <b/>
        <sz val="12"/>
        <color theme="1"/>
        <rFont val="Calibri"/>
        <family val="2"/>
        <scheme val="minor"/>
      </rPr>
      <t>by date</t>
    </r>
    <r>
      <rPr>
        <sz val="12"/>
        <color theme="1"/>
        <rFont val="Calibri"/>
        <family val="2"/>
        <scheme val="minor"/>
      </rPr>
      <t xml:space="preserve"> are graphed </t>
    </r>
    <r>
      <rPr>
        <b/>
        <sz val="12"/>
        <color theme="1"/>
        <rFont val="Calibri"/>
        <family val="2"/>
        <scheme val="minor"/>
      </rPr>
      <t xml:space="preserve">in a combo chart. </t>
    </r>
    <r>
      <rPr>
        <sz val="12"/>
        <color theme="1"/>
        <rFont val="Calibri"/>
        <family val="2"/>
        <scheme val="minor"/>
      </rPr>
      <t xml:space="preserve">Transaction amount of the product category "Games" is graphed </t>
    </r>
    <r>
      <rPr>
        <b/>
        <sz val="12"/>
        <color theme="1"/>
        <rFont val="Calibri"/>
        <family val="2"/>
        <scheme val="minor"/>
      </rPr>
      <t>in a line graph.</t>
    </r>
    <r>
      <rPr>
        <sz val="12"/>
        <color theme="1"/>
        <rFont val="Calibri"/>
        <family val="2"/>
        <scheme val="minor"/>
      </rPr>
      <t xml:space="preserve"> </t>
    </r>
  </si>
  <si>
    <r>
      <t xml:space="preserve">Total sales and transaction amount </t>
    </r>
    <r>
      <rPr>
        <b/>
        <sz val="12"/>
        <color theme="1"/>
        <rFont val="Calibri"/>
        <family val="2"/>
        <scheme val="minor"/>
      </rPr>
      <t>by product</t>
    </r>
    <r>
      <rPr>
        <sz val="12"/>
        <color theme="1"/>
        <rFont val="Calibri"/>
        <family val="2"/>
        <scheme val="minor"/>
      </rPr>
      <t xml:space="preserve"> are graphed in a combo chart.</t>
    </r>
  </si>
  <si>
    <r>
      <rPr>
        <b/>
        <sz val="12"/>
        <color theme="1"/>
        <rFont val="Calibri"/>
        <family val="2"/>
        <scheme val="minor"/>
      </rPr>
      <t xml:space="preserve">Analysis: </t>
    </r>
    <r>
      <rPr>
        <sz val="12"/>
        <color theme="1"/>
        <rFont val="Calibri"/>
        <family val="2"/>
        <scheme val="minor"/>
      </rPr>
      <t>This combo graph further proves the analysis the one before.</t>
    </r>
  </si>
  <si>
    <t>From the graphs structured for analysis; it is clearly seen that the product category with the most transaction amount and least sales contribution is "music". However, the transactions themselves are assumed to be the sole elements that salespersons make a living out of. Therefore, an efficiency analysis is carried out in terms of transactions.</t>
  </si>
  <si>
    <t>Each salesperson has been having transactions on 3 product categories out of 4 on average. But the patterns of which product category each salesperson have transactions on a daily basis are random, not quite deterministic.</t>
  </si>
  <si>
    <r>
      <rPr>
        <b/>
        <sz val="12"/>
        <color theme="1"/>
        <rFont val="Calibri"/>
        <family val="2"/>
        <scheme val="minor"/>
      </rPr>
      <t>Expertise-based planning:</t>
    </r>
    <r>
      <rPr>
        <sz val="12"/>
        <color theme="1"/>
        <rFont val="Calibri"/>
        <family val="2"/>
        <scheme val="minor"/>
      </rPr>
      <t xml:space="preserve"> Assign each person to one product category to work in its transactions ONLY.</t>
    </r>
  </si>
  <si>
    <r>
      <rPr>
        <b/>
        <sz val="12"/>
        <color theme="1"/>
        <rFont val="Calibri"/>
        <family val="2"/>
        <scheme val="minor"/>
      </rPr>
      <t>Pro:</t>
    </r>
    <r>
      <rPr>
        <sz val="12"/>
        <color theme="1"/>
        <rFont val="Calibri"/>
        <family val="2"/>
        <scheme val="minor"/>
      </rPr>
      <t xml:space="preserve"> Each salesperson adopts expertise in one category and gain speed in what he/she does.</t>
    </r>
  </si>
  <si>
    <r>
      <rPr>
        <b/>
        <sz val="12"/>
        <color theme="1"/>
        <rFont val="Calibri"/>
        <family val="2"/>
        <scheme val="minor"/>
      </rPr>
      <t xml:space="preserve">Certainty-based planning: </t>
    </r>
    <r>
      <rPr>
        <sz val="12"/>
        <color theme="1"/>
        <rFont val="Calibri"/>
        <family val="2"/>
        <scheme val="minor"/>
      </rPr>
      <t>Train all salespersons to work in one non-music product category and music category.</t>
    </r>
  </si>
  <si>
    <t>The raw data set in question was further improved either by enriching or by adding synthetic data fields, which are "If Sales Amount &gt; 0" and "Transaction Amount".</t>
  </si>
  <si>
    <r>
      <rPr>
        <b/>
        <sz val="12"/>
        <color theme="1"/>
        <rFont val="Calibri"/>
        <family val="2"/>
        <scheme val="minor"/>
      </rPr>
      <t xml:space="preserve">Con: </t>
    </r>
    <r>
      <rPr>
        <sz val="12"/>
        <color theme="1"/>
        <rFont val="Calibri"/>
        <family val="2"/>
        <scheme val="minor"/>
      </rPr>
      <t>This might necessitates MORE training. Furthermore, transaction amount figures between salespersons will certainly unbalance.</t>
    </r>
  </si>
  <si>
    <t>The raw data basically includes sales amount of a store in October 2017 per salesperson and per product category: "books, clothing, games and music".</t>
  </si>
  <si>
    <t>What could be done to increase efficiency? (See "Insights" section below.)</t>
  </si>
  <si>
    <t>What are general insights about October 2017 sales amount per salesperson, per product category, per date, per transaction amount. (See "Summary - Analysis" section below.)</t>
  </si>
  <si>
    <t>The raw data is cleaned on the sheet "Raw Data" (with some steps stretching to the sheet "Clean Data".)</t>
  </si>
  <si>
    <t>The raw data is packed on rows of one field / column in a way to incorporate four fields of data: product, salesperson, sales amount, and date.</t>
  </si>
  <si>
    <t>The raw date rows incorporates spaces, slashes, unnecessary printable and unprintable characters other than the data fields to be extracted from within. Cleaning steps undertaken are below:</t>
  </si>
  <si>
    <t>"Transaction Amount" field is added to see how many transactions are carried out by each salesperson on each product category on a given date. Transaction amounts are obtained synthetically by utilizing variable average prices for a product on a given product category: RANDBETWEEN function is employed.</t>
  </si>
  <si>
    <r>
      <rPr>
        <b/>
        <sz val="12"/>
        <color theme="1"/>
        <rFont val="Calibri"/>
        <family val="2"/>
        <scheme val="minor"/>
      </rPr>
      <t>Analysis:</t>
    </r>
    <r>
      <rPr>
        <sz val="12"/>
        <color theme="1"/>
        <rFont val="Calibri"/>
        <family val="2"/>
        <scheme val="minor"/>
      </rPr>
      <t xml:space="preserve"> "Games" is the one with the most of the sales amount.</t>
    </r>
  </si>
  <si>
    <r>
      <t xml:space="preserve">The total instances with "&gt;0" transaction value by product category per salesperson + transaction amounts per salesperson are graphed </t>
    </r>
    <r>
      <rPr>
        <b/>
        <sz val="12"/>
        <color theme="1"/>
        <rFont val="Calibri"/>
        <family val="2"/>
        <scheme val="minor"/>
      </rPr>
      <t>in two doughnut-pie charts.</t>
    </r>
  </si>
  <si>
    <r>
      <t xml:space="preserve">Transaction volume per salesperson and per date is graphed </t>
    </r>
    <r>
      <rPr>
        <b/>
        <sz val="12"/>
        <color theme="1"/>
        <rFont val="Calibri"/>
        <family val="2"/>
        <scheme val="minor"/>
      </rPr>
      <t>in a doughnut chart and a scroll-bar-commanded array, using interactive list / data validation feature and scroll-bar form control;</t>
    </r>
    <r>
      <rPr>
        <sz val="12"/>
        <color theme="1"/>
        <rFont val="Calibri"/>
        <family val="2"/>
        <scheme val="minor"/>
      </rPr>
      <t xml:space="preserve"> letting users to select or scroll for desired salesperson or date respectively. </t>
    </r>
    <r>
      <rPr>
        <b/>
        <sz val="12"/>
        <color theme="1"/>
        <rFont val="Calibri"/>
        <family val="2"/>
        <scheme val="minor"/>
      </rPr>
      <t>(Use interactive elements on the sheet "Dashboard".)</t>
    </r>
  </si>
  <si>
    <r>
      <rPr>
        <b/>
        <sz val="12"/>
        <color theme="1"/>
        <rFont val="Calibri"/>
        <family val="2"/>
        <scheme val="minor"/>
      </rPr>
      <t xml:space="preserve">Analysis: </t>
    </r>
    <r>
      <rPr>
        <sz val="12"/>
        <color theme="1"/>
        <rFont val="Calibri"/>
        <family val="2"/>
        <scheme val="minor"/>
      </rPr>
      <t>the data points (ex: 15 Oct. 2017) of sales amount where the transaction amount increases with little or no effect in the sales show that that amount of transaction do not translate into sales volume. Second graph is the amount of games transactions. These two graphs clearly demonstrate that even if an increase in total transaction amount is present; that would not translate into sales volume if the games transactions do not accompany to the increase.</t>
    </r>
  </si>
  <si>
    <r>
      <t xml:space="preserve">Transaction volume per product category is graphed </t>
    </r>
    <r>
      <rPr>
        <b/>
        <sz val="12"/>
        <color theme="1"/>
        <rFont val="Calibri"/>
        <family val="2"/>
        <scheme val="minor"/>
      </rPr>
      <t>in a combo chart. (Use interactive elements on the sheet "Dashboard".)</t>
    </r>
  </si>
  <si>
    <r>
      <rPr>
        <b/>
        <sz val="12"/>
        <color theme="1"/>
        <rFont val="Calibri"/>
        <family val="2"/>
        <scheme val="minor"/>
      </rPr>
      <t xml:space="preserve">Analysis: </t>
    </r>
    <r>
      <rPr>
        <sz val="12"/>
        <color theme="1"/>
        <rFont val="Calibri"/>
        <family val="2"/>
        <scheme val="minor"/>
      </rPr>
      <t>to make a room for daily or salesperson-based business intelligence inferences.</t>
    </r>
  </si>
  <si>
    <t>Daily transaction existence and transaction amount by salesperson graphs shows that transactions are carried out by all salespersons in an equal manner.</t>
  </si>
  <si>
    <r>
      <t xml:space="preserve">Therefore, two options are created to introduce </t>
    </r>
    <r>
      <rPr>
        <b/>
        <sz val="12"/>
        <color theme="1"/>
        <rFont val="Calibri"/>
        <family val="2"/>
        <scheme val="minor"/>
      </rPr>
      <t>expertise and certainty-based planning</t>
    </r>
    <r>
      <rPr>
        <sz val="12"/>
        <color theme="1"/>
        <rFont val="Calibri"/>
        <family val="2"/>
        <scheme val="minor"/>
      </rPr>
      <t xml:space="preserve"> to the shifts:</t>
    </r>
  </si>
  <si>
    <r>
      <rPr>
        <b/>
        <sz val="12"/>
        <color theme="1"/>
        <rFont val="Calibri"/>
        <family val="2"/>
        <scheme val="minor"/>
      </rPr>
      <t xml:space="preserve">Con: </t>
    </r>
    <r>
      <rPr>
        <sz val="12"/>
        <color theme="1"/>
        <rFont val="Calibri"/>
        <family val="2"/>
        <scheme val="minor"/>
      </rPr>
      <t>This might necessitate further training. Moreover, flexibility might blur when one salesperson takes a day off or gets ill, when one needs replacement. Furthermore, transaction amount figures between salespersons will certainly unbalance.</t>
    </r>
  </si>
  <si>
    <r>
      <rPr>
        <b/>
        <sz val="12"/>
        <color theme="1"/>
        <rFont val="Calibri"/>
        <family val="2"/>
        <scheme val="minor"/>
      </rPr>
      <t xml:space="preserve">Pro: </t>
    </r>
    <r>
      <rPr>
        <sz val="12"/>
        <color theme="1"/>
        <rFont val="Calibri"/>
        <family val="2"/>
        <scheme val="minor"/>
      </rPr>
      <t>This would allow more flexibility in case of an absence of one salesperson, while still creating some space for expertise on two product categories.</t>
    </r>
  </si>
  <si>
    <t>Analysis Insights</t>
  </si>
  <si>
    <t>BI Options</t>
  </si>
  <si>
    <t>This project uses a raw data set that have been received in an education session, specifically, in the course "Excel for Business Skills: Advanced" by "Macquarie University" on "www.coursera.org". The raw data set have been used in an exam in the course, in which data analysis has NOT been what has been expected by the exam taker.</t>
  </si>
  <si>
    <t>Cleaning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</si>
</sst>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1" formatCode="_-* #,##0_-;\-* #,##0_-;_-* &quot;-&quot;_-;_-@_-"/>
    <numFmt numFmtId="164" formatCode="_-&quot;$&quot;* #,##0_-;\-&quot;$&quot;* #,##0_-;_-&quot;$&quot;* &quot;-&quot;_-;_-@_-"/>
    <numFmt numFmtId="165" formatCode="[$-C09]d\ mmmm\ yyyy;@"/>
  </numFmts>
  <fonts count="38">
    <font>
      <sz val="11"/>
      <color theme="1"/>
      <name val="Calibri"/>
      <family val="2"/>
      <scheme val="minor"/>
    </font>
    <font>
      <sz val="11"/>
      <color theme="1"/>
      <name val="Calibri"/>
      <family val="2"/>
      <scheme val="minor"/>
    </font>
    <font>
      <b/>
      <sz val="11"/>
      <color rgb="FF3F3F3F"/>
      <name val="Calibri"/>
      <family val="2"/>
      <scheme val="minor"/>
    </font>
    <font>
      <b/>
      <sz val="11"/>
      <color theme="1"/>
      <name val="Calibri"/>
      <family val="2"/>
      <scheme val="minor"/>
    </font>
    <font>
      <sz val="11"/>
      <color theme="0"/>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0"/>
      <name val="Source Sans Pro"/>
      <family val="2"/>
    </font>
    <font>
      <b/>
      <sz val="10"/>
      <name val="Unset"/>
    </font>
    <font>
      <sz val="8"/>
      <name val="Calibri"/>
      <family val="2"/>
      <scheme val="minor"/>
    </font>
    <font>
      <b/>
      <sz val="12"/>
      <color theme="0"/>
      <name val="Calibri"/>
      <family val="2"/>
      <scheme val="minor"/>
    </font>
    <font>
      <b/>
      <sz val="14"/>
      <color theme="0"/>
      <name val="Calibri"/>
      <family val="2"/>
      <scheme val="minor"/>
    </font>
    <font>
      <sz val="12"/>
      <color theme="0"/>
      <name val="Calibri"/>
      <family val="2"/>
      <scheme val="minor"/>
    </font>
    <font>
      <sz val="6"/>
      <color theme="1"/>
      <name val="Calibri"/>
      <family val="2"/>
      <scheme val="minor"/>
    </font>
    <font>
      <b/>
      <sz val="6"/>
      <color theme="1"/>
      <name val="Calibri"/>
      <family val="2"/>
      <scheme val="minor"/>
    </font>
    <font>
      <sz val="20"/>
      <color theme="0"/>
      <name val="Calibri"/>
      <family val="2"/>
      <scheme val="minor"/>
    </font>
    <font>
      <sz val="8"/>
      <color theme="0"/>
      <name val="Calibri"/>
      <family val="2"/>
      <scheme val="minor"/>
    </font>
    <font>
      <b/>
      <sz val="36"/>
      <color rgb="FF00B050"/>
      <name val="Calibri"/>
      <family val="2"/>
      <scheme val="minor"/>
    </font>
    <font>
      <b/>
      <sz val="11"/>
      <color rgb="FF00B0F0"/>
      <name val="Calibri"/>
      <family val="2"/>
      <scheme val="minor"/>
    </font>
    <font>
      <b/>
      <sz val="11"/>
      <color rgb="FFFFFF00"/>
      <name val="Calibri"/>
      <family val="2"/>
      <scheme val="minor"/>
    </font>
    <font>
      <b/>
      <sz val="12"/>
      <color rgb="FF00B0F0"/>
      <name val="Calibri"/>
      <family val="2"/>
      <scheme val="minor"/>
    </font>
    <font>
      <b/>
      <sz val="20"/>
      <color theme="0"/>
      <name val="Calibri"/>
      <family val="2"/>
      <scheme val="minor"/>
    </font>
    <font>
      <b/>
      <sz val="11"/>
      <name val="Calibri"/>
      <family val="2"/>
      <scheme val="minor"/>
    </font>
    <font>
      <b/>
      <sz val="8"/>
      <color theme="1"/>
      <name val="Calibri"/>
      <family val="2"/>
      <scheme val="minor"/>
    </font>
    <font>
      <b/>
      <sz val="12"/>
      <color theme="1"/>
      <name val="Calibri"/>
      <family val="2"/>
      <scheme val="minor"/>
    </font>
    <font>
      <sz val="12"/>
      <color theme="1"/>
      <name val="Calibri"/>
      <family val="2"/>
      <scheme val="minor"/>
    </font>
    <font>
      <b/>
      <sz val="20"/>
      <color theme="1"/>
      <name val="Calibri"/>
      <family val="2"/>
      <scheme val="minor"/>
    </font>
  </fonts>
  <fills count="41">
    <fill>
      <patternFill patternType="none"/>
    </fill>
    <fill>
      <patternFill patternType="gray125"/>
    </fill>
    <fill>
      <patternFill patternType="solid">
        <fgColor rgb="FFF2F2F2"/>
      </patternFill>
    </fill>
    <fill>
      <patternFill patternType="solid">
        <fgColor theme="4"/>
      </patternFill>
    </fill>
    <fill>
      <patternFill patternType="solid">
        <fgColor theme="5"/>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A5A5A5"/>
      </patternFill>
    </fill>
    <fill>
      <patternFill patternType="solid">
        <fgColor rgb="FFFFFFCC"/>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1"/>
        <bgColor theme="1"/>
      </patternFill>
    </fill>
    <fill>
      <patternFill patternType="solid">
        <fgColor theme="1"/>
        <bgColor indexed="64"/>
      </patternFill>
    </fill>
    <fill>
      <patternFill patternType="solid">
        <fgColor theme="1" tint="0.249977111117893"/>
        <bgColor indexed="64"/>
      </patternFill>
    </fill>
    <fill>
      <patternFill patternType="solid">
        <fgColor theme="1" tint="4.9989318521683403E-2"/>
        <bgColor indexed="64"/>
      </patternFill>
    </fill>
    <fill>
      <patternFill patternType="solid">
        <fgColor theme="4" tint="0.79998168889431442"/>
        <bgColor theme="4" tint="0.79998168889431442"/>
      </patternFill>
    </fill>
    <fill>
      <patternFill patternType="solid">
        <fgColor theme="1" tint="0.34998626667073579"/>
        <bgColor indexed="64"/>
      </patternFill>
    </fill>
    <fill>
      <patternFill patternType="solid">
        <fgColor rgb="FF92D050"/>
        <bgColor indexed="64"/>
      </patternFill>
    </fill>
    <fill>
      <patternFill patternType="solid">
        <fgColor rgb="FF7030A0"/>
        <bgColor indexed="64"/>
      </patternFill>
    </fill>
  </fills>
  <borders count="18">
    <border>
      <left/>
      <right/>
      <top/>
      <bottom/>
      <diagonal/>
    </border>
    <border>
      <left style="thin">
        <color rgb="FF3F3F3F"/>
      </left>
      <right style="thin">
        <color rgb="FF3F3F3F"/>
      </right>
      <top style="thin">
        <color rgb="FF3F3F3F"/>
      </top>
      <bottom style="thin">
        <color rgb="FF3F3F3F"/>
      </bottom>
      <diagonal/>
    </border>
    <border>
      <left/>
      <right/>
      <top style="thin">
        <color theme="4"/>
      </top>
      <bottom style="double">
        <color theme="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style="hair">
        <color auto="1"/>
      </left>
      <right style="hair">
        <color auto="1"/>
      </right>
      <top/>
      <bottom/>
      <diagonal/>
    </border>
    <border>
      <left style="hair">
        <color auto="1"/>
      </left>
      <right style="hair">
        <color auto="1"/>
      </right>
      <top style="hair">
        <color auto="1"/>
      </top>
      <bottom/>
      <diagonal/>
    </border>
    <border>
      <left/>
      <right style="hair">
        <color auto="1"/>
      </right>
      <top/>
      <bottom/>
      <diagonal/>
    </border>
    <border>
      <left/>
      <right style="thin">
        <color theme="1"/>
      </right>
      <top style="thin">
        <color theme="1"/>
      </top>
      <bottom/>
      <diagonal/>
    </border>
    <border>
      <left/>
      <right/>
      <top/>
      <bottom style="thin">
        <color theme="4" tint="0.39997558519241921"/>
      </bottom>
      <diagonal/>
    </border>
    <border>
      <left/>
      <right/>
      <top style="thin">
        <color theme="4" tint="0.39997558519241921"/>
      </top>
      <bottom/>
      <diagonal/>
    </border>
    <border>
      <left/>
      <right/>
      <top/>
      <bottom style="thin">
        <color rgb="FFFF0000"/>
      </bottom>
      <diagonal/>
    </border>
    <border>
      <left style="thin">
        <color indexed="64"/>
      </left>
      <right style="thin">
        <color indexed="64"/>
      </right>
      <top style="thin">
        <color indexed="64"/>
      </top>
      <bottom style="thin">
        <color indexed="64"/>
      </bottom>
      <diagonal/>
    </border>
  </borders>
  <cellStyleXfs count="44">
    <xf numFmtId="0" fontId="0" fillId="0" borderId="0"/>
    <xf numFmtId="0" fontId="2" fillId="2" borderId="1" applyNumberFormat="0" applyAlignment="0" applyProtection="0"/>
    <xf numFmtId="0" fontId="3" fillId="0" borderId="2" applyNumberFormat="0" applyFill="0" applyAlignment="0" applyProtection="0"/>
    <xf numFmtId="0" fontId="4" fillId="3" borderId="0" applyNumberFormat="0" applyBorder="0" applyAlignment="0" applyProtection="0"/>
    <xf numFmtId="0" fontId="4" fillId="4" borderId="0" applyNumberFormat="0" applyBorder="0" applyAlignment="0" applyProtection="0"/>
    <xf numFmtId="0" fontId="5" fillId="0" borderId="0" applyNumberFormat="0" applyFill="0" applyBorder="0" applyAlignment="0" applyProtection="0"/>
    <xf numFmtId="0" fontId="6" fillId="0" borderId="3" applyNumberFormat="0" applyFill="0" applyAlignment="0" applyProtection="0"/>
    <xf numFmtId="0" fontId="7" fillId="0" borderId="4" applyNumberFormat="0" applyFill="0" applyAlignment="0" applyProtection="0"/>
    <xf numFmtId="0" fontId="8" fillId="0" borderId="5" applyNumberFormat="0" applyFill="0" applyAlignment="0" applyProtection="0"/>
    <xf numFmtId="0" fontId="8" fillId="0" borderId="0" applyNumberFormat="0" applyFill="0" applyBorder="0" applyAlignment="0" applyProtection="0"/>
    <xf numFmtId="0" fontId="9" fillId="5" borderId="0" applyNumberFormat="0" applyBorder="0" applyAlignment="0" applyProtection="0"/>
    <xf numFmtId="0" fontId="10" fillId="6" borderId="0" applyNumberFormat="0" applyBorder="0" applyAlignment="0" applyProtection="0"/>
    <xf numFmtId="0" fontId="11" fillId="7" borderId="0" applyNumberFormat="0" applyBorder="0" applyAlignment="0" applyProtection="0"/>
    <xf numFmtId="0" fontId="12" fillId="8" borderId="6" applyNumberFormat="0" applyAlignment="0" applyProtection="0"/>
    <xf numFmtId="0" fontId="13" fillId="2" borderId="6" applyNumberFormat="0" applyAlignment="0" applyProtection="0"/>
    <xf numFmtId="0" fontId="14" fillId="0" borderId="7" applyNumberFormat="0" applyFill="0" applyAlignment="0" applyProtection="0"/>
    <xf numFmtId="0" fontId="15" fillId="9" borderId="8" applyNumberFormat="0" applyAlignment="0" applyProtection="0"/>
    <xf numFmtId="0" fontId="16" fillId="0" borderId="0" applyNumberFormat="0" applyFill="0" applyBorder="0" applyAlignment="0" applyProtection="0"/>
    <xf numFmtId="0" fontId="1" fillId="10" borderId="9" applyNumberFormat="0" applyFont="0" applyAlignment="0" applyProtection="0"/>
    <xf numFmtId="0" fontId="17" fillId="0" borderId="0" applyNumberFormat="0" applyFill="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4"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4"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4"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4"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41" fontId="1" fillId="0" borderId="0" applyFont="0" applyFill="0" applyBorder="0" applyAlignment="0" applyProtection="0"/>
    <xf numFmtId="164" fontId="1" fillId="0" borderId="0" applyFont="0" applyFill="0" applyBorder="0" applyAlignment="0" applyProtection="0"/>
  </cellStyleXfs>
  <cellXfs count="84">
    <xf numFmtId="0" fontId="0" fillId="0" borderId="0" xfId="0"/>
    <xf numFmtId="0" fontId="3" fillId="0" borderId="0" xfId="0" applyFont="1"/>
    <xf numFmtId="0" fontId="3" fillId="0" borderId="0" xfId="0" applyFont="1" applyAlignment="1">
      <alignment horizontal="center"/>
    </xf>
    <xf numFmtId="0" fontId="0" fillId="0" borderId="0" xfId="0" applyAlignment="1">
      <alignment horizontal="center"/>
    </xf>
    <xf numFmtId="0" fontId="3" fillId="0" borderId="0" xfId="0" applyFont="1" applyAlignment="1">
      <alignment horizontal="right"/>
    </xf>
    <xf numFmtId="0" fontId="16" fillId="0" borderId="0" xfId="0" applyFont="1" applyAlignment="1">
      <alignment horizontal="center"/>
    </xf>
    <xf numFmtId="0" fontId="0" fillId="0" borderId="10" xfId="0" applyBorder="1"/>
    <xf numFmtId="0" fontId="0" fillId="0" borderId="11" xfId="0" applyBorder="1"/>
    <xf numFmtId="165" fontId="0" fillId="0" borderId="11" xfId="0" applyNumberFormat="1" applyBorder="1"/>
    <xf numFmtId="0" fontId="18" fillId="0" borderId="0" xfId="0" applyFont="1"/>
    <xf numFmtId="0" fontId="19" fillId="0" borderId="0" xfId="0" applyFont="1"/>
    <xf numFmtId="0" fontId="0" fillId="0" borderId="0" xfId="0" pivotButton="1"/>
    <xf numFmtId="10" fontId="0" fillId="0" borderId="0" xfId="0" applyNumberFormat="1"/>
    <xf numFmtId="1" fontId="0" fillId="0" borderId="0" xfId="0" applyNumberFormat="1"/>
    <xf numFmtId="0" fontId="0" fillId="0" borderId="0" xfId="0" applyAlignment="1">
      <alignment horizontal="left"/>
    </xf>
    <xf numFmtId="0" fontId="3" fillId="0" borderId="10" xfId="0" applyFont="1" applyBorder="1" applyAlignment="1">
      <alignment horizontal="center" vertical="center"/>
    </xf>
    <xf numFmtId="0" fontId="3" fillId="0" borderId="0" xfId="0" applyFont="1" applyAlignment="1">
      <alignment horizontal="center" vertical="center"/>
    </xf>
    <xf numFmtId="0" fontId="0" fillId="0" borderId="0" xfId="0" applyAlignment="1">
      <alignment horizontal="center" vertical="center"/>
    </xf>
    <xf numFmtId="0" fontId="3" fillId="0" borderId="12" xfId="0" applyFont="1" applyBorder="1" applyAlignment="1">
      <alignment horizontal="center" vertical="center"/>
    </xf>
    <xf numFmtId="0" fontId="0" fillId="0" borderId="12" xfId="0" applyBorder="1"/>
    <xf numFmtId="0" fontId="0" fillId="0" borderId="10" xfId="0" applyBorder="1" applyAlignment="1">
      <alignment horizontal="center" vertical="center"/>
    </xf>
    <xf numFmtId="165" fontId="0" fillId="0" borderId="10" xfId="0" applyNumberFormat="1" applyBorder="1" applyAlignment="1">
      <alignment horizontal="center" vertical="center"/>
    </xf>
    <xf numFmtId="1" fontId="0" fillId="0" borderId="0" xfId="0" applyNumberFormat="1" applyAlignment="1">
      <alignment horizontal="center" vertical="center"/>
    </xf>
    <xf numFmtId="0" fontId="15" fillId="33" borderId="13" xfId="0" applyFont="1" applyFill="1" applyBorder="1" applyAlignment="1">
      <alignment horizontal="center" vertical="center"/>
    </xf>
    <xf numFmtId="0" fontId="0" fillId="34" borderId="0" xfId="0" applyFill="1"/>
    <xf numFmtId="0" fontId="0" fillId="35" borderId="0" xfId="0" applyFill="1"/>
    <xf numFmtId="0" fontId="0" fillId="36" borderId="0" xfId="0" applyFill="1"/>
    <xf numFmtId="0" fontId="4" fillId="35" borderId="0" xfId="0" applyFont="1" applyFill="1"/>
    <xf numFmtId="9" fontId="0" fillId="0" borderId="0" xfId="0" applyNumberFormat="1"/>
    <xf numFmtId="0" fontId="0" fillId="38" borderId="0" xfId="0" applyFill="1"/>
    <xf numFmtId="0" fontId="4" fillId="38" borderId="0" xfId="0" applyFont="1" applyFill="1" applyAlignment="1">
      <alignment horizontal="right"/>
    </xf>
    <xf numFmtId="0" fontId="21" fillId="39" borderId="0" xfId="0" applyFont="1" applyFill="1"/>
    <xf numFmtId="0" fontId="22" fillId="40" borderId="0" xfId="0" applyFont="1" applyFill="1"/>
    <xf numFmtId="2" fontId="0" fillId="0" borderId="0" xfId="0" applyNumberFormat="1"/>
    <xf numFmtId="0" fontId="24" fillId="0" borderId="0" xfId="0" applyFont="1"/>
    <xf numFmtId="0" fontId="25" fillId="37" borderId="14" xfId="0" applyFont="1" applyFill="1" applyBorder="1" applyAlignment="1">
      <alignment horizontal="center" vertical="center"/>
    </xf>
    <xf numFmtId="0" fontId="25" fillId="37" borderId="14" xfId="0" applyFont="1" applyFill="1" applyBorder="1" applyAlignment="1">
      <alignment horizontal="center" vertical="center" wrapText="1"/>
    </xf>
    <xf numFmtId="0" fontId="24" fillId="0" borderId="0" xfId="0" applyFont="1" applyAlignment="1">
      <alignment horizontal="left"/>
    </xf>
    <xf numFmtId="1" fontId="24" fillId="0" borderId="0" xfId="0" applyNumberFormat="1" applyFont="1" applyAlignment="1">
      <alignment horizontal="center" vertical="center"/>
    </xf>
    <xf numFmtId="0" fontId="25" fillId="37" borderId="15" xfId="0" applyFont="1" applyFill="1" applyBorder="1" applyAlignment="1">
      <alignment horizontal="left"/>
    </xf>
    <xf numFmtId="1" fontId="25" fillId="37" borderId="15" xfId="0" applyNumberFormat="1" applyFont="1" applyFill="1" applyBorder="1" applyAlignment="1">
      <alignment horizontal="center" vertical="center"/>
    </xf>
    <xf numFmtId="0" fontId="25" fillId="37" borderId="0" xfId="0" applyFont="1" applyFill="1" applyAlignment="1">
      <alignment horizontal="center" vertical="center" wrapText="1"/>
    </xf>
    <xf numFmtId="1" fontId="25" fillId="37" borderId="0" xfId="0" applyNumberFormat="1" applyFont="1" applyFill="1" applyAlignment="1">
      <alignment horizontal="center" vertical="center"/>
    </xf>
    <xf numFmtId="0" fontId="27" fillId="34" borderId="0" xfId="0" applyFont="1" applyFill="1" applyAlignment="1">
      <alignment horizontal="center" vertical="center"/>
    </xf>
    <xf numFmtId="0" fontId="4" fillId="34" borderId="0" xfId="0" applyFont="1" applyFill="1" applyAlignment="1">
      <alignment horizontal="center" vertical="center"/>
    </xf>
    <xf numFmtId="0" fontId="21" fillId="34" borderId="0" xfId="0" applyFont="1" applyFill="1" applyAlignment="1">
      <alignment horizontal="center" vertical="center"/>
    </xf>
    <xf numFmtId="0" fontId="4" fillId="34" borderId="0" xfId="0" applyFont="1" applyFill="1"/>
    <xf numFmtId="0" fontId="4" fillId="0" borderId="0" xfId="0" applyFont="1"/>
    <xf numFmtId="0" fontId="27" fillId="0" borderId="0" xfId="0" applyFont="1" applyAlignment="1">
      <alignment horizontal="center" vertical="center"/>
    </xf>
    <xf numFmtId="1" fontId="4" fillId="0" borderId="0" xfId="0" applyNumberFormat="1" applyFont="1" applyAlignment="1">
      <alignment horizontal="center" vertical="center"/>
    </xf>
    <xf numFmtId="1" fontId="21" fillId="0" borderId="0" xfId="0" applyNumberFormat="1" applyFont="1" applyAlignment="1">
      <alignment horizontal="center" vertical="center"/>
    </xf>
    <xf numFmtId="0" fontId="27" fillId="35" borderId="0" xfId="0" applyFont="1" applyFill="1" applyAlignment="1">
      <alignment horizontal="center" vertical="center"/>
    </xf>
    <xf numFmtId="1" fontId="4" fillId="35" borderId="0" xfId="0" applyNumberFormat="1" applyFont="1" applyFill="1" applyAlignment="1">
      <alignment horizontal="center" vertical="center"/>
    </xf>
    <xf numFmtId="1" fontId="21" fillId="35" borderId="0" xfId="0" applyNumberFormat="1" applyFont="1" applyFill="1" applyAlignment="1">
      <alignment horizontal="center" vertical="center"/>
    </xf>
    <xf numFmtId="0" fontId="29" fillId="35" borderId="0" xfId="0" applyFont="1" applyFill="1" applyAlignment="1">
      <alignment horizontal="center" vertical="center"/>
    </xf>
    <xf numFmtId="0" fontId="30" fillId="35" borderId="0" xfId="0" applyFont="1" applyFill="1" applyAlignment="1">
      <alignment horizontal="center" vertical="center"/>
    </xf>
    <xf numFmtId="1" fontId="27" fillId="35" borderId="0" xfId="0" applyNumberFormat="1" applyFont="1" applyFill="1" applyAlignment="1">
      <alignment horizontal="center" vertical="center"/>
    </xf>
    <xf numFmtId="9" fontId="24" fillId="0" borderId="0" xfId="0" applyNumberFormat="1" applyFont="1" applyAlignment="1">
      <alignment horizontal="center" vertical="center"/>
    </xf>
    <xf numFmtId="0" fontId="4" fillId="40" borderId="0" xfId="0" applyFont="1" applyFill="1" applyAlignment="1">
      <alignment horizontal="center" vertical="center"/>
    </xf>
    <xf numFmtId="0" fontId="33" fillId="0" borderId="0" xfId="0" applyFont="1"/>
    <xf numFmtId="0" fontId="34" fillId="0" borderId="0" xfId="0" applyFont="1" applyAlignment="1">
      <alignment horizontal="center" vertical="center"/>
    </xf>
    <xf numFmtId="2" fontId="0" fillId="0" borderId="0" xfId="0" applyNumberFormat="1" applyAlignment="1">
      <alignment horizontal="center" vertical="center"/>
    </xf>
    <xf numFmtId="0" fontId="35" fillId="0" borderId="0" xfId="0" applyFont="1" applyAlignment="1">
      <alignment horizontal="center" vertical="center"/>
    </xf>
    <xf numFmtId="0" fontId="36" fillId="0" borderId="0" xfId="0" applyFont="1" applyAlignment="1">
      <alignment horizontal="left" vertical="center" wrapText="1"/>
    </xf>
    <xf numFmtId="0" fontId="36" fillId="0" borderId="0" xfId="0" applyFont="1"/>
    <xf numFmtId="0" fontId="36" fillId="0" borderId="0" xfId="0" applyFont="1" applyAlignment="1">
      <alignment horizontal="left" vertical="center"/>
    </xf>
    <xf numFmtId="0" fontId="35" fillId="0" borderId="0" xfId="0" applyFont="1"/>
    <xf numFmtId="0" fontId="35" fillId="0" borderId="0" xfId="0" applyFont="1" applyAlignment="1">
      <alignment horizontal="left" vertical="center" wrapText="1"/>
    </xf>
    <xf numFmtId="0" fontId="35" fillId="0" borderId="0" xfId="0" applyFont="1" applyAlignment="1">
      <alignment horizontal="left" vertical="center"/>
    </xf>
    <xf numFmtId="0" fontId="36" fillId="0" borderId="0" xfId="0" applyFont="1" applyAlignment="1">
      <alignment horizontal="left"/>
    </xf>
    <xf numFmtId="0" fontId="26" fillId="35" borderId="0" xfId="0" applyFont="1" applyFill="1" applyAlignment="1">
      <alignment horizontal="center" vertical="center"/>
    </xf>
    <xf numFmtId="0" fontId="28" fillId="35" borderId="0" xfId="0" applyFont="1" applyFill="1" applyAlignment="1">
      <alignment horizontal="center" vertical="center"/>
    </xf>
    <xf numFmtId="0" fontId="31" fillId="35" borderId="16" xfId="0" applyFont="1" applyFill="1" applyBorder="1" applyAlignment="1">
      <alignment horizontal="center"/>
    </xf>
    <xf numFmtId="0" fontId="32" fillId="35" borderId="0" xfId="0" applyFont="1" applyFill="1" applyAlignment="1">
      <alignment horizontal="center" vertical="center"/>
    </xf>
    <xf numFmtId="0" fontId="36" fillId="0" borderId="0" xfId="0" applyFont="1" applyAlignment="1">
      <alignment horizontal="left" vertical="center"/>
    </xf>
    <xf numFmtId="0" fontId="36" fillId="0" borderId="0" xfId="0" applyFont="1" applyAlignment="1">
      <alignment horizontal="left" vertical="center" wrapText="1"/>
    </xf>
    <xf numFmtId="0" fontId="37" fillId="0" borderId="0" xfId="0" applyFont="1" applyAlignment="1">
      <alignment horizontal="center" vertical="center" wrapText="1"/>
    </xf>
    <xf numFmtId="0" fontId="37" fillId="0" borderId="0" xfId="0" applyFont="1" applyAlignment="1">
      <alignment horizontal="center" vertical="center"/>
    </xf>
    <xf numFmtId="0" fontId="35" fillId="0" borderId="0" xfId="0" applyFont="1" applyAlignment="1">
      <alignment horizontal="left" vertical="center" wrapText="1"/>
    </xf>
    <xf numFmtId="0" fontId="35" fillId="0" borderId="0" xfId="0" applyFont="1" applyAlignment="1">
      <alignment horizontal="center" vertical="center"/>
    </xf>
    <xf numFmtId="0" fontId="3" fillId="0" borderId="0" xfId="0" applyFont="1" applyBorder="1" applyAlignment="1">
      <alignment horizontal="center" vertical="center"/>
    </xf>
    <xf numFmtId="1" fontId="0" fillId="0" borderId="17" xfId="0" applyNumberFormat="1" applyBorder="1" applyAlignment="1">
      <alignment horizontal="center" vertical="center"/>
    </xf>
    <xf numFmtId="0" fontId="0" fillId="0" borderId="17" xfId="0" applyBorder="1"/>
    <xf numFmtId="0" fontId="15" fillId="34" borderId="17" xfId="0" applyFont="1" applyFill="1" applyBorder="1" applyAlignment="1">
      <alignment horizontal="center" vertical="center"/>
    </xf>
  </cellXfs>
  <cellStyles count="44">
    <cellStyle name="20% - Accent1" xfId="20"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1"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2"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3" builtinId="29" customBuiltin="1"/>
    <cellStyle name="Accent2" xfId="4" builtinId="33" customBuiltin="1"/>
    <cellStyle name="Accent3" xfId="26" builtinId="37" customBuiltin="1"/>
    <cellStyle name="Accent4" xfId="30" builtinId="41" customBuiltin="1"/>
    <cellStyle name="Accent5" xfId="34" builtinId="45" customBuiltin="1"/>
    <cellStyle name="Accent6" xfId="38" builtinId="49" customBuiltin="1"/>
    <cellStyle name="Bad" xfId="11" builtinId="27" customBuiltin="1"/>
    <cellStyle name="Calculation" xfId="14" builtinId="22" customBuiltin="1"/>
    <cellStyle name="Check Cell" xfId="16" builtinId="23" customBuiltin="1"/>
    <cellStyle name="Comma [0]" xfId="42" builtinId="6" hidden="1"/>
    <cellStyle name="Currency [0]" xfId="43" builtinId="7" hidden="1"/>
    <cellStyle name="Explanatory Text" xfId="19" builtinId="53" customBuiltin="1"/>
    <cellStyle name="Good" xfId="10" builtinId="26" customBuiltin="1"/>
    <cellStyle name="Heading 1" xfId="6" builtinId="16" customBuiltin="1"/>
    <cellStyle name="Heading 2" xfId="7" builtinId="17" customBuiltin="1"/>
    <cellStyle name="Heading 3" xfId="8" builtinId="18" customBuiltin="1"/>
    <cellStyle name="Heading 4" xfId="9" builtinId="19" customBuiltin="1"/>
    <cellStyle name="Input" xfId="13" builtinId="20" customBuiltin="1"/>
    <cellStyle name="Linked Cell" xfId="15" builtinId="24" customBuiltin="1"/>
    <cellStyle name="Neutral" xfId="12" builtinId="28" customBuiltin="1"/>
    <cellStyle name="Normal" xfId="0" builtinId="0"/>
    <cellStyle name="Note" xfId="18" builtinId="10" customBuiltin="1"/>
    <cellStyle name="Output" xfId="1" builtinId="21" customBuiltin="1"/>
    <cellStyle name="Title" xfId="5" builtinId="15" customBuiltin="1"/>
    <cellStyle name="Total" xfId="2" builtinId="25" customBuiltin="1"/>
    <cellStyle name="Warning Text" xfId="17" builtinId="11" customBuiltin="1"/>
  </cellStyles>
  <dxfs count="9">
    <dxf>
      <numFmt numFmtId="1" formatCode="0"/>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numFmt numFmtId="165" formatCode="[$-C09]d\ mmmm\ yyyy;@"/>
      <alignment horizontal="center" vertical="center" textRotation="0" wrapText="0" indent="0" justifyLastLine="0" shrinkToFit="0" readingOrder="0"/>
      <border diagonalUp="0" diagonalDown="0" outline="0">
        <left style="hair">
          <color auto="1"/>
        </left>
        <right style="hair">
          <color auto="1"/>
        </right>
        <top/>
        <bottom/>
      </border>
    </dxf>
    <dxf>
      <alignment horizontal="center" vertical="center" textRotation="0" wrapText="0" indent="0" justifyLastLine="0" shrinkToFit="0" readingOrder="0"/>
      <border diagonalUp="0" diagonalDown="0" outline="0">
        <left style="hair">
          <color auto="1"/>
        </left>
        <right style="hair">
          <color auto="1"/>
        </right>
        <top/>
        <bottom/>
      </border>
    </dxf>
    <dxf>
      <border diagonalUp="0" diagonalDown="0">
        <left style="hair">
          <color auto="1"/>
        </left>
        <right style="hair">
          <color auto="1"/>
        </right>
        <top/>
        <bottom/>
        <vertical/>
        <horizontal/>
      </border>
    </dxf>
    <dxf>
      <border diagonalUp="0" diagonalDown="0">
        <left/>
        <right style="hair">
          <color auto="1"/>
        </right>
        <top/>
        <bottom/>
        <vertical/>
        <horizontal/>
      </border>
    </dxf>
    <dxf>
      <border outline="0">
        <left style="hair">
          <color auto="1"/>
        </left>
      </border>
    </dxf>
    <dxf>
      <font>
        <b/>
        <i val="0"/>
        <strike val="0"/>
        <condense val="0"/>
        <extend val="0"/>
        <outline val="0"/>
        <shadow val="0"/>
        <u val="none"/>
        <vertAlign val="baseline"/>
        <sz val="11"/>
        <color theme="1"/>
        <name val="Calibri"/>
        <family val="2"/>
        <scheme val="minor"/>
      </font>
      <alignment horizontal="center" vertical="center" textRotation="0" wrapText="0" indent="0" justifyLastLine="0" shrinkToFit="0" readingOrder="0"/>
    </dxf>
  </dxfs>
  <tableStyles count="0" defaultTableStyle="TableStyleMedium2" defaultPivotStyle="PivotStyleLight16"/>
  <colors>
    <mruColors>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alcChain" Target="calcChain.xml"/><Relationship Id="rId10" Type="http://schemas.microsoft.com/office/2007/relationships/slicerCache" Target="slicerCaches/slicerCache2.xml"/><Relationship Id="rId4" Type="http://schemas.openxmlformats.org/officeDocument/2006/relationships/worksheet" Target="worksheets/sheet4.xml"/><Relationship Id="rId9" Type="http://schemas.microsoft.com/office/2007/relationships/slicerCache" Target="slicerCaches/slicerCache1.xml"/><Relationship Id="rId14" Type="http://schemas.openxmlformats.org/officeDocument/2006/relationships/sheetMetadata" Target="metadata.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FD181E0-5E2F-11CE-A449-00AA004A803D}"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dPt>
            <c:idx val="0"/>
            <c:bubble3D val="0"/>
            <c:spPr>
              <a:solidFill>
                <a:srgbClr val="92D050"/>
              </a:solidFill>
              <a:ln w="19050">
                <a:solidFill>
                  <a:schemeClr val="lt1"/>
                </a:solidFill>
              </a:ln>
              <a:effectLst/>
            </c:spPr>
            <c:extLst>
              <c:ext xmlns:c16="http://schemas.microsoft.com/office/drawing/2014/chart" uri="{C3380CC4-5D6E-409C-BE32-E72D297353CC}">
                <c16:uniqueId val="{00000001-C22C-44DB-B96C-F89B65BB6F6B}"/>
              </c:ext>
            </c:extLst>
          </c:dPt>
          <c:dPt>
            <c:idx val="1"/>
            <c:bubble3D val="0"/>
            <c:spPr>
              <a:solidFill>
                <a:srgbClr val="FFFF00"/>
              </a:solidFill>
              <a:ln w="19050">
                <a:solidFill>
                  <a:schemeClr val="lt1"/>
                </a:solidFill>
              </a:ln>
              <a:effectLst/>
            </c:spPr>
            <c:extLst>
              <c:ext xmlns:c16="http://schemas.microsoft.com/office/drawing/2014/chart" uri="{C3380CC4-5D6E-409C-BE32-E72D297353CC}">
                <c16:uniqueId val="{00000003-C22C-44DB-B96C-F89B65BB6F6B}"/>
              </c:ext>
            </c:extLst>
          </c:dPt>
          <c:dPt>
            <c:idx val="2"/>
            <c:bubble3D val="0"/>
            <c:spPr>
              <a:solidFill>
                <a:srgbClr val="92D050"/>
              </a:solidFill>
              <a:ln w="19050">
                <a:solidFill>
                  <a:schemeClr val="lt1"/>
                </a:solidFill>
              </a:ln>
              <a:effectLst/>
            </c:spPr>
            <c:extLst>
              <c:ext xmlns:c16="http://schemas.microsoft.com/office/drawing/2014/chart" uri="{C3380CC4-5D6E-409C-BE32-E72D297353CC}">
                <c16:uniqueId val="{00000005-C22C-44DB-B96C-F89B65BB6F6B}"/>
              </c:ext>
            </c:extLst>
          </c:dPt>
          <c:dPt>
            <c:idx val="3"/>
            <c:bubble3D val="0"/>
            <c:spPr>
              <a:noFill/>
              <a:ln w="19050">
                <a:noFill/>
              </a:ln>
              <a:effectLst/>
            </c:spPr>
            <c:extLst>
              <c:ext xmlns:c16="http://schemas.microsoft.com/office/drawing/2014/chart" uri="{C3380CC4-5D6E-409C-BE32-E72D297353CC}">
                <c16:uniqueId val="{00000007-C22C-44DB-B96C-F89B65BB6F6B}"/>
              </c:ext>
            </c:extLst>
          </c:dPt>
          <c:val>
            <c:numRef>
              <c:f>Pivot_2!$I$3:$I$6</c:f>
              <c:numCache>
                <c:formatCode>General</c:formatCode>
                <c:ptCount val="4"/>
                <c:pt idx="0">
                  <c:v>33.333333333333336</c:v>
                </c:pt>
                <c:pt idx="1">
                  <c:v>33.333333333333336</c:v>
                </c:pt>
                <c:pt idx="2">
                  <c:v>33.333333333333336</c:v>
                </c:pt>
                <c:pt idx="3">
                  <c:v>100</c:v>
                </c:pt>
              </c:numCache>
            </c:numRef>
          </c:val>
          <c:extLst>
            <c:ext xmlns:c16="http://schemas.microsoft.com/office/drawing/2014/chart" uri="{C3380CC4-5D6E-409C-BE32-E72D297353CC}">
              <c16:uniqueId val="{00000008-C22C-44DB-B96C-F89B65BB6F6B}"/>
            </c:ext>
          </c:extLst>
        </c:ser>
        <c:dLbls>
          <c:showLegendKey val="0"/>
          <c:showVal val="0"/>
          <c:showCatName val="0"/>
          <c:showSerName val="0"/>
          <c:showPercent val="0"/>
          <c:showBubbleSize val="0"/>
          <c:showLeaderLines val="1"/>
        </c:dLbls>
        <c:firstSliceAng val="270"/>
        <c:holeSize val="50"/>
      </c:doughnutChart>
      <c:pieChart>
        <c:varyColors val="1"/>
        <c:ser>
          <c:idx val="1"/>
          <c:order val="1"/>
          <c:dPt>
            <c:idx val="0"/>
            <c:bubble3D val="0"/>
            <c:spPr>
              <a:noFill/>
              <a:ln w="19050">
                <a:noFill/>
              </a:ln>
              <a:effectLst/>
            </c:spPr>
            <c:extLst>
              <c:ext xmlns:c16="http://schemas.microsoft.com/office/drawing/2014/chart" uri="{C3380CC4-5D6E-409C-BE32-E72D297353CC}">
                <c16:uniqueId val="{0000000A-C22C-44DB-B96C-F89B65BB6F6B}"/>
              </c:ext>
            </c:extLst>
          </c:dPt>
          <c:dPt>
            <c:idx val="1"/>
            <c:bubble3D val="0"/>
            <c:spPr>
              <a:solidFill>
                <a:schemeClr val="tx1"/>
              </a:solidFill>
              <a:ln w="19050">
                <a:noFill/>
              </a:ln>
              <a:effectLst/>
            </c:spPr>
            <c:extLst>
              <c:ext xmlns:c16="http://schemas.microsoft.com/office/drawing/2014/chart" uri="{C3380CC4-5D6E-409C-BE32-E72D297353CC}">
                <c16:uniqueId val="{0000000C-C22C-44DB-B96C-F89B65BB6F6B}"/>
              </c:ext>
            </c:extLst>
          </c:dPt>
          <c:dPt>
            <c:idx val="2"/>
            <c:bubble3D val="0"/>
            <c:spPr>
              <a:noFill/>
              <a:ln w="9525">
                <a:noFill/>
              </a:ln>
              <a:effectLst/>
            </c:spPr>
            <c:extLst>
              <c:ext xmlns:c16="http://schemas.microsoft.com/office/drawing/2014/chart" uri="{C3380CC4-5D6E-409C-BE32-E72D297353CC}">
                <c16:uniqueId val="{0000000E-C22C-44DB-B96C-F89B65BB6F6B}"/>
              </c:ext>
            </c:extLst>
          </c:dPt>
          <c:dPt>
            <c:idx val="3"/>
            <c:bubble3D val="0"/>
            <c:spPr>
              <a:noFill/>
              <a:ln w="19050">
                <a:noFill/>
              </a:ln>
              <a:effectLst/>
            </c:spPr>
            <c:extLst>
              <c:ext xmlns:c16="http://schemas.microsoft.com/office/drawing/2014/chart" uri="{C3380CC4-5D6E-409C-BE32-E72D297353CC}">
                <c16:uniqueId val="{00000010-C22C-44DB-B96C-F89B65BB6F6B}"/>
              </c:ext>
            </c:extLst>
          </c:dPt>
          <c:val>
            <c:numRef>
              <c:f>Pivot_2!$J$3:$J$6</c:f>
              <c:numCache>
                <c:formatCode>0%</c:formatCode>
                <c:ptCount val="4"/>
                <c:pt idx="0">
                  <c:v>0.2</c:v>
                </c:pt>
                <c:pt idx="1">
                  <c:v>0.01</c:v>
                </c:pt>
                <c:pt idx="2">
                  <c:v>0.79</c:v>
                </c:pt>
                <c:pt idx="3">
                  <c:v>1</c:v>
                </c:pt>
              </c:numCache>
            </c:numRef>
          </c:val>
          <c:extLst>
            <c:ext xmlns:c16="http://schemas.microsoft.com/office/drawing/2014/chart" uri="{C3380CC4-5D6E-409C-BE32-E72D297353CC}">
              <c16:uniqueId val="{00000011-C22C-44DB-B96C-F89B65BB6F6B}"/>
            </c:ext>
          </c:extLst>
        </c:ser>
        <c:dLbls>
          <c:showLegendKey val="0"/>
          <c:showVal val="0"/>
          <c:showCatName val="0"/>
          <c:showSerName val="0"/>
          <c:showPercent val="0"/>
          <c:showBubbleSize val="0"/>
          <c:showLeaderLines val="1"/>
        </c:dLbls>
        <c:firstSliceAng val="27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[Excel_Dashboard_1.xlsm]Pivot_1!PivotTable1</c:name>
    <c:fmtId val="39"/>
  </c:pivotSource>
  <c:chart>
    <c:autoTitleDeleted val="1"/>
    <c:pivotFmts>
      <c:pivotFmt>
        <c:idx val="0"/>
        <c:spPr>
          <a:solidFill>
            <a:schemeClr val="lt1"/>
          </a:solidFill>
          <a:ln w="19050">
            <a:solidFill>
              <a:schemeClr val="accent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1"/>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
        <c:spPr>
          <a:solidFill>
            <a:schemeClr val="lt1"/>
          </a:solidFill>
          <a:ln w="19050">
            <a:solidFill>
              <a:schemeClr val="accent1"/>
            </a:solidFill>
          </a:ln>
          <a:effectLst/>
        </c:spPr>
      </c:pivotFmt>
      <c:pivotFmt>
        <c:idx val="2"/>
        <c:spPr>
          <a:solidFill>
            <a:schemeClr val="lt1"/>
          </a:solidFill>
          <a:ln w="19050">
            <a:solidFill>
              <a:schemeClr val="accent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1"/>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3"/>
        <c:spPr>
          <a:solidFill>
            <a:schemeClr val="lt1"/>
          </a:solidFill>
          <a:ln w="19050">
            <a:solidFill>
              <a:schemeClr val="accent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1"/>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4"/>
        <c:spPr>
          <a:solidFill>
            <a:schemeClr val="lt1"/>
          </a:solidFill>
          <a:ln w="19050">
            <a:solidFill>
              <a:schemeClr val="accent1"/>
            </a:solidFill>
          </a:ln>
          <a:effectLst/>
        </c:spPr>
        <c:dLbl>
          <c:idx val="0"/>
          <c:spPr>
            <a:noFill/>
            <a:ln>
              <a:noFill/>
            </a:ln>
            <a:effectLst/>
          </c:spPr>
          <c:txPr>
            <a:bodyPr rot="0" spcFirstLastPara="1" vertOverflow="ellipsis" vert="horz" wrap="square" lIns="38100" tIns="19050" rIns="38100" bIns="19050" anchor="ctr" anchorCtr="1">
              <a:noAutofit/>
            </a:bodyPr>
            <a:lstStyle/>
            <a:p>
              <a:pPr>
                <a:defRPr sz="900" b="1" i="0" u="none" strike="noStrike" kern="1200" baseline="0">
                  <a:solidFill>
                    <a:schemeClr val="accent1"/>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5"/>
        <c:spPr>
          <a:solidFill>
            <a:schemeClr val="lt1"/>
          </a:solidFill>
          <a:ln w="19050">
            <a:solidFill>
              <a:schemeClr val="accent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1"/>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6"/>
        <c:spPr>
          <a:solidFill>
            <a:schemeClr val="lt1"/>
          </a:solidFill>
          <a:ln w="19050">
            <a:solidFill>
              <a:schemeClr val="accent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1"/>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7"/>
        <c:spPr>
          <a:solidFill>
            <a:schemeClr val="lt1"/>
          </a:solidFill>
          <a:ln w="19050">
            <a:solidFill>
              <a:schemeClr val="accent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1"/>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8"/>
        <c:spPr>
          <a:solidFill>
            <a:schemeClr val="lt1"/>
          </a:solidFill>
          <a:ln w="19050">
            <a:solidFill>
              <a:schemeClr val="accent1"/>
            </a:solidFill>
          </a:ln>
          <a:effectLst/>
        </c:spPr>
        <c:dLbl>
          <c:idx val="0"/>
          <c:spPr>
            <a:noFill/>
            <a:ln>
              <a:noFill/>
            </a:ln>
            <a:effectLst/>
          </c:spPr>
          <c:txPr>
            <a:bodyPr rot="0" spcFirstLastPara="1" vertOverflow="ellipsis" vert="horz" wrap="square" lIns="38100" tIns="19050" rIns="38100" bIns="19050" anchor="ctr" anchorCtr="1">
              <a:noAutofit/>
            </a:bodyPr>
            <a:lstStyle/>
            <a:p>
              <a:pPr>
                <a:defRPr sz="900" b="1" i="0" u="none" strike="noStrike" kern="1200" baseline="0">
                  <a:solidFill>
                    <a:schemeClr val="accent1"/>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9"/>
        <c:spPr>
          <a:solidFill>
            <a:schemeClr val="lt1"/>
          </a:solidFill>
          <a:ln w="19050">
            <a:solidFill>
              <a:schemeClr val="accent1"/>
            </a:solidFill>
          </a:ln>
          <a:effectLst/>
        </c:spPr>
      </c:pivotFmt>
      <c:pivotFmt>
        <c:idx val="10"/>
        <c:spPr>
          <a:solidFill>
            <a:schemeClr val="lt1"/>
          </a:solidFill>
          <a:ln w="19050">
            <a:solidFill>
              <a:schemeClr val="accen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1"/>
                  </a:solidFill>
                  <a:latin typeface="+mn-lt"/>
                  <a:ea typeface="+mn-ea"/>
                  <a:cs typeface="+mn-cs"/>
                </a:defRPr>
              </a:pPr>
              <a:endParaRPr lang="en-US"/>
            </a:p>
          </c:txPr>
          <c:dLblPos val="inEnd"/>
          <c:showLegendKey val="0"/>
          <c:showVal val="0"/>
          <c:showCatName val="1"/>
          <c:showSerName val="0"/>
          <c:showPercent val="1"/>
          <c:showBubbleSize val="0"/>
          <c:extLst>
            <c:ext xmlns:c15="http://schemas.microsoft.com/office/drawing/2012/chart" uri="{CE6537A1-D6FC-4f65-9D91-7224C49458BB}"/>
          </c:extLst>
        </c:dLbl>
      </c:pivotFmt>
      <c:pivotFmt>
        <c:idx val="11"/>
        <c:spPr>
          <a:solidFill>
            <a:srgbClr val="FFFF00"/>
          </a:solidFill>
          <a:ln w="19050">
            <a:solidFill>
              <a:schemeClr val="accent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1"/>
                  </a:solidFill>
                  <a:latin typeface="+mn-lt"/>
                  <a:ea typeface="+mn-ea"/>
                  <a:cs typeface="+mn-cs"/>
                </a:defRPr>
              </a:pPr>
              <a:endParaRPr lang="en-US"/>
            </a:p>
          </c:txPr>
          <c:dLblPos val="inEnd"/>
          <c:showLegendKey val="0"/>
          <c:showVal val="0"/>
          <c:showCatName val="1"/>
          <c:showSerName val="0"/>
          <c:showPercent val="1"/>
          <c:showBubbleSize val="0"/>
          <c:extLst>
            <c:ext xmlns:c15="http://schemas.microsoft.com/office/drawing/2012/chart" uri="{CE6537A1-D6FC-4f65-9D91-7224C49458BB}">
              <c15:layout>
                <c:manualLayout>
                  <c:w val="0.20492888888888888"/>
                  <c:h val="0.25368277777777776"/>
                </c:manualLayout>
              </c15:layout>
            </c:ext>
          </c:extLst>
        </c:dLbl>
      </c:pivotFmt>
      <c:pivotFmt>
        <c:idx val="12"/>
        <c:spPr>
          <a:solidFill>
            <a:schemeClr val="lt1"/>
          </a:solidFill>
          <a:ln w="19050">
            <a:solidFill>
              <a:schemeClr val="accent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1"/>
                  </a:solidFill>
                  <a:latin typeface="+mn-lt"/>
                  <a:ea typeface="+mn-ea"/>
                  <a:cs typeface="+mn-cs"/>
                </a:defRPr>
              </a:pPr>
              <a:endParaRPr lang="en-US"/>
            </a:p>
          </c:txPr>
          <c:dLblPos val="inEnd"/>
          <c:showLegendKey val="0"/>
          <c:showVal val="0"/>
          <c:showCatName val="1"/>
          <c:showSerName val="0"/>
          <c:showPercent val="1"/>
          <c:showBubbleSize val="0"/>
          <c:extLst>
            <c:ext xmlns:c15="http://schemas.microsoft.com/office/drawing/2012/chart" uri="{CE6537A1-D6FC-4f65-9D91-7224C49458BB}">
              <c15:layout>
                <c:manualLayout>
                  <c:w val="0.28204555555555555"/>
                  <c:h val="0.25368277777777776"/>
                </c:manualLayout>
              </c15:layout>
            </c:ext>
          </c:extLst>
        </c:dLbl>
      </c:pivotFmt>
      <c:pivotFmt>
        <c:idx val="13"/>
        <c:spPr>
          <a:solidFill>
            <a:srgbClr val="FF0000"/>
          </a:solidFill>
          <a:ln w="19050">
            <a:solidFill>
              <a:schemeClr val="accent1"/>
            </a:solidFill>
          </a:ln>
          <a:effectLst/>
        </c:spPr>
        <c:dLbl>
          <c:idx val="0"/>
          <c:spPr>
            <a:noFill/>
            <a:ln>
              <a:noFill/>
            </a:ln>
            <a:effectLst/>
          </c:spPr>
          <c:txPr>
            <a:bodyPr rot="0" spcFirstLastPara="1" vertOverflow="ellipsis" vert="horz" wrap="square" lIns="38100" tIns="19050" rIns="38100" bIns="19050" anchor="ctr" anchorCtr="1">
              <a:noAutofit/>
            </a:bodyPr>
            <a:lstStyle/>
            <a:p>
              <a:pPr>
                <a:defRPr sz="900" b="1" i="0" u="none" strike="noStrike" kern="1200" baseline="0">
                  <a:solidFill>
                    <a:schemeClr val="accent1"/>
                  </a:solidFill>
                  <a:latin typeface="+mn-lt"/>
                  <a:ea typeface="+mn-ea"/>
                  <a:cs typeface="+mn-cs"/>
                </a:defRPr>
              </a:pPr>
              <a:endParaRPr lang="en-US"/>
            </a:p>
          </c:txPr>
          <c:dLblPos val="inEnd"/>
          <c:showLegendKey val="0"/>
          <c:showVal val="0"/>
          <c:showCatName val="1"/>
          <c:showSerName val="0"/>
          <c:showPercent val="1"/>
          <c:showBubbleSize val="0"/>
          <c:extLst>
            <c:ext xmlns:c15="http://schemas.microsoft.com/office/drawing/2012/chart" uri="{CE6537A1-D6FC-4f65-9D91-7224C49458BB}">
              <c15:layout>
                <c:manualLayout>
                  <c:w val="0.24010055555555557"/>
                  <c:h val="0.23957166666666663"/>
                </c:manualLayout>
              </c15:layout>
            </c:ext>
          </c:extLst>
        </c:dLbl>
      </c:pivotFmt>
      <c:pivotFmt>
        <c:idx val="14"/>
        <c:spPr>
          <a:solidFill>
            <a:schemeClr val="lt1"/>
          </a:solidFill>
          <a:ln w="19050">
            <a:solidFill>
              <a:schemeClr val="accent1"/>
            </a:solidFill>
          </a:ln>
          <a:effectLst/>
        </c:spPr>
      </c:pivotFmt>
    </c:pivotFmts>
    <c:plotArea>
      <c:layout/>
      <c:pieChart>
        <c:varyColors val="1"/>
        <c:ser>
          <c:idx val="0"/>
          <c:order val="0"/>
          <c:tx>
            <c:strRef>
              <c:f>Pivot_1!$B$1</c:f>
              <c:strCache>
                <c:ptCount val="1"/>
                <c:pt idx="0">
                  <c:v>Total</c:v>
                </c:pt>
              </c:strCache>
            </c:strRef>
          </c:tx>
          <c:spPr>
            <a:solidFill>
              <a:schemeClr val="lt1"/>
            </a:solidFill>
            <a:ln w="19050">
              <a:solidFill>
                <a:schemeClr val="accent1"/>
              </a:solidFill>
            </a:ln>
            <a:effectLst/>
          </c:spPr>
          <c:dPt>
            <c:idx val="0"/>
            <c:bubble3D val="0"/>
            <c:spPr>
              <a:solidFill>
                <a:srgbClr val="FFFF00"/>
              </a:solidFill>
              <a:ln w="19050">
                <a:solidFill>
                  <a:schemeClr val="accent1"/>
                </a:solidFill>
              </a:ln>
              <a:effectLst/>
            </c:spPr>
            <c:extLst>
              <c:ext xmlns:c16="http://schemas.microsoft.com/office/drawing/2014/chart" uri="{C3380CC4-5D6E-409C-BE32-E72D297353CC}">
                <c16:uniqueId val="{00000001-C5C3-43C7-9A99-9DEDB5DC11A8}"/>
              </c:ext>
            </c:extLst>
          </c:dPt>
          <c:dPt>
            <c:idx val="1"/>
            <c:bubble3D val="0"/>
            <c:spPr>
              <a:solidFill>
                <a:schemeClr val="lt1"/>
              </a:solidFill>
              <a:ln w="19050">
                <a:solidFill>
                  <a:schemeClr val="accent1"/>
                </a:solidFill>
              </a:ln>
              <a:effectLst/>
            </c:spPr>
            <c:extLst>
              <c:ext xmlns:c16="http://schemas.microsoft.com/office/drawing/2014/chart" uri="{C3380CC4-5D6E-409C-BE32-E72D297353CC}">
                <c16:uniqueId val="{00000003-C5C3-43C7-9A99-9DEDB5DC11A8}"/>
              </c:ext>
            </c:extLst>
          </c:dPt>
          <c:dPt>
            <c:idx val="2"/>
            <c:bubble3D val="0"/>
            <c:spPr>
              <a:solidFill>
                <a:srgbClr val="FF0000"/>
              </a:solidFill>
              <a:ln w="19050">
                <a:solidFill>
                  <a:schemeClr val="accent1"/>
                </a:solidFill>
              </a:ln>
              <a:effectLst/>
            </c:spPr>
            <c:extLst>
              <c:ext xmlns:c16="http://schemas.microsoft.com/office/drawing/2014/chart" uri="{C3380CC4-5D6E-409C-BE32-E72D297353CC}">
                <c16:uniqueId val="{00000005-C5C3-43C7-9A99-9DEDB5DC11A8}"/>
              </c:ext>
            </c:extLst>
          </c:dPt>
          <c:dPt>
            <c:idx val="3"/>
            <c:bubble3D val="0"/>
            <c:spPr>
              <a:solidFill>
                <a:schemeClr val="lt1"/>
              </a:solidFill>
              <a:ln w="19050">
                <a:solidFill>
                  <a:schemeClr val="accent1"/>
                </a:solidFill>
              </a:ln>
              <a:effectLst/>
            </c:spPr>
            <c:extLst>
              <c:ext xmlns:c16="http://schemas.microsoft.com/office/drawing/2014/chart" uri="{C3380CC4-5D6E-409C-BE32-E72D297353CC}">
                <c16:uniqueId val="{00000007-C5C3-43C7-9A99-9DEDB5DC11A8}"/>
              </c:ext>
            </c:extLst>
          </c:dPt>
          <c:dLbls>
            <c:dLbl>
              <c:idx val="0"/>
              <c:dLblPos val="inEnd"/>
              <c:showLegendKey val="0"/>
              <c:showVal val="0"/>
              <c:showCatName val="1"/>
              <c:showSerName val="0"/>
              <c:showPercent val="1"/>
              <c:showBubbleSize val="0"/>
              <c:extLst>
                <c:ext xmlns:c15="http://schemas.microsoft.com/office/drawing/2012/chart" uri="{CE6537A1-D6FC-4f65-9D91-7224C49458BB}">
                  <c15:layout>
                    <c:manualLayout>
                      <c:w val="0.20492888888888888"/>
                      <c:h val="0.25368277777777776"/>
                    </c:manualLayout>
                  </c15:layout>
                </c:ext>
                <c:ext xmlns:c16="http://schemas.microsoft.com/office/drawing/2014/chart" uri="{C3380CC4-5D6E-409C-BE32-E72D297353CC}">
                  <c16:uniqueId val="{00000001-C5C3-43C7-9A99-9DEDB5DC11A8}"/>
                </c:ext>
              </c:extLst>
            </c:dLbl>
            <c:dLbl>
              <c:idx val="1"/>
              <c:dLblPos val="inEnd"/>
              <c:showLegendKey val="0"/>
              <c:showVal val="0"/>
              <c:showCatName val="1"/>
              <c:showSerName val="0"/>
              <c:showPercent val="1"/>
              <c:showBubbleSize val="0"/>
              <c:extLst>
                <c:ext xmlns:c15="http://schemas.microsoft.com/office/drawing/2012/chart" uri="{CE6537A1-D6FC-4f65-9D91-7224C49458BB}">
                  <c15:layout>
                    <c:manualLayout>
                      <c:w val="0.28204555555555555"/>
                      <c:h val="0.25368277777777776"/>
                    </c:manualLayout>
                  </c15:layout>
                </c:ext>
                <c:ext xmlns:c16="http://schemas.microsoft.com/office/drawing/2014/chart" uri="{C3380CC4-5D6E-409C-BE32-E72D297353CC}">
                  <c16:uniqueId val="{00000003-C5C3-43C7-9A99-9DEDB5DC11A8}"/>
                </c:ext>
              </c:extLst>
            </c:dLbl>
            <c:dLbl>
              <c:idx val="2"/>
              <c:spPr>
                <a:noFill/>
                <a:ln>
                  <a:noFill/>
                </a:ln>
                <a:effectLst/>
              </c:spPr>
              <c:txPr>
                <a:bodyPr rot="0" spcFirstLastPara="1" vertOverflow="ellipsis" vert="horz" wrap="square" lIns="38100" tIns="19050" rIns="38100" bIns="19050" anchor="ctr" anchorCtr="1">
                  <a:noAutofit/>
                </a:bodyPr>
                <a:lstStyle/>
                <a:p>
                  <a:pPr>
                    <a:defRPr sz="900" b="1" i="0" u="none" strike="noStrike" kern="1200" baseline="0">
                      <a:solidFill>
                        <a:schemeClr val="accent1"/>
                      </a:solidFill>
                      <a:latin typeface="+mn-lt"/>
                      <a:ea typeface="+mn-ea"/>
                      <a:cs typeface="+mn-cs"/>
                    </a:defRPr>
                  </a:pPr>
                  <a:endParaRPr lang="en-US"/>
                </a:p>
              </c:txPr>
              <c:dLblPos val="inEnd"/>
              <c:showLegendKey val="0"/>
              <c:showVal val="0"/>
              <c:showCatName val="1"/>
              <c:showSerName val="0"/>
              <c:showPercent val="1"/>
              <c:showBubbleSize val="0"/>
              <c:extLst>
                <c:ext xmlns:c15="http://schemas.microsoft.com/office/drawing/2012/chart" uri="{CE6537A1-D6FC-4f65-9D91-7224C49458BB}">
                  <c15:layout>
                    <c:manualLayout>
                      <c:w val="0.24010055555555557"/>
                      <c:h val="0.23957166666666663"/>
                    </c:manualLayout>
                  </c15:layout>
                </c:ext>
                <c:ext xmlns:c16="http://schemas.microsoft.com/office/drawing/2014/chart" uri="{C3380CC4-5D6E-409C-BE32-E72D297353CC}">
                  <c16:uniqueId val="{00000005-C5C3-43C7-9A99-9DEDB5DC11A8}"/>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1"/>
                    </a:solidFill>
                    <a:latin typeface="+mn-lt"/>
                    <a:ea typeface="+mn-ea"/>
                    <a:cs typeface="+mn-cs"/>
                  </a:defRPr>
                </a:pPr>
                <a:endParaRPr lang="en-US"/>
              </a:p>
            </c:txPr>
            <c:dLblPos val="inEnd"/>
            <c:showLegendKey val="0"/>
            <c:showVal val="0"/>
            <c:showCatName val="1"/>
            <c:showSerName val="0"/>
            <c:showPercent val="1"/>
            <c:showBubbleSize val="0"/>
            <c:showLeaderLines val="1"/>
            <c:leaderLines>
              <c:spPr>
                <a:ln w="9525">
                  <a:solidFill>
                    <a:schemeClr val="accent1">
                      <a:lumMod val="60000"/>
                      <a:lumOff val="40000"/>
                    </a:schemeClr>
                  </a:solidFill>
                </a:ln>
                <a:effectLst/>
              </c:spPr>
            </c:leaderLines>
            <c:extLst>
              <c:ext xmlns:c15="http://schemas.microsoft.com/office/drawing/2012/chart" uri="{CE6537A1-D6FC-4f65-9D91-7224C49458BB}"/>
            </c:extLst>
          </c:dLbls>
          <c:cat>
            <c:strRef>
              <c:f>Pivot_1!$A$2:$A$6</c:f>
              <c:strCache>
                <c:ptCount val="4"/>
                <c:pt idx="0">
                  <c:v>Books</c:v>
                </c:pt>
                <c:pt idx="1">
                  <c:v>Clothing</c:v>
                </c:pt>
                <c:pt idx="2">
                  <c:v>Games</c:v>
                </c:pt>
                <c:pt idx="3">
                  <c:v>Music</c:v>
                </c:pt>
              </c:strCache>
            </c:strRef>
          </c:cat>
          <c:val>
            <c:numRef>
              <c:f>Pivot_1!$B$2:$B$6</c:f>
              <c:numCache>
                <c:formatCode>General</c:formatCode>
                <c:ptCount val="4"/>
                <c:pt idx="0">
                  <c:v>69751</c:v>
                </c:pt>
                <c:pt idx="1">
                  <c:v>116619</c:v>
                </c:pt>
                <c:pt idx="2">
                  <c:v>149204</c:v>
                </c:pt>
                <c:pt idx="3">
                  <c:v>105948</c:v>
                </c:pt>
              </c:numCache>
            </c:numRef>
          </c:val>
          <c:extLst>
            <c:ext xmlns:c16="http://schemas.microsoft.com/office/drawing/2014/chart" uri="{C3380CC4-5D6E-409C-BE32-E72D297353CC}">
              <c16:uniqueId val="{00000008-C5C3-43C7-9A99-9DEDB5DC11A8}"/>
            </c:ext>
          </c:extLst>
        </c:ser>
        <c:dLbls>
          <c:dLblPos val="inEnd"/>
          <c:showLegendKey val="0"/>
          <c:showVal val="0"/>
          <c:showCatName val="1"/>
          <c:showSerName val="0"/>
          <c:showPercent val="1"/>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[Excel_Dashboard_1.xlsm]Pivot_1!PivotTable2</c:name>
    <c:fmtId val="8"/>
  </c:pivotSource>
  <c:chart>
    <c:autoTitleDeleted val="1"/>
    <c:pivotFmts>
      <c:pivotFmt>
        <c:idx val="0"/>
        <c:spPr>
          <a:solidFill>
            <a:schemeClr val="lt1"/>
          </a:solidFill>
          <a:ln w="19050">
            <a:solidFill>
              <a:schemeClr val="accent1"/>
            </a:solidFill>
          </a:ln>
          <a:effectLst/>
        </c:spPr>
        <c:marker>
          <c:symbol val="circle"/>
          <c:size val="5"/>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1"/>
        <c:spPr>
          <a:solidFill>
            <a:schemeClr val="lt1"/>
          </a:solidFill>
          <a:ln w="19050">
            <a:solidFill>
              <a:schemeClr val="accen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2"/>
        <c:spPr>
          <a:solidFill>
            <a:schemeClr val="lt1"/>
          </a:solidFill>
          <a:ln w="19050">
            <a:solidFill>
              <a:schemeClr val="accent1"/>
            </a:solidFill>
          </a:ln>
          <a:effectLst/>
        </c:spPr>
      </c:pivotFmt>
      <c:pivotFmt>
        <c:idx val="3"/>
        <c:spPr>
          <a:solidFill>
            <a:schemeClr val="lt1"/>
          </a:solidFill>
          <a:ln w="19050">
            <a:solidFill>
              <a:schemeClr val="accent1"/>
            </a:solidFill>
          </a:ln>
          <a:effectLst/>
        </c:spPr>
      </c:pivotFmt>
      <c:pivotFmt>
        <c:idx val="4"/>
        <c:spPr>
          <a:solidFill>
            <a:schemeClr val="lt1"/>
          </a:solidFill>
          <a:ln w="19050">
            <a:solidFill>
              <a:schemeClr val="accent1"/>
            </a:solidFill>
          </a:ln>
          <a:effectLst/>
        </c:spPr>
      </c:pivotFmt>
      <c:pivotFmt>
        <c:idx val="5"/>
        <c:spPr>
          <a:solidFill>
            <a:schemeClr val="lt1"/>
          </a:solidFill>
          <a:ln w="19050">
            <a:solidFill>
              <a:schemeClr val="accent1"/>
            </a:solidFill>
          </a:ln>
          <a:effectLst/>
        </c:spPr>
      </c:pivotFmt>
      <c:pivotFmt>
        <c:idx val="6"/>
        <c:spPr>
          <a:solidFill>
            <a:schemeClr val="lt1"/>
          </a:solidFill>
          <a:ln w="19050">
            <a:solidFill>
              <a:schemeClr val="accen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7"/>
        <c:spPr>
          <a:solidFill>
            <a:schemeClr val="lt1"/>
          </a:solidFill>
          <a:ln w="19050">
            <a:solidFill>
              <a:schemeClr val="accent1"/>
            </a:solidFill>
          </a:ln>
          <a:effectLst/>
        </c:spPr>
      </c:pivotFmt>
      <c:pivotFmt>
        <c:idx val="8"/>
        <c:spPr>
          <a:noFill/>
          <a:ln w="19050">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layout>
                <c:manualLayout>
                  <c:w val="0.2472972222222222"/>
                  <c:h val="0.26856915852650204"/>
                </c:manualLayout>
              </c15:layout>
            </c:ext>
          </c:extLst>
        </c:dLbl>
      </c:pivotFmt>
      <c:pivotFmt>
        <c:idx val="9"/>
        <c:spPr>
          <a:solidFill>
            <a:schemeClr val="lt1"/>
          </a:solidFill>
          <a:ln w="19050">
            <a:solidFill>
              <a:schemeClr val="accent1"/>
            </a:solidFill>
          </a:ln>
          <a:effectLst/>
        </c:spPr>
        <c:dLbl>
          <c:idx val="0"/>
          <c:layout>
            <c:manualLayout>
              <c:x val="-1.4111111111111111E-2"/>
              <c:y val="0"/>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10"/>
        <c:spPr>
          <a:noFill/>
          <a:ln w="19050">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doughnutChart>
        <c:varyColors val="1"/>
        <c:ser>
          <c:idx val="0"/>
          <c:order val="0"/>
          <c:tx>
            <c:strRef>
              <c:f>Pivot_1!$B$12</c:f>
              <c:strCache>
                <c:ptCount val="1"/>
                <c:pt idx="0">
                  <c:v>Total</c:v>
                </c:pt>
              </c:strCache>
            </c:strRef>
          </c:tx>
          <c:spPr>
            <a:solidFill>
              <a:schemeClr val="lt1"/>
            </a:solidFill>
            <a:ln w="19050">
              <a:solidFill>
                <a:schemeClr val="accent1"/>
              </a:solidFill>
            </a:ln>
            <a:effectLst/>
          </c:spPr>
          <c:dPt>
            <c:idx val="0"/>
            <c:bubble3D val="0"/>
            <c:spPr>
              <a:solidFill>
                <a:schemeClr val="lt1"/>
              </a:solidFill>
              <a:ln w="19050">
                <a:solidFill>
                  <a:schemeClr val="accent1"/>
                </a:solidFill>
              </a:ln>
              <a:effectLst/>
            </c:spPr>
            <c:extLst>
              <c:ext xmlns:c16="http://schemas.microsoft.com/office/drawing/2014/chart" uri="{C3380CC4-5D6E-409C-BE32-E72D297353CC}">
                <c16:uniqueId val="{00000001-2A3F-481C-A1EA-A8DBBC6BFD9C}"/>
              </c:ext>
            </c:extLst>
          </c:dPt>
          <c:dPt>
            <c:idx val="1"/>
            <c:bubble3D val="0"/>
            <c:spPr>
              <a:noFill/>
              <a:ln w="19050">
                <a:noFill/>
              </a:ln>
              <a:effectLst/>
            </c:spPr>
            <c:extLst>
              <c:ext xmlns:c16="http://schemas.microsoft.com/office/drawing/2014/chart" uri="{C3380CC4-5D6E-409C-BE32-E72D297353CC}">
                <c16:uniqueId val="{00000003-2A3F-481C-A1EA-A8DBBC6BFD9C}"/>
              </c:ext>
            </c:extLst>
          </c:dPt>
          <c:dPt>
            <c:idx val="2"/>
            <c:bubble3D val="0"/>
            <c:spPr>
              <a:solidFill>
                <a:schemeClr val="lt1"/>
              </a:solidFill>
              <a:ln w="19050">
                <a:solidFill>
                  <a:schemeClr val="accent1"/>
                </a:solidFill>
              </a:ln>
              <a:effectLst/>
            </c:spPr>
            <c:extLst>
              <c:ext xmlns:c16="http://schemas.microsoft.com/office/drawing/2014/chart" uri="{C3380CC4-5D6E-409C-BE32-E72D297353CC}">
                <c16:uniqueId val="{00000005-2A3F-481C-A1EA-A8DBBC6BFD9C}"/>
              </c:ext>
            </c:extLst>
          </c:dPt>
          <c:dPt>
            <c:idx val="3"/>
            <c:bubble3D val="0"/>
            <c:spPr>
              <a:noFill/>
              <a:ln w="19050">
                <a:noFill/>
              </a:ln>
              <a:effectLst/>
            </c:spPr>
            <c:extLst>
              <c:ext xmlns:c16="http://schemas.microsoft.com/office/drawing/2014/chart" uri="{C3380CC4-5D6E-409C-BE32-E72D297353CC}">
                <c16:uniqueId val="{00000007-2A3F-481C-A1EA-A8DBBC6BFD9C}"/>
              </c:ext>
            </c:extLst>
          </c:dPt>
          <c:dLbls>
            <c:dLbl>
              <c:idx val="1"/>
              <c:delete val="1"/>
              <c:extLst>
                <c:ext xmlns:c15="http://schemas.microsoft.com/office/drawing/2012/chart" uri="{CE6537A1-D6FC-4f65-9D91-7224C49458BB}">
                  <c15:layout>
                    <c:manualLayout>
                      <c:w val="0.2472972222222222"/>
                      <c:h val="0.26856915852650204"/>
                    </c:manualLayout>
                  </c15:layout>
                </c:ext>
                <c:ext xmlns:c16="http://schemas.microsoft.com/office/drawing/2014/chart" uri="{C3380CC4-5D6E-409C-BE32-E72D297353CC}">
                  <c16:uniqueId val="{00000003-2A3F-481C-A1EA-A8DBBC6BFD9C}"/>
                </c:ext>
              </c:extLst>
            </c:dLbl>
            <c:dLbl>
              <c:idx val="2"/>
              <c:layout>
                <c:manualLayout>
                  <c:x val="-1.4111111111111111E-2"/>
                  <c:y val="0"/>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5-2A3F-481C-A1EA-A8DBBC6BFD9C}"/>
                </c:ext>
              </c:extLst>
            </c:dLbl>
            <c:dLbl>
              <c:idx val="3"/>
              <c:delete val="1"/>
              <c:extLst>
                <c:ext xmlns:c15="http://schemas.microsoft.com/office/drawing/2012/chart" uri="{CE6537A1-D6FC-4f65-9D91-7224C49458BB}"/>
                <c:ext xmlns:c16="http://schemas.microsoft.com/office/drawing/2014/chart" uri="{C3380CC4-5D6E-409C-BE32-E72D297353CC}">
                  <c16:uniqueId val="{00000007-2A3F-481C-A1EA-A8DBBC6BFD9C}"/>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1"/>
                    </a:solidFill>
                    <a:latin typeface="+mn-lt"/>
                    <a:ea typeface="+mn-ea"/>
                    <a:cs typeface="+mn-cs"/>
                  </a:defRPr>
                </a:pPr>
                <a:endParaRPr lang="en-US"/>
              </a:p>
            </c:txPr>
            <c:showLegendKey val="0"/>
            <c:showVal val="0"/>
            <c:showCatName val="1"/>
            <c:showSerName val="0"/>
            <c:showPercent val="1"/>
            <c:showBubbleSize val="0"/>
            <c:showLeaderLines val="1"/>
            <c:leaderLines>
              <c:spPr>
                <a:ln w="9525">
                  <a:solidFill>
                    <a:schemeClr val="accent1">
                      <a:lumMod val="60000"/>
                      <a:lumOff val="40000"/>
                    </a:schemeClr>
                  </a:solidFill>
                </a:ln>
                <a:effectLst/>
              </c:spPr>
            </c:leaderLines>
            <c:extLst>
              <c:ext xmlns:c15="http://schemas.microsoft.com/office/drawing/2012/chart" uri="{CE6537A1-D6FC-4f65-9D91-7224C49458BB}"/>
            </c:extLst>
          </c:dLbls>
          <c:cat>
            <c:strRef>
              <c:f>Pivot_1!$A$13:$A$17</c:f>
              <c:strCache>
                <c:ptCount val="4"/>
                <c:pt idx="0">
                  <c:v>Alice</c:v>
                </c:pt>
                <c:pt idx="1">
                  <c:v>Barney</c:v>
                </c:pt>
                <c:pt idx="2">
                  <c:v>Carol</c:v>
                </c:pt>
                <c:pt idx="3">
                  <c:v>David</c:v>
                </c:pt>
              </c:strCache>
            </c:strRef>
          </c:cat>
          <c:val>
            <c:numRef>
              <c:f>Pivot_1!$B$13:$B$17</c:f>
              <c:numCache>
                <c:formatCode>General</c:formatCode>
                <c:ptCount val="4"/>
                <c:pt idx="0">
                  <c:v>114334</c:v>
                </c:pt>
                <c:pt idx="1">
                  <c:v>110433</c:v>
                </c:pt>
                <c:pt idx="2">
                  <c:v>110141</c:v>
                </c:pt>
                <c:pt idx="3">
                  <c:v>106614</c:v>
                </c:pt>
              </c:numCache>
            </c:numRef>
          </c:val>
          <c:extLst>
            <c:ext xmlns:c16="http://schemas.microsoft.com/office/drawing/2014/chart" uri="{C3380CC4-5D6E-409C-BE32-E72D297353CC}">
              <c16:uniqueId val="{00000008-2A3F-481C-A1EA-A8DBBC6BFD9C}"/>
            </c:ext>
          </c:extLst>
        </c:ser>
        <c:dLbls>
          <c:showLegendKey val="0"/>
          <c:showVal val="0"/>
          <c:showCatName val="0"/>
          <c:showSerName val="0"/>
          <c:showPercent val="1"/>
          <c:showBubbleSize val="0"/>
          <c:showLeaderLines val="1"/>
        </c:dLbls>
        <c:firstSliceAng val="0"/>
        <c:holeSize val="38"/>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[Excel_Dashboard_1.xlsm]Pivot_1!PivotTable6</c:name>
    <c:fmtId val="5"/>
  </c:pivotSource>
  <c:chart>
    <c:autoTitleDeleted val="1"/>
    <c:pivotFmts>
      <c:pivotFmt>
        <c:idx val="0"/>
        <c:spPr>
          <a:solidFill>
            <a:schemeClr val="lt1"/>
          </a:solidFill>
          <a:ln w="19050">
            <a:solidFill>
              <a:schemeClr val="accent1"/>
            </a:solidFill>
          </a:ln>
          <a:effectLst/>
        </c:spPr>
        <c:marker>
          <c:symbol val="circle"/>
          <c:size val="5"/>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1"/>
                  </a:solidFill>
                  <a:latin typeface="+mn-lt"/>
                  <a:ea typeface="+mn-ea"/>
                  <a:cs typeface="+mn-cs"/>
                </a:defRPr>
              </a:pPr>
              <a:endParaRPr lang="en-US"/>
            </a:p>
          </c:txPr>
          <c:dLblPos val="inEnd"/>
          <c:showLegendKey val="0"/>
          <c:showVal val="0"/>
          <c:showCatName val="1"/>
          <c:showSerName val="0"/>
          <c:showPercent val="1"/>
          <c:showBubbleSize val="0"/>
          <c:extLst>
            <c:ext xmlns:c15="http://schemas.microsoft.com/office/drawing/2012/chart" uri="{CE6537A1-D6FC-4f65-9D91-7224C49458BB}"/>
          </c:extLst>
        </c:dLbl>
      </c:pivotFmt>
      <c:pivotFmt>
        <c:idx val="1"/>
        <c:spPr>
          <a:solidFill>
            <a:schemeClr val="lt1"/>
          </a:solidFill>
          <a:ln w="19050">
            <a:solidFill>
              <a:schemeClr val="accent1"/>
            </a:solidFill>
          </a:ln>
          <a:effectLst/>
        </c:spPr>
        <c:dLbl>
          <c:idx val="0"/>
          <c:spPr>
            <a:noFill/>
            <a:ln>
              <a:noFill/>
            </a:ln>
            <a:effectLst/>
          </c:spPr>
          <c:txPr>
            <a:bodyPr rot="0" spcFirstLastPara="1" vertOverflow="ellipsis" vert="horz" wrap="square" lIns="38100" tIns="19050" rIns="38100" bIns="19050" anchor="ctr" anchorCtr="1">
              <a:noAutofit/>
            </a:bodyPr>
            <a:lstStyle/>
            <a:p>
              <a:pPr>
                <a:defRPr sz="900" b="1" i="0" u="none" strike="noStrike" kern="1200" baseline="0">
                  <a:solidFill>
                    <a:schemeClr val="accent1"/>
                  </a:solidFill>
                  <a:latin typeface="+mn-lt"/>
                  <a:ea typeface="+mn-ea"/>
                  <a:cs typeface="+mn-cs"/>
                </a:defRPr>
              </a:pPr>
              <a:endParaRPr lang="en-US"/>
            </a:p>
          </c:txPr>
          <c:dLblPos val="inEnd"/>
          <c:showLegendKey val="0"/>
          <c:showVal val="0"/>
          <c:showCatName val="1"/>
          <c:showSerName val="0"/>
          <c:showPercent val="1"/>
          <c:showBubbleSize val="0"/>
          <c:extLst>
            <c:ext xmlns:c15="http://schemas.microsoft.com/office/drawing/2012/chart" uri="{CE6537A1-D6FC-4f65-9D91-7224C49458BB}">
              <c15:layout>
                <c:manualLayout>
                  <c:w val="0.27551944444444443"/>
                  <c:h val="0.26073833333333335"/>
                </c:manualLayout>
              </c15:layout>
            </c:ext>
          </c:extLst>
        </c:dLbl>
      </c:pivotFmt>
      <c:pivotFmt>
        <c:idx val="2"/>
        <c:spPr>
          <a:solidFill>
            <a:schemeClr val="lt1"/>
          </a:solidFill>
          <a:ln w="19050">
            <a:solidFill>
              <a:schemeClr val="accen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1"/>
                  </a:solidFill>
                  <a:latin typeface="+mn-lt"/>
                  <a:ea typeface="+mn-ea"/>
                  <a:cs typeface="+mn-cs"/>
                </a:defRPr>
              </a:pPr>
              <a:endParaRPr lang="en-US"/>
            </a:p>
          </c:txPr>
          <c:dLblPos val="inEnd"/>
          <c:showLegendKey val="0"/>
          <c:showVal val="0"/>
          <c:showCatName val="1"/>
          <c:showSerName val="0"/>
          <c:showPercent val="1"/>
          <c:showBubbleSize val="0"/>
          <c:extLst>
            <c:ext xmlns:c15="http://schemas.microsoft.com/office/drawing/2012/chart" uri="{CE6537A1-D6FC-4f65-9D91-7224C49458BB}"/>
          </c:extLst>
        </c:dLbl>
      </c:pivotFmt>
      <c:pivotFmt>
        <c:idx val="3"/>
        <c:spPr>
          <a:solidFill>
            <a:schemeClr val="lt1"/>
          </a:solidFill>
          <a:ln w="19050">
            <a:solidFill>
              <a:schemeClr val="accent1"/>
            </a:solidFill>
          </a:ln>
          <a:effectLst/>
        </c:spPr>
      </c:pivotFmt>
      <c:pivotFmt>
        <c:idx val="4"/>
        <c:spPr>
          <a:solidFill>
            <a:schemeClr val="lt1"/>
          </a:solidFill>
          <a:ln w="19050">
            <a:solidFill>
              <a:schemeClr val="accent1"/>
            </a:solidFill>
          </a:ln>
          <a:effectLst/>
        </c:spPr>
        <c:dLbl>
          <c:idx val="0"/>
          <c:spPr>
            <a:noFill/>
            <a:ln>
              <a:noFill/>
            </a:ln>
            <a:effectLst/>
          </c:spPr>
          <c:txPr>
            <a:bodyPr rot="0" spcFirstLastPara="1" vertOverflow="ellipsis" vert="horz" wrap="square" lIns="38100" tIns="19050" rIns="38100" bIns="19050" anchor="ctr" anchorCtr="1">
              <a:noAutofit/>
            </a:bodyPr>
            <a:lstStyle/>
            <a:p>
              <a:pPr>
                <a:defRPr sz="900" b="1" i="0" u="none" strike="noStrike" kern="1200" baseline="0">
                  <a:solidFill>
                    <a:schemeClr val="accent1"/>
                  </a:solidFill>
                  <a:latin typeface="+mn-lt"/>
                  <a:ea typeface="+mn-ea"/>
                  <a:cs typeface="+mn-cs"/>
                </a:defRPr>
              </a:pPr>
              <a:endParaRPr lang="en-US"/>
            </a:p>
          </c:txPr>
          <c:dLblPos val="inEnd"/>
          <c:showLegendKey val="0"/>
          <c:showVal val="0"/>
          <c:showCatName val="1"/>
          <c:showSerName val="0"/>
          <c:showPercent val="1"/>
          <c:showBubbleSize val="0"/>
          <c:extLst>
            <c:ext xmlns:c15="http://schemas.microsoft.com/office/drawing/2012/chart" uri="{CE6537A1-D6FC-4f65-9D91-7224C49458BB}">
              <c15:layout>
                <c:manualLayout>
                  <c:w val="0.27551944444444443"/>
                  <c:h val="0.26073833333333335"/>
                </c:manualLayout>
              </c15:layout>
            </c:ext>
          </c:extLst>
        </c:dLbl>
      </c:pivotFmt>
      <c:pivotFmt>
        <c:idx val="5"/>
        <c:spPr>
          <a:solidFill>
            <a:schemeClr val="lt1"/>
          </a:solidFill>
          <a:ln w="19050">
            <a:solidFill>
              <a:schemeClr val="accent1"/>
            </a:solidFill>
          </a:ln>
          <a:effectLst/>
        </c:spPr>
      </c:pivotFmt>
      <c:pivotFmt>
        <c:idx val="6"/>
        <c:spPr>
          <a:solidFill>
            <a:schemeClr val="lt1"/>
          </a:solidFill>
          <a:ln w="19050">
            <a:solidFill>
              <a:schemeClr val="accent1"/>
            </a:solidFill>
          </a:ln>
          <a:effectLst/>
        </c:spPr>
      </c:pivotFmt>
      <c:pivotFmt>
        <c:idx val="7"/>
        <c:spPr>
          <a:solidFill>
            <a:schemeClr val="lt1"/>
          </a:solidFill>
          <a:ln w="19050">
            <a:solidFill>
              <a:schemeClr val="accen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8"/>
        <c:spPr>
          <a:noFill/>
          <a:ln w="19050">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lt1"/>
          </a:solidFill>
          <a:ln w="19050">
            <a:solidFill>
              <a:schemeClr val="accent1"/>
            </a:solidFill>
          </a:ln>
          <a:effectLst/>
        </c:spPr>
        <c:dLbl>
          <c:idx val="0"/>
          <c:spPr>
            <a:noFill/>
            <a:ln>
              <a:noFill/>
            </a:ln>
            <a:effectLst/>
          </c:spPr>
          <c:txPr>
            <a:bodyPr rot="0" spcFirstLastPara="1" vertOverflow="ellipsis" vert="horz" wrap="square" lIns="38100" tIns="19050" rIns="38100" bIns="19050" anchor="ctr" anchorCtr="1">
              <a:noAutofit/>
            </a:bodyPr>
            <a:lstStyle/>
            <a:p>
              <a:pPr>
                <a:defRPr sz="900" b="1" i="0" u="none" strike="noStrike" kern="1200" baseline="0">
                  <a:solidFill>
                    <a:schemeClr val="accent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layout>
                <c:manualLayout>
                  <c:w val="0.27551944444444443"/>
                  <c:h val="0.26073833333333335"/>
                </c:manualLayout>
              </c15:layout>
            </c:ext>
          </c:extLst>
        </c:dLbl>
      </c:pivotFmt>
      <c:pivotFmt>
        <c:idx val="10"/>
        <c:spPr>
          <a:noFill/>
          <a:ln w="19050">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lt1"/>
          </a:solidFill>
          <a:ln w="19050">
            <a:solidFill>
              <a:schemeClr val="accent1"/>
            </a:solidFill>
          </a:ln>
          <a:effectLst/>
        </c:spPr>
      </c:pivotFmt>
    </c:pivotFmts>
    <c:plotArea>
      <c:layout/>
      <c:doughnutChart>
        <c:varyColors val="1"/>
        <c:ser>
          <c:idx val="0"/>
          <c:order val="0"/>
          <c:tx>
            <c:strRef>
              <c:f>Pivot_1!$F$1</c:f>
              <c:strCache>
                <c:ptCount val="1"/>
                <c:pt idx="0">
                  <c:v>Total</c:v>
                </c:pt>
              </c:strCache>
            </c:strRef>
          </c:tx>
          <c:spPr>
            <a:solidFill>
              <a:schemeClr val="lt1"/>
            </a:solidFill>
            <a:ln w="19050">
              <a:solidFill>
                <a:schemeClr val="accent1"/>
              </a:solidFill>
            </a:ln>
            <a:effectLst/>
          </c:spPr>
          <c:dPt>
            <c:idx val="0"/>
            <c:bubble3D val="0"/>
            <c:spPr>
              <a:noFill/>
              <a:ln w="19050">
                <a:noFill/>
              </a:ln>
              <a:effectLst/>
            </c:spPr>
            <c:extLst>
              <c:ext xmlns:c16="http://schemas.microsoft.com/office/drawing/2014/chart" uri="{C3380CC4-5D6E-409C-BE32-E72D297353CC}">
                <c16:uniqueId val="{00000001-5D13-4698-87C6-4D3F5C4CFB3C}"/>
              </c:ext>
            </c:extLst>
          </c:dPt>
          <c:dPt>
            <c:idx val="1"/>
            <c:bubble3D val="0"/>
            <c:spPr>
              <a:solidFill>
                <a:schemeClr val="lt1"/>
              </a:solidFill>
              <a:ln w="19050">
                <a:solidFill>
                  <a:schemeClr val="accent1"/>
                </a:solidFill>
              </a:ln>
              <a:effectLst/>
            </c:spPr>
            <c:extLst>
              <c:ext xmlns:c16="http://schemas.microsoft.com/office/drawing/2014/chart" uri="{C3380CC4-5D6E-409C-BE32-E72D297353CC}">
                <c16:uniqueId val="{00000003-5D13-4698-87C6-4D3F5C4CFB3C}"/>
              </c:ext>
            </c:extLst>
          </c:dPt>
          <c:dPt>
            <c:idx val="2"/>
            <c:bubble3D val="0"/>
            <c:spPr>
              <a:noFill/>
              <a:ln w="19050">
                <a:noFill/>
              </a:ln>
              <a:effectLst/>
            </c:spPr>
            <c:extLst>
              <c:ext xmlns:c16="http://schemas.microsoft.com/office/drawing/2014/chart" uri="{C3380CC4-5D6E-409C-BE32-E72D297353CC}">
                <c16:uniqueId val="{00000005-5D13-4698-87C6-4D3F5C4CFB3C}"/>
              </c:ext>
            </c:extLst>
          </c:dPt>
          <c:dPt>
            <c:idx val="3"/>
            <c:bubble3D val="0"/>
            <c:spPr>
              <a:solidFill>
                <a:schemeClr val="lt1"/>
              </a:solidFill>
              <a:ln w="19050">
                <a:solidFill>
                  <a:schemeClr val="accent1"/>
                </a:solidFill>
              </a:ln>
              <a:effectLst/>
            </c:spPr>
            <c:extLst>
              <c:ext xmlns:c16="http://schemas.microsoft.com/office/drawing/2014/chart" uri="{C3380CC4-5D6E-409C-BE32-E72D297353CC}">
                <c16:uniqueId val="{00000007-5D13-4698-87C6-4D3F5C4CFB3C}"/>
              </c:ext>
            </c:extLst>
          </c:dPt>
          <c:dLbls>
            <c:dLbl>
              <c:idx val="0"/>
              <c:delete val="1"/>
              <c:extLst>
                <c:ext xmlns:c15="http://schemas.microsoft.com/office/drawing/2012/chart" uri="{CE6537A1-D6FC-4f65-9D91-7224C49458BB}"/>
                <c:ext xmlns:c16="http://schemas.microsoft.com/office/drawing/2014/chart" uri="{C3380CC4-5D6E-409C-BE32-E72D297353CC}">
                  <c16:uniqueId val="{00000001-5D13-4698-87C6-4D3F5C4CFB3C}"/>
                </c:ext>
              </c:extLst>
            </c:dLbl>
            <c:dLbl>
              <c:idx val="1"/>
              <c:spPr>
                <a:noFill/>
                <a:ln>
                  <a:noFill/>
                </a:ln>
                <a:effectLst/>
              </c:spPr>
              <c:txPr>
                <a:bodyPr rot="0" spcFirstLastPara="1" vertOverflow="ellipsis" vert="horz" wrap="square" lIns="38100" tIns="19050" rIns="38100" bIns="19050" anchor="ctr" anchorCtr="1">
                  <a:noAutofit/>
                </a:bodyPr>
                <a:lstStyle/>
                <a:p>
                  <a:pPr>
                    <a:defRPr sz="900" b="1" i="0" u="none" strike="noStrike" kern="1200" baseline="0">
                      <a:solidFill>
                        <a:schemeClr val="accent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layout>
                    <c:manualLayout>
                      <c:w val="0.27551944444444443"/>
                      <c:h val="0.26073833333333335"/>
                    </c:manualLayout>
                  </c15:layout>
                </c:ext>
                <c:ext xmlns:c16="http://schemas.microsoft.com/office/drawing/2014/chart" uri="{C3380CC4-5D6E-409C-BE32-E72D297353CC}">
                  <c16:uniqueId val="{00000003-5D13-4698-87C6-4D3F5C4CFB3C}"/>
                </c:ext>
              </c:extLst>
            </c:dLbl>
            <c:dLbl>
              <c:idx val="2"/>
              <c:delete val="1"/>
              <c:extLst>
                <c:ext xmlns:c15="http://schemas.microsoft.com/office/drawing/2012/chart" uri="{CE6537A1-D6FC-4f65-9D91-7224C49458BB}"/>
                <c:ext xmlns:c16="http://schemas.microsoft.com/office/drawing/2014/chart" uri="{C3380CC4-5D6E-409C-BE32-E72D297353CC}">
                  <c16:uniqueId val="{00000005-5D13-4698-87C6-4D3F5C4CFB3C}"/>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1"/>
                    </a:solidFill>
                    <a:latin typeface="+mn-lt"/>
                    <a:ea typeface="+mn-ea"/>
                    <a:cs typeface="+mn-cs"/>
                  </a:defRPr>
                </a:pPr>
                <a:endParaRPr lang="en-US"/>
              </a:p>
            </c:txPr>
            <c:showLegendKey val="0"/>
            <c:showVal val="0"/>
            <c:showCatName val="1"/>
            <c:showSerName val="0"/>
            <c:showPercent val="1"/>
            <c:showBubbleSize val="0"/>
            <c:showLeaderLines val="1"/>
            <c:leaderLines>
              <c:spPr>
                <a:ln w="9525">
                  <a:solidFill>
                    <a:schemeClr val="accent1">
                      <a:lumMod val="60000"/>
                      <a:lumOff val="40000"/>
                    </a:schemeClr>
                  </a:solidFill>
                </a:ln>
                <a:effectLst/>
              </c:spPr>
            </c:leaderLines>
            <c:extLst>
              <c:ext xmlns:c15="http://schemas.microsoft.com/office/drawing/2012/chart" uri="{CE6537A1-D6FC-4f65-9D91-7224C49458BB}"/>
            </c:extLst>
          </c:dLbls>
          <c:cat>
            <c:strRef>
              <c:f>Pivot_1!$E$2:$E$6</c:f>
              <c:strCache>
                <c:ptCount val="4"/>
                <c:pt idx="0">
                  <c:v>Alice</c:v>
                </c:pt>
                <c:pt idx="1">
                  <c:v>Barney</c:v>
                </c:pt>
                <c:pt idx="2">
                  <c:v>Carol</c:v>
                </c:pt>
                <c:pt idx="3">
                  <c:v>David</c:v>
                </c:pt>
              </c:strCache>
            </c:strRef>
          </c:cat>
          <c:val>
            <c:numRef>
              <c:f>Pivot_1!$F$2:$F$6</c:f>
              <c:numCache>
                <c:formatCode>General</c:formatCode>
                <c:ptCount val="4"/>
                <c:pt idx="0">
                  <c:v>93</c:v>
                </c:pt>
                <c:pt idx="1">
                  <c:v>91</c:v>
                </c:pt>
                <c:pt idx="2">
                  <c:v>92</c:v>
                </c:pt>
                <c:pt idx="3">
                  <c:v>90</c:v>
                </c:pt>
              </c:numCache>
            </c:numRef>
          </c:val>
          <c:extLst>
            <c:ext xmlns:c16="http://schemas.microsoft.com/office/drawing/2014/chart" uri="{C3380CC4-5D6E-409C-BE32-E72D297353CC}">
              <c16:uniqueId val="{00000008-5D13-4698-87C6-4D3F5C4CFB3C}"/>
            </c:ext>
          </c:extLst>
        </c:ser>
        <c:dLbls>
          <c:showLegendKey val="0"/>
          <c:showVal val="0"/>
          <c:showCatName val="0"/>
          <c:showSerName val="0"/>
          <c:showPercent val="1"/>
          <c:showBubbleSize val="0"/>
          <c:showLeaderLines val="1"/>
        </c:dLbls>
        <c:firstSliceAng val="0"/>
        <c:holeSize val="38"/>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[Excel_Dashboard_1.xlsm]Pivot_1!PivotTable7</c:name>
    <c:fmtId val="5"/>
  </c:pivotSource>
  <c:chart>
    <c:autoTitleDeleted val="1"/>
    <c:pivotFmts>
      <c:pivotFmt>
        <c:idx val="0"/>
        <c:spPr>
          <a:solidFill>
            <a:schemeClr val="lt1"/>
          </a:solidFill>
          <a:ln w="19050">
            <a:solidFill>
              <a:schemeClr val="accent1"/>
            </a:solidFill>
          </a:ln>
          <a:effectLst/>
        </c:spPr>
        <c:marker>
          <c:symbol val="circle"/>
          <c:size val="5"/>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1"/>
                  </a:solidFill>
                  <a:latin typeface="+mn-lt"/>
                  <a:ea typeface="+mn-ea"/>
                  <a:cs typeface="+mn-cs"/>
                </a:defRPr>
              </a:pPr>
              <a:endParaRPr lang="en-US"/>
            </a:p>
          </c:txPr>
          <c:dLblPos val="inEnd"/>
          <c:showLegendKey val="0"/>
          <c:showVal val="0"/>
          <c:showCatName val="1"/>
          <c:showSerName val="0"/>
          <c:showPercent val="1"/>
          <c:showBubbleSize val="0"/>
          <c:extLst>
            <c:ext xmlns:c15="http://schemas.microsoft.com/office/drawing/2012/chart" uri="{CE6537A1-D6FC-4f65-9D91-7224C49458BB}"/>
          </c:extLst>
        </c:dLbl>
      </c:pivotFmt>
      <c:pivotFmt>
        <c:idx val="1"/>
        <c:spPr>
          <a:solidFill>
            <a:schemeClr val="lt1"/>
          </a:solidFill>
          <a:ln w="19050">
            <a:solidFill>
              <a:schemeClr val="accent1"/>
            </a:solidFill>
          </a:ln>
          <a:effectLst/>
        </c:spPr>
        <c:dLbl>
          <c:idx val="0"/>
          <c:layout>
            <c:manualLayout>
              <c:x val="-0.23654194444444451"/>
              <c:y val="-0.17337138888888889"/>
            </c:manualLayout>
          </c:layout>
          <c:spPr>
            <a:noFill/>
            <a:ln>
              <a:noFill/>
            </a:ln>
            <a:effectLst/>
          </c:spPr>
          <c:txPr>
            <a:bodyPr rot="0" spcFirstLastPara="1" vertOverflow="ellipsis" vert="horz" wrap="square" lIns="38100" tIns="19050" rIns="38100" bIns="19050" anchor="ctr" anchorCtr="1">
              <a:noAutofit/>
            </a:bodyPr>
            <a:lstStyle/>
            <a:p>
              <a:pPr>
                <a:defRPr sz="900" b="1" i="0" u="none" strike="noStrike" kern="1200" baseline="0">
                  <a:solidFill>
                    <a:schemeClr val="accent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layout>
                <c:manualLayout>
                  <c:w val="0.25435277777777776"/>
                  <c:h val="0.24662722222222219"/>
                </c:manualLayout>
              </c15:layout>
            </c:ext>
          </c:extLst>
        </c:dLbl>
      </c:pivotFmt>
      <c:pivotFmt>
        <c:idx val="2"/>
        <c:spPr>
          <a:solidFill>
            <a:schemeClr val="lt1"/>
          </a:solidFill>
          <a:ln w="19050">
            <a:solidFill>
              <a:schemeClr val="accen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1"/>
                  </a:solidFill>
                  <a:latin typeface="+mn-lt"/>
                  <a:ea typeface="+mn-ea"/>
                  <a:cs typeface="+mn-cs"/>
                </a:defRPr>
              </a:pPr>
              <a:endParaRPr lang="en-US"/>
            </a:p>
          </c:txPr>
          <c:dLblPos val="inEnd"/>
          <c:showLegendKey val="0"/>
          <c:showVal val="0"/>
          <c:showCatName val="1"/>
          <c:showSerName val="0"/>
          <c:showPercent val="1"/>
          <c:showBubbleSize val="0"/>
          <c:extLst>
            <c:ext xmlns:c15="http://schemas.microsoft.com/office/drawing/2012/chart" uri="{CE6537A1-D6FC-4f65-9D91-7224C49458BB}"/>
          </c:extLst>
        </c:dLbl>
      </c:pivotFmt>
      <c:pivotFmt>
        <c:idx val="3"/>
        <c:spPr>
          <a:solidFill>
            <a:schemeClr val="lt1"/>
          </a:solidFill>
          <a:ln w="19050">
            <a:solidFill>
              <a:schemeClr val="accent1"/>
            </a:solidFill>
          </a:ln>
          <a:effectLst/>
        </c:spPr>
      </c:pivotFmt>
      <c:pivotFmt>
        <c:idx val="4"/>
        <c:spPr>
          <a:solidFill>
            <a:schemeClr val="lt1"/>
          </a:solidFill>
          <a:ln w="19050">
            <a:solidFill>
              <a:schemeClr val="accent1"/>
            </a:solidFill>
          </a:ln>
          <a:effectLst/>
        </c:spPr>
        <c:dLbl>
          <c:idx val="0"/>
          <c:layout>
            <c:manualLayout>
              <c:x val="-0.23654194444444451"/>
              <c:y val="-0.17337138888888889"/>
            </c:manualLayout>
          </c:layout>
          <c:spPr>
            <a:noFill/>
            <a:ln>
              <a:noFill/>
            </a:ln>
            <a:effectLst/>
          </c:spPr>
          <c:txPr>
            <a:bodyPr rot="0" spcFirstLastPara="1" vertOverflow="ellipsis" vert="horz" wrap="square" lIns="38100" tIns="19050" rIns="38100" bIns="19050" anchor="ctr" anchorCtr="1">
              <a:noAutofit/>
            </a:bodyPr>
            <a:lstStyle/>
            <a:p>
              <a:pPr>
                <a:defRPr sz="900" b="1" i="0" u="none" strike="noStrike" kern="1200" baseline="0">
                  <a:solidFill>
                    <a:schemeClr val="accent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layout>
                <c:manualLayout>
                  <c:w val="0.25435277777777776"/>
                  <c:h val="0.24662722222222219"/>
                </c:manualLayout>
              </c15:layout>
            </c:ext>
          </c:extLst>
        </c:dLbl>
      </c:pivotFmt>
      <c:pivotFmt>
        <c:idx val="5"/>
        <c:spPr>
          <a:solidFill>
            <a:schemeClr val="lt1"/>
          </a:solidFill>
          <a:ln w="19050">
            <a:solidFill>
              <a:schemeClr val="accent1"/>
            </a:solidFill>
          </a:ln>
          <a:effectLst/>
        </c:spPr>
      </c:pivotFmt>
      <c:pivotFmt>
        <c:idx val="6"/>
        <c:spPr>
          <a:solidFill>
            <a:schemeClr val="lt1"/>
          </a:solidFill>
          <a:ln w="19050">
            <a:solidFill>
              <a:schemeClr val="accent1"/>
            </a:solidFill>
          </a:ln>
          <a:effectLst/>
        </c:spPr>
      </c:pivotFmt>
      <c:pivotFmt>
        <c:idx val="7"/>
        <c:spPr>
          <a:solidFill>
            <a:schemeClr val="lt1"/>
          </a:solidFill>
          <a:ln w="19050">
            <a:solidFill>
              <a:schemeClr val="accen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1"/>
                  </a:solidFill>
                  <a:latin typeface="+mn-lt"/>
                  <a:ea typeface="+mn-ea"/>
                  <a:cs typeface="+mn-cs"/>
                </a:defRPr>
              </a:pPr>
              <a:endParaRPr lang="en-US"/>
            </a:p>
          </c:txPr>
          <c:dLblPos val="inEnd"/>
          <c:showLegendKey val="0"/>
          <c:showVal val="0"/>
          <c:showCatName val="1"/>
          <c:showSerName val="0"/>
          <c:showPercent val="1"/>
          <c:showBubbleSize val="0"/>
          <c:extLst>
            <c:ext xmlns:c15="http://schemas.microsoft.com/office/drawing/2012/chart" uri="{CE6537A1-D6FC-4f65-9D91-7224C49458BB}"/>
          </c:extLst>
        </c:dLbl>
      </c:pivotFmt>
      <c:pivotFmt>
        <c:idx val="8"/>
        <c:spPr>
          <a:noFill/>
          <a:ln w="19050">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1"/>
                  </a:solidFill>
                  <a:latin typeface="+mn-lt"/>
                  <a:ea typeface="+mn-ea"/>
                  <a:cs typeface="+mn-cs"/>
                </a:defRPr>
              </a:pPr>
              <a:endParaRPr lang="en-US"/>
            </a:p>
          </c:txPr>
          <c:dLblPos val="inEnd"/>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lt1"/>
          </a:solidFill>
          <a:ln w="19050">
            <a:solidFill>
              <a:schemeClr val="accent1"/>
            </a:solidFill>
          </a:ln>
          <a:effectLst/>
        </c:spPr>
        <c:dLbl>
          <c:idx val="0"/>
          <c:spPr>
            <a:noFill/>
            <a:ln>
              <a:noFill/>
            </a:ln>
            <a:effectLst/>
          </c:spPr>
          <c:txPr>
            <a:bodyPr rot="0" spcFirstLastPara="1" vertOverflow="ellipsis" vert="horz" wrap="square" lIns="38100" tIns="19050" rIns="38100" bIns="19050" anchor="ctr" anchorCtr="1">
              <a:noAutofit/>
            </a:bodyPr>
            <a:lstStyle/>
            <a:p>
              <a:pPr>
                <a:defRPr sz="900" b="1" i="0" u="none" strike="noStrike" kern="1200" baseline="0">
                  <a:solidFill>
                    <a:schemeClr val="accent1"/>
                  </a:solidFill>
                  <a:latin typeface="+mn-lt"/>
                  <a:ea typeface="+mn-ea"/>
                  <a:cs typeface="+mn-cs"/>
                </a:defRPr>
              </a:pPr>
              <a:endParaRPr lang="en-US"/>
            </a:p>
          </c:txPr>
          <c:dLblPos val="inEnd"/>
          <c:showLegendKey val="0"/>
          <c:showVal val="0"/>
          <c:showCatName val="1"/>
          <c:showSerName val="0"/>
          <c:showPercent val="1"/>
          <c:showBubbleSize val="0"/>
          <c:extLst>
            <c:ext xmlns:c15="http://schemas.microsoft.com/office/drawing/2012/chart" uri="{CE6537A1-D6FC-4f65-9D91-7224C49458BB}">
              <c15:layout>
                <c:manualLayout>
                  <c:w val="0.23318611111111112"/>
                  <c:h val="0.24662722222222219"/>
                </c:manualLayout>
              </c15:layout>
            </c:ext>
          </c:extLst>
        </c:dLbl>
      </c:pivotFmt>
      <c:pivotFmt>
        <c:idx val="10"/>
        <c:spPr>
          <a:noFill/>
          <a:ln w="19050">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1"/>
                  </a:solidFill>
                  <a:latin typeface="+mn-lt"/>
                  <a:ea typeface="+mn-ea"/>
                  <a:cs typeface="+mn-cs"/>
                </a:defRPr>
              </a:pPr>
              <a:endParaRPr lang="en-US"/>
            </a:p>
          </c:txPr>
          <c:dLblPos val="inEnd"/>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lt1"/>
          </a:solidFill>
          <a:ln w="19050">
            <a:solidFill>
              <a:schemeClr val="accent1"/>
            </a:solidFill>
          </a:ln>
          <a:effectLst/>
        </c:spPr>
      </c:pivotFmt>
    </c:pivotFmts>
    <c:plotArea>
      <c:layout/>
      <c:pieChart>
        <c:varyColors val="1"/>
        <c:ser>
          <c:idx val="0"/>
          <c:order val="0"/>
          <c:tx>
            <c:strRef>
              <c:f>Pivot_1!$F$12</c:f>
              <c:strCache>
                <c:ptCount val="1"/>
                <c:pt idx="0">
                  <c:v>Total</c:v>
                </c:pt>
              </c:strCache>
            </c:strRef>
          </c:tx>
          <c:spPr>
            <a:solidFill>
              <a:schemeClr val="lt1"/>
            </a:solidFill>
            <a:ln w="19050">
              <a:solidFill>
                <a:schemeClr val="accent1"/>
              </a:solidFill>
            </a:ln>
            <a:effectLst/>
          </c:spPr>
          <c:dPt>
            <c:idx val="0"/>
            <c:bubble3D val="0"/>
            <c:spPr>
              <a:noFill/>
              <a:ln w="19050">
                <a:noFill/>
              </a:ln>
              <a:effectLst/>
            </c:spPr>
            <c:extLst>
              <c:ext xmlns:c16="http://schemas.microsoft.com/office/drawing/2014/chart" uri="{C3380CC4-5D6E-409C-BE32-E72D297353CC}">
                <c16:uniqueId val="{00000001-B9AA-4D17-954D-7F8169D7D184}"/>
              </c:ext>
            </c:extLst>
          </c:dPt>
          <c:dPt>
            <c:idx val="1"/>
            <c:bubble3D val="0"/>
            <c:spPr>
              <a:solidFill>
                <a:schemeClr val="lt1"/>
              </a:solidFill>
              <a:ln w="19050">
                <a:solidFill>
                  <a:schemeClr val="accent1"/>
                </a:solidFill>
              </a:ln>
              <a:effectLst/>
            </c:spPr>
            <c:extLst>
              <c:ext xmlns:c16="http://schemas.microsoft.com/office/drawing/2014/chart" uri="{C3380CC4-5D6E-409C-BE32-E72D297353CC}">
                <c16:uniqueId val="{00000003-B9AA-4D17-954D-7F8169D7D184}"/>
              </c:ext>
            </c:extLst>
          </c:dPt>
          <c:dPt>
            <c:idx val="2"/>
            <c:bubble3D val="0"/>
            <c:spPr>
              <a:noFill/>
              <a:ln w="19050">
                <a:noFill/>
              </a:ln>
              <a:effectLst/>
            </c:spPr>
            <c:extLst>
              <c:ext xmlns:c16="http://schemas.microsoft.com/office/drawing/2014/chart" uri="{C3380CC4-5D6E-409C-BE32-E72D297353CC}">
                <c16:uniqueId val="{00000005-B9AA-4D17-954D-7F8169D7D184}"/>
              </c:ext>
            </c:extLst>
          </c:dPt>
          <c:dPt>
            <c:idx val="3"/>
            <c:bubble3D val="0"/>
            <c:spPr>
              <a:solidFill>
                <a:schemeClr val="lt1"/>
              </a:solidFill>
              <a:ln w="19050">
                <a:solidFill>
                  <a:schemeClr val="accent1"/>
                </a:solidFill>
              </a:ln>
              <a:effectLst/>
            </c:spPr>
            <c:extLst>
              <c:ext xmlns:c16="http://schemas.microsoft.com/office/drawing/2014/chart" uri="{C3380CC4-5D6E-409C-BE32-E72D297353CC}">
                <c16:uniqueId val="{00000007-B9AA-4D17-954D-7F8169D7D184}"/>
              </c:ext>
            </c:extLst>
          </c:dPt>
          <c:dLbls>
            <c:dLbl>
              <c:idx val="0"/>
              <c:delete val="1"/>
              <c:extLst>
                <c:ext xmlns:c15="http://schemas.microsoft.com/office/drawing/2012/chart" uri="{CE6537A1-D6FC-4f65-9D91-7224C49458BB}"/>
                <c:ext xmlns:c16="http://schemas.microsoft.com/office/drawing/2014/chart" uri="{C3380CC4-5D6E-409C-BE32-E72D297353CC}">
                  <c16:uniqueId val="{00000001-B9AA-4D17-954D-7F8169D7D184}"/>
                </c:ext>
              </c:extLst>
            </c:dLbl>
            <c:dLbl>
              <c:idx val="1"/>
              <c:spPr>
                <a:noFill/>
                <a:ln>
                  <a:noFill/>
                </a:ln>
                <a:effectLst/>
              </c:spPr>
              <c:txPr>
                <a:bodyPr rot="0" spcFirstLastPara="1" vertOverflow="ellipsis" vert="horz" wrap="square" lIns="38100" tIns="19050" rIns="38100" bIns="19050" anchor="ctr" anchorCtr="1">
                  <a:noAutofit/>
                </a:bodyPr>
                <a:lstStyle/>
                <a:p>
                  <a:pPr>
                    <a:defRPr sz="900" b="1" i="0" u="none" strike="noStrike" kern="1200" baseline="0">
                      <a:solidFill>
                        <a:schemeClr val="accent1"/>
                      </a:solidFill>
                      <a:latin typeface="+mn-lt"/>
                      <a:ea typeface="+mn-ea"/>
                      <a:cs typeface="+mn-cs"/>
                    </a:defRPr>
                  </a:pPr>
                  <a:endParaRPr lang="en-US"/>
                </a:p>
              </c:txPr>
              <c:dLblPos val="inEnd"/>
              <c:showLegendKey val="0"/>
              <c:showVal val="0"/>
              <c:showCatName val="1"/>
              <c:showSerName val="0"/>
              <c:showPercent val="1"/>
              <c:showBubbleSize val="0"/>
              <c:extLst>
                <c:ext xmlns:c15="http://schemas.microsoft.com/office/drawing/2012/chart" uri="{CE6537A1-D6FC-4f65-9D91-7224C49458BB}">
                  <c15:layout>
                    <c:manualLayout>
                      <c:w val="0.23318611111111112"/>
                      <c:h val="0.24662722222222219"/>
                    </c:manualLayout>
                  </c15:layout>
                </c:ext>
                <c:ext xmlns:c16="http://schemas.microsoft.com/office/drawing/2014/chart" uri="{C3380CC4-5D6E-409C-BE32-E72D297353CC}">
                  <c16:uniqueId val="{00000003-B9AA-4D17-954D-7F8169D7D184}"/>
                </c:ext>
              </c:extLst>
            </c:dLbl>
            <c:dLbl>
              <c:idx val="2"/>
              <c:delete val="1"/>
              <c:extLst>
                <c:ext xmlns:c15="http://schemas.microsoft.com/office/drawing/2012/chart" uri="{CE6537A1-D6FC-4f65-9D91-7224C49458BB}"/>
                <c:ext xmlns:c16="http://schemas.microsoft.com/office/drawing/2014/chart" uri="{C3380CC4-5D6E-409C-BE32-E72D297353CC}">
                  <c16:uniqueId val="{00000005-B9AA-4D17-954D-7F8169D7D184}"/>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1"/>
                    </a:solidFill>
                    <a:latin typeface="+mn-lt"/>
                    <a:ea typeface="+mn-ea"/>
                    <a:cs typeface="+mn-cs"/>
                  </a:defRPr>
                </a:pPr>
                <a:endParaRPr lang="en-US"/>
              </a:p>
            </c:txPr>
            <c:dLblPos val="inEnd"/>
            <c:showLegendKey val="0"/>
            <c:showVal val="0"/>
            <c:showCatName val="1"/>
            <c:showSerName val="0"/>
            <c:showPercent val="1"/>
            <c:showBubbleSize val="0"/>
            <c:showLeaderLines val="1"/>
            <c:leaderLines>
              <c:spPr>
                <a:ln w="9525">
                  <a:solidFill>
                    <a:schemeClr val="accent1">
                      <a:lumMod val="60000"/>
                      <a:lumOff val="40000"/>
                    </a:schemeClr>
                  </a:solidFill>
                </a:ln>
                <a:effectLst/>
              </c:spPr>
            </c:leaderLines>
            <c:extLst>
              <c:ext xmlns:c15="http://schemas.microsoft.com/office/drawing/2012/chart" uri="{CE6537A1-D6FC-4f65-9D91-7224C49458BB}"/>
            </c:extLst>
          </c:dLbls>
          <c:cat>
            <c:strRef>
              <c:f>Pivot_1!$E$13:$E$17</c:f>
              <c:strCache>
                <c:ptCount val="4"/>
                <c:pt idx="0">
                  <c:v>Alice</c:v>
                </c:pt>
                <c:pt idx="1">
                  <c:v>Barney</c:v>
                </c:pt>
                <c:pt idx="2">
                  <c:v>Carol</c:v>
                </c:pt>
                <c:pt idx="3">
                  <c:v>David</c:v>
                </c:pt>
              </c:strCache>
            </c:strRef>
          </c:cat>
          <c:val>
            <c:numRef>
              <c:f>Pivot_1!$F$13:$F$17</c:f>
              <c:numCache>
                <c:formatCode>0.00%</c:formatCode>
                <c:ptCount val="4"/>
                <c:pt idx="0">
                  <c:v>0.24380804522868846</c:v>
                </c:pt>
                <c:pt idx="1">
                  <c:v>0.26413823813837561</c:v>
                </c:pt>
                <c:pt idx="2">
                  <c:v>0.23699816343964072</c:v>
                </c:pt>
                <c:pt idx="3">
                  <c:v>0.2550555531932952</c:v>
                </c:pt>
              </c:numCache>
            </c:numRef>
          </c:val>
          <c:extLst>
            <c:ext xmlns:c16="http://schemas.microsoft.com/office/drawing/2014/chart" uri="{C3380CC4-5D6E-409C-BE32-E72D297353CC}">
              <c16:uniqueId val="{00000008-B9AA-4D17-954D-7F8169D7D184}"/>
            </c:ext>
          </c:extLst>
        </c:ser>
        <c:dLbls>
          <c:dLblPos val="inEnd"/>
          <c:showLegendKey val="0"/>
          <c:showVal val="0"/>
          <c:showCatName val="1"/>
          <c:showSerName val="0"/>
          <c:showPercent val="1"/>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[Excel_Dashboard_1.xlsm]Pivot_1!PivotTable3</c:name>
    <c:fmtId val="4"/>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rgbClr val="92D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Pivot_1!$B$25</c:f>
              <c:strCache>
                <c:ptCount val="1"/>
                <c:pt idx="0">
                  <c:v>Sum of Sales Amount ($)</c:v>
                </c:pt>
              </c:strCache>
            </c:strRef>
          </c:tx>
          <c:spPr>
            <a:solidFill>
              <a:srgbClr val="92D050"/>
            </a:solidFill>
            <a:ln>
              <a:noFill/>
            </a:ln>
            <a:effectLst/>
          </c:spPr>
          <c:cat>
            <c:strRef>
              <c:f>Pivot_1!$A$26:$A$57</c:f>
              <c:strCach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strCache>
            </c:strRef>
          </c:cat>
          <c:val>
            <c:numRef>
              <c:f>Pivot_1!$B$26:$B$57</c:f>
              <c:numCache>
                <c:formatCode>General</c:formatCode>
                <c:ptCount val="31"/>
                <c:pt idx="0">
                  <c:v>14883</c:v>
                </c:pt>
                <c:pt idx="1">
                  <c:v>15539</c:v>
                </c:pt>
                <c:pt idx="2">
                  <c:v>12707</c:v>
                </c:pt>
                <c:pt idx="3">
                  <c:v>15074</c:v>
                </c:pt>
                <c:pt idx="4">
                  <c:v>17198</c:v>
                </c:pt>
                <c:pt idx="5">
                  <c:v>12568</c:v>
                </c:pt>
                <c:pt idx="6">
                  <c:v>13381</c:v>
                </c:pt>
                <c:pt idx="7">
                  <c:v>16149</c:v>
                </c:pt>
                <c:pt idx="8">
                  <c:v>15012</c:v>
                </c:pt>
                <c:pt idx="9">
                  <c:v>17762</c:v>
                </c:pt>
                <c:pt idx="10">
                  <c:v>15674</c:v>
                </c:pt>
                <c:pt idx="11">
                  <c:v>16568</c:v>
                </c:pt>
                <c:pt idx="12">
                  <c:v>12414</c:v>
                </c:pt>
                <c:pt idx="13">
                  <c:v>15618</c:v>
                </c:pt>
                <c:pt idx="14">
                  <c:v>15724</c:v>
                </c:pt>
                <c:pt idx="15">
                  <c:v>13177</c:v>
                </c:pt>
                <c:pt idx="16">
                  <c:v>15378</c:v>
                </c:pt>
                <c:pt idx="17">
                  <c:v>16759</c:v>
                </c:pt>
                <c:pt idx="18">
                  <c:v>6222</c:v>
                </c:pt>
                <c:pt idx="19">
                  <c:v>13710</c:v>
                </c:pt>
                <c:pt idx="20">
                  <c:v>13242</c:v>
                </c:pt>
                <c:pt idx="21">
                  <c:v>15319</c:v>
                </c:pt>
                <c:pt idx="22">
                  <c:v>14696</c:v>
                </c:pt>
                <c:pt idx="23">
                  <c:v>10607</c:v>
                </c:pt>
                <c:pt idx="24">
                  <c:v>15468</c:v>
                </c:pt>
                <c:pt idx="25">
                  <c:v>15583</c:v>
                </c:pt>
                <c:pt idx="26">
                  <c:v>12433</c:v>
                </c:pt>
                <c:pt idx="27">
                  <c:v>17721</c:v>
                </c:pt>
                <c:pt idx="28">
                  <c:v>11466</c:v>
                </c:pt>
                <c:pt idx="29">
                  <c:v>9616</c:v>
                </c:pt>
                <c:pt idx="30">
                  <c:v>13854</c:v>
                </c:pt>
              </c:numCache>
            </c:numRef>
          </c:val>
          <c:extLst>
            <c:ext xmlns:c16="http://schemas.microsoft.com/office/drawing/2014/chart" uri="{C3380CC4-5D6E-409C-BE32-E72D297353CC}">
              <c16:uniqueId val="{00000000-6E8B-4297-A2B9-0296E427E88D}"/>
            </c:ext>
          </c:extLst>
        </c:ser>
        <c:dLbls>
          <c:showLegendKey val="0"/>
          <c:showVal val="0"/>
          <c:showCatName val="0"/>
          <c:showSerName val="0"/>
          <c:showPercent val="0"/>
          <c:showBubbleSize val="0"/>
        </c:dLbls>
        <c:axId val="935138384"/>
        <c:axId val="935116304"/>
      </c:areaChart>
      <c:lineChart>
        <c:grouping val="standard"/>
        <c:varyColors val="0"/>
        <c:ser>
          <c:idx val="1"/>
          <c:order val="1"/>
          <c:tx>
            <c:strRef>
              <c:f>Pivot_1!$C$25</c:f>
              <c:strCache>
                <c:ptCount val="1"/>
                <c:pt idx="0">
                  <c:v>Sum of Transaction Amount</c:v>
                </c:pt>
              </c:strCache>
            </c:strRef>
          </c:tx>
          <c:spPr>
            <a:ln w="28575" cap="rnd">
              <a:solidFill>
                <a:schemeClr val="accent2"/>
              </a:solidFill>
              <a:round/>
            </a:ln>
            <a:effectLst/>
          </c:spPr>
          <c:marker>
            <c:symbol val="none"/>
          </c:marker>
          <c:cat>
            <c:strRef>
              <c:f>Pivot_1!$A$26:$A$57</c:f>
              <c:strCach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strCache>
            </c:strRef>
          </c:cat>
          <c:val>
            <c:numRef>
              <c:f>Pivot_1!$C$26:$C$57</c:f>
              <c:numCache>
                <c:formatCode>0</c:formatCode>
                <c:ptCount val="31"/>
                <c:pt idx="0">
                  <c:v>1073.5711330909737</c:v>
                </c:pt>
                <c:pt idx="1">
                  <c:v>1375.5717658862504</c:v>
                </c:pt>
                <c:pt idx="2">
                  <c:v>724.14661121575182</c:v>
                </c:pt>
                <c:pt idx="3">
                  <c:v>1283.9456928478405</c:v>
                </c:pt>
                <c:pt idx="4">
                  <c:v>1404.710280415688</c:v>
                </c:pt>
                <c:pt idx="5">
                  <c:v>1080.8096232540599</c:v>
                </c:pt>
                <c:pt idx="6">
                  <c:v>1209.2335873024945</c:v>
                </c:pt>
                <c:pt idx="7">
                  <c:v>1286.1702498559669</c:v>
                </c:pt>
                <c:pt idx="8">
                  <c:v>1278.7228382379437</c:v>
                </c:pt>
                <c:pt idx="9">
                  <c:v>1440.1022711394958</c:v>
                </c:pt>
                <c:pt idx="10">
                  <c:v>1266.3856402027097</c:v>
                </c:pt>
                <c:pt idx="11">
                  <c:v>1195.7850082299508</c:v>
                </c:pt>
                <c:pt idx="12">
                  <c:v>1206.3617157352337</c:v>
                </c:pt>
                <c:pt idx="13">
                  <c:v>1228.5439177990829</c:v>
                </c:pt>
                <c:pt idx="14">
                  <c:v>1970.3543961889209</c:v>
                </c:pt>
                <c:pt idx="15">
                  <c:v>1148.4584555267331</c:v>
                </c:pt>
                <c:pt idx="16">
                  <c:v>954.90963321547224</c:v>
                </c:pt>
                <c:pt idx="17">
                  <c:v>1084.9006740551949</c:v>
                </c:pt>
                <c:pt idx="18">
                  <c:v>403.37730519485177</c:v>
                </c:pt>
                <c:pt idx="19">
                  <c:v>731.90683462952541</c:v>
                </c:pt>
                <c:pt idx="20">
                  <c:v>1010.8501074006668</c:v>
                </c:pt>
                <c:pt idx="21">
                  <c:v>1661.4634035914314</c:v>
                </c:pt>
                <c:pt idx="22">
                  <c:v>1105.6836028122905</c:v>
                </c:pt>
                <c:pt idx="23">
                  <c:v>1096.0696562246812</c:v>
                </c:pt>
                <c:pt idx="24">
                  <c:v>1408.6139532272555</c:v>
                </c:pt>
                <c:pt idx="25">
                  <c:v>1534.5955020246611</c:v>
                </c:pt>
                <c:pt idx="26">
                  <c:v>1548.5136905710795</c:v>
                </c:pt>
                <c:pt idx="27">
                  <c:v>1395.9043114259691</c:v>
                </c:pt>
                <c:pt idx="28">
                  <c:v>933.83836741028529</c:v>
                </c:pt>
                <c:pt idx="29">
                  <c:v>1047.1467769482647</c:v>
                </c:pt>
                <c:pt idx="30">
                  <c:v>1393.9338800300968</c:v>
                </c:pt>
              </c:numCache>
            </c:numRef>
          </c:val>
          <c:smooth val="0"/>
          <c:extLst>
            <c:ext xmlns:c16="http://schemas.microsoft.com/office/drawing/2014/chart" uri="{C3380CC4-5D6E-409C-BE32-E72D297353CC}">
              <c16:uniqueId val="{00000001-6E8B-4297-A2B9-0296E427E88D}"/>
            </c:ext>
          </c:extLst>
        </c:ser>
        <c:dLbls>
          <c:showLegendKey val="0"/>
          <c:showVal val="0"/>
          <c:showCatName val="0"/>
          <c:showSerName val="0"/>
          <c:showPercent val="0"/>
          <c:showBubbleSize val="0"/>
        </c:dLbls>
        <c:marker val="1"/>
        <c:smooth val="0"/>
        <c:axId val="935133104"/>
        <c:axId val="935132624"/>
      </c:lineChart>
      <c:catAx>
        <c:axId val="9351383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935116304"/>
        <c:crosses val="autoZero"/>
        <c:auto val="1"/>
        <c:lblAlgn val="ctr"/>
        <c:lblOffset val="100"/>
        <c:noMultiLvlLbl val="0"/>
      </c:catAx>
      <c:valAx>
        <c:axId val="935116304"/>
        <c:scaling>
          <c:orientation val="minMax"/>
        </c:scaling>
        <c:delete val="0"/>
        <c:axPos val="l"/>
        <c:majorGridlines>
          <c:spPr>
            <a:ln w="9525" cap="flat" cmpd="sng" algn="ctr">
              <a:solidFill>
                <a:schemeClr val="tx1">
                  <a:lumMod val="15000"/>
                  <a:lumOff val="85000"/>
                </a:schemeClr>
              </a:solidFill>
              <a:prstDash val="dash"/>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935138384"/>
        <c:crosses val="autoZero"/>
        <c:crossBetween val="between"/>
        <c:dispUnits>
          <c:builtInUnit val="thousands"/>
          <c:dispUnitsLbl>
            <c:spPr>
              <a:noFill/>
              <a:ln>
                <a:noFill/>
              </a:ln>
              <a:effectLst/>
            </c:spPr>
            <c:txPr>
              <a:bodyPr rot="-5400000" spcFirstLastPara="1" vertOverflow="ellipsis" vert="horz" wrap="square" anchor="ctr" anchorCtr="1"/>
              <a:lstStyle/>
              <a:p>
                <a:pPr>
                  <a:defRPr sz="1000" b="0" i="0" u="none" strike="noStrike" kern="1200" baseline="0">
                    <a:solidFill>
                      <a:schemeClr val="bg1"/>
                    </a:solidFill>
                    <a:latin typeface="+mn-lt"/>
                    <a:ea typeface="+mn-ea"/>
                    <a:cs typeface="+mn-cs"/>
                  </a:defRPr>
                </a:pPr>
                <a:endParaRPr lang="en-US"/>
              </a:p>
            </c:txPr>
          </c:dispUnitsLbl>
        </c:dispUnits>
      </c:valAx>
      <c:valAx>
        <c:axId val="935132624"/>
        <c:scaling>
          <c:orientation val="minMax"/>
        </c:scaling>
        <c:delete val="0"/>
        <c:axPos val="r"/>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935133104"/>
        <c:crosses val="max"/>
        <c:crossBetween val="between"/>
      </c:valAx>
      <c:catAx>
        <c:axId val="935133104"/>
        <c:scaling>
          <c:orientation val="minMax"/>
        </c:scaling>
        <c:delete val="1"/>
        <c:axPos val="b"/>
        <c:numFmt formatCode="General" sourceLinked="1"/>
        <c:majorTickMark val="out"/>
        <c:minorTickMark val="none"/>
        <c:tickLblPos val="nextTo"/>
        <c:crossAx val="935132624"/>
        <c:crosses val="autoZero"/>
        <c:auto val="1"/>
        <c:lblAlgn val="ctr"/>
        <c:lblOffset val="100"/>
        <c:noMultiLvlLbl val="0"/>
      </c:cat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solidFill>
            <a:schemeClr val="bg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[Excel_Dashboard_1.xlsm]Pivot_1!PivotTable8</c:name>
    <c:fmtId val="12"/>
  </c:pivotSource>
  <c:chart>
    <c:autoTitleDeleted val="1"/>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rgbClr val="FFC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Pivot_1!$B$60:$B$61</c:f>
              <c:strCache>
                <c:ptCount val="1"/>
                <c:pt idx="0">
                  <c:v>Games</c:v>
                </c:pt>
              </c:strCache>
            </c:strRef>
          </c:tx>
          <c:spPr>
            <a:ln w="28575" cap="rnd">
              <a:solidFill>
                <a:schemeClr val="accent1"/>
              </a:solidFill>
              <a:round/>
            </a:ln>
            <a:effectLst/>
          </c:spPr>
          <c:marker>
            <c:symbol val="none"/>
          </c:marker>
          <c:cat>
            <c:strRef>
              <c:f>Pivot_1!$A$62:$A$93</c:f>
              <c:strCach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strCache>
            </c:strRef>
          </c:cat>
          <c:val>
            <c:numRef>
              <c:f>Pivot_1!$B$62:$B$93</c:f>
              <c:numCache>
                <c:formatCode>0</c:formatCode>
                <c:ptCount val="31"/>
                <c:pt idx="0">
                  <c:v>197.50052481631428</c:v>
                </c:pt>
                <c:pt idx="1">
                  <c:v>142.17638116425658</c:v>
                </c:pt>
                <c:pt idx="2">
                  <c:v>100.61713369894574</c:v>
                </c:pt>
                <c:pt idx="3">
                  <c:v>33.531914893617021</c:v>
                </c:pt>
                <c:pt idx="4">
                  <c:v>137.20235358725924</c:v>
                </c:pt>
                <c:pt idx="5">
                  <c:v>121.73108330288636</c:v>
                </c:pt>
                <c:pt idx="6">
                  <c:v>52.519491094147583</c:v>
                </c:pt>
                <c:pt idx="7">
                  <c:v>206.74185736016722</c:v>
                </c:pt>
                <c:pt idx="8">
                  <c:v>88.722594729455793</c:v>
                </c:pt>
                <c:pt idx="9">
                  <c:v>139.58570352434759</c:v>
                </c:pt>
                <c:pt idx="10">
                  <c:v>73.101887540074216</c:v>
                </c:pt>
                <c:pt idx="11">
                  <c:v>95.980019980019989</c:v>
                </c:pt>
                <c:pt idx="12">
                  <c:v>107.0370879120879</c:v>
                </c:pt>
                <c:pt idx="13">
                  <c:v>160.12587519025874</c:v>
                </c:pt>
                <c:pt idx="14">
                  <c:v>28.571428571428573</c:v>
                </c:pt>
                <c:pt idx="15">
                  <c:v>74.474229437431489</c:v>
                </c:pt>
                <c:pt idx="16">
                  <c:v>139.90923095972963</c:v>
                </c:pt>
                <c:pt idx="17">
                  <c:v>181.76592280958479</c:v>
                </c:pt>
                <c:pt idx="18">
                  <c:v>42.686309372618744</c:v>
                </c:pt>
                <c:pt idx="19">
                  <c:v>153.50569102284788</c:v>
                </c:pt>
                <c:pt idx="20">
                  <c:v>47.913801884390118</c:v>
                </c:pt>
                <c:pt idx="21">
                  <c:v>71.361990950226243</c:v>
                </c:pt>
                <c:pt idx="22">
                  <c:v>155.59430255701241</c:v>
                </c:pt>
                <c:pt idx="23">
                  <c:v>55.137931034482762</c:v>
                </c:pt>
                <c:pt idx="24">
                  <c:v>170.30219780219781</c:v>
                </c:pt>
                <c:pt idx="25">
                  <c:v>62.393777246236262</c:v>
                </c:pt>
                <c:pt idx="26">
                  <c:v>114.29839334107626</c:v>
                </c:pt>
                <c:pt idx="27">
                  <c:v>166.16176948746471</c:v>
                </c:pt>
                <c:pt idx="28">
                  <c:v>35.27272727272728</c:v>
                </c:pt>
                <c:pt idx="29">
                  <c:v>92.210525260625502</c:v>
                </c:pt>
                <c:pt idx="30">
                  <c:v>90.997686524002305</c:v>
                </c:pt>
              </c:numCache>
            </c:numRef>
          </c:val>
          <c:smooth val="0"/>
          <c:extLst>
            <c:ext xmlns:c16="http://schemas.microsoft.com/office/drawing/2014/chart" uri="{C3380CC4-5D6E-409C-BE32-E72D297353CC}">
              <c16:uniqueId val="{00000000-48F5-4EDA-A28E-68C4C4FACFB4}"/>
            </c:ext>
          </c:extLst>
        </c:ser>
        <c:dLbls>
          <c:showLegendKey val="0"/>
          <c:showVal val="0"/>
          <c:showCatName val="0"/>
          <c:showSerName val="0"/>
          <c:showPercent val="0"/>
          <c:showBubbleSize val="0"/>
        </c:dLbls>
        <c:hiLowLines>
          <c:spPr>
            <a:ln w="9525" cap="flat" cmpd="sng" algn="ctr">
              <a:solidFill>
                <a:schemeClr val="tx1">
                  <a:lumMod val="75000"/>
                  <a:lumOff val="25000"/>
                </a:schemeClr>
              </a:solidFill>
              <a:round/>
            </a:ln>
            <a:effectLst/>
          </c:spPr>
        </c:hiLowLines>
        <c:smooth val="0"/>
        <c:axId val="1190559632"/>
        <c:axId val="1190554352"/>
      </c:lineChart>
      <c:catAx>
        <c:axId val="11905596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190554352"/>
        <c:crosses val="autoZero"/>
        <c:auto val="1"/>
        <c:lblAlgn val="ctr"/>
        <c:lblOffset val="100"/>
        <c:noMultiLvlLbl val="0"/>
      </c:catAx>
      <c:valAx>
        <c:axId val="1190554352"/>
        <c:scaling>
          <c:orientation val="minMax"/>
        </c:scaling>
        <c:delete val="0"/>
        <c:axPos val="l"/>
        <c:majorGridlines>
          <c:spPr>
            <a:ln w="9525" cap="flat" cmpd="sng" algn="ctr">
              <a:solidFill>
                <a:schemeClr val="bg1">
                  <a:lumMod val="95000"/>
                </a:schemeClr>
              </a:solidFill>
              <a:prstDash val="dash"/>
              <a:round/>
            </a:ln>
            <a:effectLst/>
          </c:spPr>
        </c:majorGridlines>
        <c:title>
          <c:tx>
            <c:rich>
              <a:bodyPr rot="-5400000" spcFirstLastPara="1" vertOverflow="ellipsis" vert="horz" wrap="square" anchor="ctr" anchorCtr="1"/>
              <a:lstStyle/>
              <a:p>
                <a:pPr>
                  <a:defRPr sz="1000" b="0" i="0" u="none" strike="noStrike" kern="1200" baseline="0">
                    <a:solidFill>
                      <a:schemeClr val="bg1"/>
                    </a:solidFill>
                    <a:latin typeface="+mn-lt"/>
                    <a:ea typeface="+mn-ea"/>
                    <a:cs typeface="+mn-cs"/>
                  </a:defRPr>
                </a:pPr>
                <a:r>
                  <a:rPr lang="tr-TR"/>
                  <a:t>Games</a:t>
                </a:r>
                <a:r>
                  <a:rPr lang="tr-TR" baseline="0"/>
                  <a:t> Transactions</a:t>
                </a:r>
                <a:endParaRPr lang="en-US"/>
              </a:p>
            </c:rich>
          </c:tx>
          <c:layout>
            <c:manualLayout>
              <c:xMode val="edge"/>
              <c:yMode val="edge"/>
              <c:x val="0.94956018518518504"/>
              <c:y val="5.5790950376869517E-3"/>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bg1"/>
                  </a:solidFill>
                  <a:latin typeface="+mn-lt"/>
                  <a:ea typeface="+mn-ea"/>
                  <a:cs typeface="+mn-cs"/>
                </a:defRPr>
              </a:pPr>
              <a:endParaRPr lang="en-US"/>
            </a:p>
          </c:txPr>
        </c:title>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190559632"/>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solidFill>
            <a:schemeClr val="bg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[Excel_Dashboard_1.xlsm]Pivot_2!PivotTable9</c:name>
    <c:fmtId val="3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rgbClr val="FF0000"/>
          </a:solidFill>
          <a:ln>
            <a:noFill/>
          </a:ln>
          <a:effectLst/>
        </c:spPr>
      </c:pivotFmt>
      <c:pivotFmt>
        <c:idx val="7"/>
        <c:spPr>
          <a:ln w="28575" cap="rnd">
            <a:solidFill>
              <a:schemeClr val="accent2"/>
            </a:solidFill>
            <a:round/>
          </a:ln>
          <a:effectLst/>
        </c:spPr>
        <c:marker>
          <c:symbol val="none"/>
        </c:marker>
      </c:pivotFmt>
    </c:pivotFmts>
    <c:plotArea>
      <c:layout/>
      <c:barChart>
        <c:barDir val="col"/>
        <c:grouping val="clustered"/>
        <c:varyColors val="0"/>
        <c:ser>
          <c:idx val="0"/>
          <c:order val="0"/>
          <c:tx>
            <c:strRef>
              <c:f>Pivot_2!$B$15</c:f>
              <c:strCache>
                <c:ptCount val="1"/>
                <c:pt idx="0">
                  <c:v>Sum of Transaction Amount</c:v>
                </c:pt>
              </c:strCache>
            </c:strRef>
          </c:tx>
          <c:spPr>
            <a:solidFill>
              <a:schemeClr val="accent1"/>
            </a:solidFill>
            <a:ln>
              <a:noFill/>
            </a:ln>
            <a:effectLst/>
          </c:spPr>
          <c:invertIfNegative val="0"/>
          <c:dPt>
            <c:idx val="2"/>
            <c:invertIfNegative val="0"/>
            <c:bubble3D val="0"/>
            <c:spPr>
              <a:solidFill>
                <a:srgbClr val="FF0000"/>
              </a:solidFill>
              <a:ln>
                <a:noFill/>
              </a:ln>
              <a:effectLst/>
            </c:spPr>
            <c:extLst>
              <c:ext xmlns:c16="http://schemas.microsoft.com/office/drawing/2014/chart" uri="{C3380CC4-5D6E-409C-BE32-E72D297353CC}">
                <c16:uniqueId val="{00000002-50CE-4EAD-810F-C019B6EB5354}"/>
              </c:ext>
            </c:extLst>
          </c:dPt>
          <c:cat>
            <c:strRef>
              <c:f>Pivot_2!$A$16:$A$20</c:f>
              <c:strCache>
                <c:ptCount val="4"/>
                <c:pt idx="0">
                  <c:v>Books</c:v>
                </c:pt>
                <c:pt idx="1">
                  <c:v>Clothing</c:v>
                </c:pt>
                <c:pt idx="2">
                  <c:v>Games</c:v>
                </c:pt>
                <c:pt idx="3">
                  <c:v>Music</c:v>
                </c:pt>
              </c:strCache>
            </c:strRef>
          </c:cat>
          <c:val>
            <c:numRef>
              <c:f>Pivot_2!$B$16:$B$20</c:f>
              <c:numCache>
                <c:formatCode>0.00%</c:formatCode>
                <c:ptCount val="4"/>
                <c:pt idx="0">
                  <c:v>0.2017626842299359</c:v>
                </c:pt>
                <c:pt idx="1">
                  <c:v>0.11233548263058708</c:v>
                </c:pt>
                <c:pt idx="2">
                  <c:v>8.908014296626654E-2</c:v>
                </c:pt>
                <c:pt idx="3">
                  <c:v>0.59682169017321063</c:v>
                </c:pt>
              </c:numCache>
            </c:numRef>
          </c:val>
          <c:extLst>
            <c:ext xmlns:c16="http://schemas.microsoft.com/office/drawing/2014/chart" uri="{C3380CC4-5D6E-409C-BE32-E72D297353CC}">
              <c16:uniqueId val="{00000000-50CE-4EAD-810F-C019B6EB5354}"/>
            </c:ext>
          </c:extLst>
        </c:ser>
        <c:dLbls>
          <c:showLegendKey val="0"/>
          <c:showVal val="0"/>
          <c:showCatName val="0"/>
          <c:showSerName val="0"/>
          <c:showPercent val="0"/>
          <c:showBubbleSize val="0"/>
        </c:dLbls>
        <c:gapWidth val="150"/>
        <c:axId val="1287324848"/>
        <c:axId val="1287325808"/>
      </c:barChart>
      <c:lineChart>
        <c:grouping val="standard"/>
        <c:varyColors val="0"/>
        <c:ser>
          <c:idx val="1"/>
          <c:order val="1"/>
          <c:tx>
            <c:strRef>
              <c:f>Pivot_2!$C$15</c:f>
              <c:strCache>
                <c:ptCount val="1"/>
                <c:pt idx="0">
                  <c:v>Sum of Sales Amount ($)</c:v>
                </c:pt>
              </c:strCache>
            </c:strRef>
          </c:tx>
          <c:spPr>
            <a:ln w="28575" cap="rnd">
              <a:solidFill>
                <a:schemeClr val="accent2"/>
              </a:solidFill>
              <a:round/>
            </a:ln>
            <a:effectLst/>
          </c:spPr>
          <c:marker>
            <c:symbol val="none"/>
          </c:marker>
          <c:dPt>
            <c:idx val="2"/>
            <c:marker>
              <c:symbol val="none"/>
            </c:marker>
            <c:bubble3D val="0"/>
            <c:spPr>
              <a:ln w="28575" cap="rnd">
                <a:solidFill>
                  <a:schemeClr val="accent2"/>
                </a:solidFill>
                <a:round/>
              </a:ln>
              <a:effectLst/>
            </c:spPr>
            <c:extLst>
              <c:ext xmlns:c16="http://schemas.microsoft.com/office/drawing/2014/chart" uri="{C3380CC4-5D6E-409C-BE32-E72D297353CC}">
                <c16:uniqueId val="{00000005-50CE-4EAD-810F-C019B6EB5354}"/>
              </c:ext>
            </c:extLst>
          </c:dPt>
          <c:cat>
            <c:strRef>
              <c:f>Pivot_2!$A$16:$A$20</c:f>
              <c:strCache>
                <c:ptCount val="4"/>
                <c:pt idx="0">
                  <c:v>Books</c:v>
                </c:pt>
                <c:pt idx="1">
                  <c:v>Clothing</c:v>
                </c:pt>
                <c:pt idx="2">
                  <c:v>Games</c:v>
                </c:pt>
                <c:pt idx="3">
                  <c:v>Music</c:v>
                </c:pt>
              </c:strCache>
            </c:strRef>
          </c:cat>
          <c:val>
            <c:numRef>
              <c:f>Pivot_2!$C$16:$C$20</c:f>
              <c:numCache>
                <c:formatCode>0.00%</c:formatCode>
                <c:ptCount val="4"/>
                <c:pt idx="0">
                  <c:v>0.15797853787580235</c:v>
                </c:pt>
                <c:pt idx="1">
                  <c:v>0.26412953374916764</c:v>
                </c:pt>
                <c:pt idx="2">
                  <c:v>0.33793106572265935</c:v>
                </c:pt>
                <c:pt idx="3">
                  <c:v>0.23996086265237065</c:v>
                </c:pt>
              </c:numCache>
            </c:numRef>
          </c:val>
          <c:smooth val="0"/>
          <c:extLst>
            <c:ext xmlns:c16="http://schemas.microsoft.com/office/drawing/2014/chart" uri="{C3380CC4-5D6E-409C-BE32-E72D297353CC}">
              <c16:uniqueId val="{00000001-50CE-4EAD-810F-C019B6EB5354}"/>
            </c:ext>
          </c:extLst>
        </c:ser>
        <c:dLbls>
          <c:showLegendKey val="0"/>
          <c:showVal val="0"/>
          <c:showCatName val="0"/>
          <c:showSerName val="0"/>
          <c:showPercent val="0"/>
          <c:showBubbleSize val="0"/>
        </c:dLbls>
        <c:marker val="1"/>
        <c:smooth val="0"/>
        <c:axId val="1287324848"/>
        <c:axId val="1287325808"/>
      </c:lineChart>
      <c:catAx>
        <c:axId val="12873248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287325808"/>
        <c:crosses val="autoZero"/>
        <c:auto val="1"/>
        <c:lblAlgn val="ctr"/>
        <c:lblOffset val="100"/>
        <c:noMultiLvlLbl val="0"/>
      </c:catAx>
      <c:valAx>
        <c:axId val="1287325808"/>
        <c:scaling>
          <c:orientation val="minMax"/>
          <c:max val="0.60000000000000009"/>
        </c:scaling>
        <c:delete val="0"/>
        <c:axPos val="l"/>
        <c:majorGridlines>
          <c:spPr>
            <a:ln w="9525" cap="flat" cmpd="sng" algn="ctr">
              <a:solidFill>
                <a:schemeClr val="tx1">
                  <a:lumMod val="15000"/>
                  <a:lumOff val="85000"/>
                </a:schemeClr>
              </a:solidFill>
              <a:prstDash val="dash"/>
              <a:round/>
            </a:ln>
            <a:effectLst/>
          </c:spPr>
        </c:majorGridlines>
        <c:numFmt formatCode="0%" sourceLinked="0"/>
        <c:majorTickMark val="out"/>
        <c:minorTickMark val="in"/>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287324848"/>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solidFill>
            <a:schemeClr val="bg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spPr>
            <a:solidFill>
              <a:schemeClr val="bg1"/>
            </a:solidFill>
            <a:ln>
              <a:solidFill>
                <a:srgbClr val="00B050">
                  <a:alpha val="25000"/>
                </a:srgbClr>
              </a:solidFill>
            </a:ln>
          </c:spPr>
          <c:dPt>
            <c:idx val="0"/>
            <c:bubble3D val="0"/>
            <c:spPr>
              <a:solidFill>
                <a:schemeClr val="bg1"/>
              </a:solidFill>
              <a:ln w="19050">
                <a:solidFill>
                  <a:srgbClr val="00B050">
                    <a:alpha val="25000"/>
                  </a:srgbClr>
                </a:solidFill>
              </a:ln>
              <a:effectLst/>
            </c:spPr>
            <c:extLst>
              <c:ext xmlns:c16="http://schemas.microsoft.com/office/drawing/2014/chart" uri="{C3380CC4-5D6E-409C-BE32-E72D297353CC}">
                <c16:uniqueId val="{00000001-B115-476E-A578-895C42AEDF62}"/>
              </c:ext>
            </c:extLst>
          </c:dPt>
          <c:dPt>
            <c:idx val="1"/>
            <c:bubble3D val="0"/>
            <c:spPr>
              <a:solidFill>
                <a:schemeClr val="bg1"/>
              </a:solidFill>
              <a:ln w="19050">
                <a:solidFill>
                  <a:srgbClr val="00B050">
                    <a:alpha val="25000"/>
                  </a:srgbClr>
                </a:solidFill>
              </a:ln>
              <a:effectLst/>
            </c:spPr>
            <c:extLst>
              <c:ext xmlns:c16="http://schemas.microsoft.com/office/drawing/2014/chart" uri="{C3380CC4-5D6E-409C-BE32-E72D297353CC}">
                <c16:uniqueId val="{00000003-B115-476E-A578-895C42AEDF62}"/>
              </c:ext>
            </c:extLst>
          </c:dPt>
          <c:dPt>
            <c:idx val="2"/>
            <c:bubble3D val="0"/>
            <c:spPr>
              <a:solidFill>
                <a:schemeClr val="bg1"/>
              </a:solidFill>
              <a:ln w="19050">
                <a:solidFill>
                  <a:srgbClr val="00B050">
                    <a:alpha val="25000"/>
                  </a:srgbClr>
                </a:solidFill>
              </a:ln>
              <a:effectLst/>
            </c:spPr>
            <c:extLst>
              <c:ext xmlns:c16="http://schemas.microsoft.com/office/drawing/2014/chart" uri="{C3380CC4-5D6E-409C-BE32-E72D297353CC}">
                <c16:uniqueId val="{00000005-B115-476E-A578-895C42AEDF62}"/>
              </c:ext>
            </c:extLst>
          </c:dPt>
          <c:dPt>
            <c:idx val="3"/>
            <c:bubble3D val="0"/>
            <c:spPr>
              <a:solidFill>
                <a:schemeClr val="bg1"/>
              </a:solidFill>
              <a:ln w="19050">
                <a:solidFill>
                  <a:srgbClr val="00B050">
                    <a:alpha val="25000"/>
                  </a:srgbClr>
                </a:solidFill>
              </a:ln>
              <a:effectLst/>
            </c:spPr>
            <c:extLst>
              <c:ext xmlns:c16="http://schemas.microsoft.com/office/drawing/2014/chart" uri="{C3380CC4-5D6E-409C-BE32-E72D297353CC}">
                <c16:uniqueId val="{00000007-B115-476E-A578-895C42AEDF62}"/>
              </c:ext>
            </c:extLst>
          </c:dPt>
          <c:dPt>
            <c:idx val="4"/>
            <c:bubble3D val="0"/>
            <c:spPr>
              <a:solidFill>
                <a:schemeClr val="bg1"/>
              </a:solidFill>
              <a:ln w="19050">
                <a:solidFill>
                  <a:srgbClr val="00B050">
                    <a:alpha val="25000"/>
                  </a:srgbClr>
                </a:solidFill>
              </a:ln>
              <a:effectLst/>
            </c:spPr>
            <c:extLst>
              <c:ext xmlns:c16="http://schemas.microsoft.com/office/drawing/2014/chart" uri="{C3380CC4-5D6E-409C-BE32-E72D297353CC}">
                <c16:uniqueId val="{00000009-B115-476E-A578-895C42AEDF62}"/>
              </c:ext>
            </c:extLst>
          </c:dPt>
          <c:dPt>
            <c:idx val="5"/>
            <c:bubble3D val="0"/>
            <c:spPr>
              <a:solidFill>
                <a:schemeClr val="bg1"/>
              </a:solidFill>
              <a:ln w="19050">
                <a:solidFill>
                  <a:srgbClr val="00B050">
                    <a:alpha val="25000"/>
                  </a:srgbClr>
                </a:solidFill>
              </a:ln>
              <a:effectLst/>
            </c:spPr>
            <c:extLst>
              <c:ext xmlns:c16="http://schemas.microsoft.com/office/drawing/2014/chart" uri="{C3380CC4-5D6E-409C-BE32-E72D297353CC}">
                <c16:uniqueId val="{0000000B-B115-476E-A578-895C42AEDF62}"/>
              </c:ext>
            </c:extLst>
          </c:dPt>
          <c:dPt>
            <c:idx val="6"/>
            <c:bubble3D val="0"/>
            <c:spPr>
              <a:solidFill>
                <a:schemeClr val="bg1"/>
              </a:solidFill>
              <a:ln w="19050">
                <a:solidFill>
                  <a:srgbClr val="00B050">
                    <a:alpha val="25000"/>
                  </a:srgbClr>
                </a:solidFill>
              </a:ln>
              <a:effectLst/>
            </c:spPr>
            <c:extLst>
              <c:ext xmlns:c16="http://schemas.microsoft.com/office/drawing/2014/chart" uri="{C3380CC4-5D6E-409C-BE32-E72D297353CC}">
                <c16:uniqueId val="{0000000D-B115-476E-A578-895C42AEDF62}"/>
              </c:ext>
            </c:extLst>
          </c:dPt>
          <c:dPt>
            <c:idx val="7"/>
            <c:bubble3D val="0"/>
            <c:spPr>
              <a:solidFill>
                <a:schemeClr val="bg1"/>
              </a:solidFill>
              <a:ln w="19050">
                <a:solidFill>
                  <a:srgbClr val="00B050">
                    <a:alpha val="25000"/>
                  </a:srgbClr>
                </a:solidFill>
              </a:ln>
              <a:effectLst/>
            </c:spPr>
            <c:extLst>
              <c:ext xmlns:c16="http://schemas.microsoft.com/office/drawing/2014/chart" uri="{C3380CC4-5D6E-409C-BE32-E72D297353CC}">
                <c16:uniqueId val="{0000000F-B115-476E-A578-895C42AEDF62}"/>
              </c:ext>
            </c:extLst>
          </c:dPt>
          <c:dPt>
            <c:idx val="8"/>
            <c:bubble3D val="0"/>
            <c:spPr>
              <a:solidFill>
                <a:schemeClr val="bg1"/>
              </a:solidFill>
              <a:ln w="19050">
                <a:solidFill>
                  <a:srgbClr val="00B050">
                    <a:alpha val="25000"/>
                  </a:srgbClr>
                </a:solidFill>
              </a:ln>
              <a:effectLst/>
            </c:spPr>
            <c:extLst>
              <c:ext xmlns:c16="http://schemas.microsoft.com/office/drawing/2014/chart" uri="{C3380CC4-5D6E-409C-BE32-E72D297353CC}">
                <c16:uniqueId val="{00000011-B115-476E-A578-895C42AEDF62}"/>
              </c:ext>
            </c:extLst>
          </c:dPt>
          <c:dPt>
            <c:idx val="9"/>
            <c:bubble3D val="0"/>
            <c:spPr>
              <a:solidFill>
                <a:schemeClr val="bg1"/>
              </a:solidFill>
              <a:ln w="19050">
                <a:solidFill>
                  <a:srgbClr val="00B050">
                    <a:alpha val="25000"/>
                  </a:srgbClr>
                </a:solidFill>
              </a:ln>
              <a:effectLst/>
            </c:spPr>
            <c:extLst>
              <c:ext xmlns:c16="http://schemas.microsoft.com/office/drawing/2014/chart" uri="{C3380CC4-5D6E-409C-BE32-E72D297353CC}">
                <c16:uniqueId val="{00000013-B115-476E-A578-895C42AEDF62}"/>
              </c:ext>
            </c:extLst>
          </c:dPt>
          <c:val>
            <c:numRef>
              <c:f>Pivot_3!$A$20:$J$20</c:f>
              <c:numCache>
                <c:formatCode>General</c:formatCode>
                <c:ptCount val="10"/>
                <c:pt idx="0">
                  <c:v>1</c:v>
                </c:pt>
                <c:pt idx="1">
                  <c:v>1</c:v>
                </c:pt>
                <c:pt idx="2">
                  <c:v>1</c:v>
                </c:pt>
                <c:pt idx="3">
                  <c:v>1</c:v>
                </c:pt>
                <c:pt idx="4">
                  <c:v>1</c:v>
                </c:pt>
                <c:pt idx="5">
                  <c:v>1</c:v>
                </c:pt>
                <c:pt idx="6">
                  <c:v>1</c:v>
                </c:pt>
                <c:pt idx="7">
                  <c:v>1</c:v>
                </c:pt>
                <c:pt idx="8">
                  <c:v>1</c:v>
                </c:pt>
                <c:pt idx="9">
                  <c:v>1</c:v>
                </c:pt>
              </c:numCache>
            </c:numRef>
          </c:val>
          <c:extLst>
            <c:ext xmlns:c16="http://schemas.microsoft.com/office/drawing/2014/chart" uri="{C3380CC4-5D6E-409C-BE32-E72D297353CC}">
              <c16:uniqueId val="{00000014-B115-476E-A578-895C42AEDF62}"/>
            </c:ext>
          </c:extLst>
        </c:ser>
        <c:dLbls>
          <c:showLegendKey val="0"/>
          <c:showVal val="0"/>
          <c:showCatName val="0"/>
          <c:showSerName val="0"/>
          <c:showPercent val="0"/>
          <c:showBubbleSize val="0"/>
          <c:showLeaderLines val="1"/>
        </c:dLbls>
        <c:firstSliceAng val="0"/>
        <c:holeSize val="75"/>
      </c:doughnutChart>
      <c:doughnutChart>
        <c:varyColors val="1"/>
        <c:ser>
          <c:idx val="1"/>
          <c:order val="1"/>
          <c:tx>
            <c:v>Series 2</c:v>
          </c:tx>
          <c:spPr>
            <a:ln>
              <a:solidFill>
                <a:srgbClr val="00B050"/>
              </a:solidFill>
            </a:ln>
          </c:spPr>
          <c:dPt>
            <c:idx val="0"/>
            <c:bubble3D val="0"/>
            <c:spPr>
              <a:solidFill>
                <a:schemeClr val="accent1"/>
              </a:solidFill>
              <a:ln w="19050">
                <a:solidFill>
                  <a:srgbClr val="00B050"/>
                </a:solidFill>
              </a:ln>
              <a:effectLst/>
            </c:spPr>
            <c:extLst>
              <c:ext xmlns:c16="http://schemas.microsoft.com/office/drawing/2014/chart" uri="{C3380CC4-5D6E-409C-BE32-E72D297353CC}">
                <c16:uniqueId val="{00000016-B115-476E-A578-895C42AEDF62}"/>
              </c:ext>
            </c:extLst>
          </c:dPt>
          <c:dPt>
            <c:idx val="1"/>
            <c:bubble3D val="0"/>
            <c:spPr>
              <a:solidFill>
                <a:schemeClr val="accent2"/>
              </a:solidFill>
              <a:ln w="19050">
                <a:solidFill>
                  <a:srgbClr val="00B050"/>
                </a:solidFill>
              </a:ln>
              <a:effectLst/>
            </c:spPr>
            <c:extLst>
              <c:ext xmlns:c16="http://schemas.microsoft.com/office/drawing/2014/chart" uri="{C3380CC4-5D6E-409C-BE32-E72D297353CC}">
                <c16:uniqueId val="{00000018-B115-476E-A578-895C42AEDF62}"/>
              </c:ext>
            </c:extLst>
          </c:dPt>
          <c:dPt>
            <c:idx val="2"/>
            <c:bubble3D val="0"/>
            <c:spPr>
              <a:solidFill>
                <a:srgbClr val="0070C0">
                  <a:alpha val="25000"/>
                </a:srgbClr>
              </a:solidFill>
              <a:ln w="19050">
                <a:solidFill>
                  <a:srgbClr val="00B050"/>
                </a:solidFill>
              </a:ln>
              <a:effectLst/>
            </c:spPr>
            <c:extLst>
              <c:ext xmlns:c16="http://schemas.microsoft.com/office/drawing/2014/chart" uri="{C3380CC4-5D6E-409C-BE32-E72D297353CC}">
                <c16:uniqueId val="{0000001A-B115-476E-A578-895C42AEDF62}"/>
              </c:ext>
            </c:extLst>
          </c:dPt>
          <c:val>
            <c:numRef>
              <c:f>Pivot_3!$B$10:$D$10</c:f>
              <c:numCache>
                <c:formatCode>General</c:formatCode>
                <c:ptCount val="3"/>
                <c:pt idx="0" formatCode="0.00">
                  <c:v>0.11722946229404799</c:v>
                </c:pt>
                <c:pt idx="1">
                  <c:v>0</c:v>
                </c:pt>
                <c:pt idx="2" formatCode="0.00">
                  <c:v>0.88277053770595204</c:v>
                </c:pt>
              </c:numCache>
            </c:numRef>
          </c:val>
          <c:extLst>
            <c:ext xmlns:c16="http://schemas.microsoft.com/office/drawing/2014/chart" uri="{C3380CC4-5D6E-409C-BE32-E72D297353CC}">
              <c16:uniqueId val="{0000001B-B115-476E-A578-895C42AEDF62}"/>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[Excel_Dashboard_1.xlsm]Pivot_1!PivotTable2</c:name>
    <c:fmtId val="0"/>
  </c:pivotSource>
  <c:chart>
    <c:autoTitleDeleted val="1"/>
    <c:pivotFmts>
      <c:pivotFmt>
        <c:idx val="0"/>
        <c:spPr>
          <a:solidFill>
            <a:schemeClr val="lt1"/>
          </a:solidFill>
          <a:ln w="19050">
            <a:solidFill>
              <a:schemeClr val="accen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1"/>
        <c:spPr>
          <a:solidFill>
            <a:schemeClr val="lt1"/>
          </a:solidFill>
          <a:ln w="19050">
            <a:solidFill>
              <a:schemeClr val="accent1"/>
            </a:solidFill>
          </a:ln>
          <a:effectLst/>
        </c:spPr>
      </c:pivotFmt>
      <c:pivotFmt>
        <c:idx val="2"/>
        <c:spPr>
          <a:solidFill>
            <a:schemeClr val="lt1"/>
          </a:solidFill>
          <a:ln w="19050">
            <a:solidFill>
              <a:schemeClr val="accent1"/>
            </a:solidFill>
          </a:ln>
          <a:effectLst/>
        </c:spPr>
      </c:pivotFmt>
      <c:pivotFmt>
        <c:idx val="3"/>
        <c:spPr>
          <a:solidFill>
            <a:schemeClr val="lt1"/>
          </a:solidFill>
          <a:ln w="19050">
            <a:solidFill>
              <a:schemeClr val="accent1"/>
            </a:solidFill>
          </a:ln>
          <a:effectLst/>
        </c:spPr>
      </c:pivotFmt>
      <c:pivotFmt>
        <c:idx val="4"/>
        <c:spPr>
          <a:solidFill>
            <a:schemeClr val="lt1"/>
          </a:solidFill>
          <a:ln w="19050">
            <a:solidFill>
              <a:schemeClr val="accent1"/>
            </a:solidFill>
          </a:ln>
          <a:effectLst/>
        </c:spPr>
      </c:pivotFmt>
    </c:pivotFmts>
    <c:plotArea>
      <c:layout/>
      <c:doughnutChart>
        <c:varyColors val="1"/>
        <c:ser>
          <c:idx val="0"/>
          <c:order val="0"/>
          <c:tx>
            <c:strRef>
              <c:f>Pivot_1!$B$12</c:f>
              <c:strCache>
                <c:ptCount val="1"/>
                <c:pt idx="0">
                  <c:v>Total</c:v>
                </c:pt>
              </c:strCache>
            </c:strRef>
          </c:tx>
          <c:spPr>
            <a:solidFill>
              <a:schemeClr val="lt1"/>
            </a:solidFill>
            <a:ln w="19050">
              <a:solidFill>
                <a:schemeClr val="accent1"/>
              </a:solidFill>
            </a:ln>
            <a:effectLst/>
          </c:spPr>
          <c:dPt>
            <c:idx val="0"/>
            <c:bubble3D val="0"/>
            <c:spPr>
              <a:solidFill>
                <a:schemeClr val="lt1"/>
              </a:solidFill>
              <a:ln w="19050">
                <a:solidFill>
                  <a:schemeClr val="accent1"/>
                </a:solidFill>
              </a:ln>
              <a:effectLst/>
            </c:spPr>
            <c:extLst>
              <c:ext xmlns:c16="http://schemas.microsoft.com/office/drawing/2014/chart" uri="{C3380CC4-5D6E-409C-BE32-E72D297353CC}">
                <c16:uniqueId val="{00000001-D6AC-46E1-84D2-67B6DE14F66D}"/>
              </c:ext>
            </c:extLst>
          </c:dPt>
          <c:dPt>
            <c:idx val="1"/>
            <c:bubble3D val="0"/>
            <c:spPr>
              <a:solidFill>
                <a:schemeClr val="lt1"/>
              </a:solidFill>
              <a:ln w="19050">
                <a:solidFill>
                  <a:schemeClr val="accent1"/>
                </a:solidFill>
              </a:ln>
              <a:effectLst/>
            </c:spPr>
            <c:extLst>
              <c:ext xmlns:c16="http://schemas.microsoft.com/office/drawing/2014/chart" uri="{C3380CC4-5D6E-409C-BE32-E72D297353CC}">
                <c16:uniqueId val="{00000003-D6AC-46E1-84D2-67B6DE14F66D}"/>
              </c:ext>
            </c:extLst>
          </c:dPt>
          <c:dPt>
            <c:idx val="2"/>
            <c:bubble3D val="0"/>
            <c:spPr>
              <a:solidFill>
                <a:schemeClr val="lt1"/>
              </a:solidFill>
              <a:ln w="19050">
                <a:solidFill>
                  <a:schemeClr val="accent1"/>
                </a:solidFill>
              </a:ln>
              <a:effectLst/>
            </c:spPr>
            <c:extLst>
              <c:ext xmlns:c16="http://schemas.microsoft.com/office/drawing/2014/chart" uri="{C3380CC4-5D6E-409C-BE32-E72D297353CC}">
                <c16:uniqueId val="{00000005-D6AC-46E1-84D2-67B6DE14F66D}"/>
              </c:ext>
            </c:extLst>
          </c:dPt>
          <c:dPt>
            <c:idx val="3"/>
            <c:bubble3D val="0"/>
            <c:spPr>
              <a:solidFill>
                <a:schemeClr val="lt1"/>
              </a:solidFill>
              <a:ln w="19050">
                <a:solidFill>
                  <a:schemeClr val="accent1"/>
                </a:solidFill>
              </a:ln>
              <a:effectLst/>
            </c:spPr>
            <c:extLst>
              <c:ext xmlns:c16="http://schemas.microsoft.com/office/drawing/2014/chart" uri="{C3380CC4-5D6E-409C-BE32-E72D297353CC}">
                <c16:uniqueId val="{00000007-D6AC-46E1-84D2-67B6DE14F66D}"/>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1"/>
                    </a:solidFill>
                    <a:latin typeface="+mn-lt"/>
                    <a:ea typeface="+mn-ea"/>
                    <a:cs typeface="+mn-cs"/>
                  </a:defRPr>
                </a:pPr>
                <a:endParaRPr lang="en-US"/>
              </a:p>
            </c:txPr>
            <c:showLegendKey val="0"/>
            <c:showVal val="0"/>
            <c:showCatName val="1"/>
            <c:showSerName val="0"/>
            <c:showPercent val="1"/>
            <c:showBubbleSize val="0"/>
            <c:showLeaderLines val="1"/>
            <c:leaderLines>
              <c:spPr>
                <a:ln w="9525">
                  <a:solidFill>
                    <a:schemeClr val="accent1">
                      <a:lumMod val="60000"/>
                      <a:lumOff val="40000"/>
                    </a:schemeClr>
                  </a:solidFill>
                </a:ln>
                <a:effectLst/>
              </c:spPr>
            </c:leaderLines>
            <c:extLst>
              <c:ext xmlns:c15="http://schemas.microsoft.com/office/drawing/2012/chart" uri="{CE6537A1-D6FC-4f65-9D91-7224C49458BB}"/>
            </c:extLst>
          </c:dLbls>
          <c:cat>
            <c:strRef>
              <c:f>Pivot_1!$A$13:$A$17</c:f>
              <c:strCache>
                <c:ptCount val="4"/>
                <c:pt idx="0">
                  <c:v>Alice</c:v>
                </c:pt>
                <c:pt idx="1">
                  <c:v>Barney</c:v>
                </c:pt>
                <c:pt idx="2">
                  <c:v>Carol</c:v>
                </c:pt>
                <c:pt idx="3">
                  <c:v>David</c:v>
                </c:pt>
              </c:strCache>
            </c:strRef>
          </c:cat>
          <c:val>
            <c:numRef>
              <c:f>Pivot_1!$B$13:$B$17</c:f>
              <c:numCache>
                <c:formatCode>General</c:formatCode>
                <c:ptCount val="4"/>
                <c:pt idx="0">
                  <c:v>114334</c:v>
                </c:pt>
                <c:pt idx="1">
                  <c:v>110433</c:v>
                </c:pt>
                <c:pt idx="2">
                  <c:v>110141</c:v>
                </c:pt>
                <c:pt idx="3">
                  <c:v>106614</c:v>
                </c:pt>
              </c:numCache>
            </c:numRef>
          </c:val>
          <c:extLst>
            <c:ext xmlns:c16="http://schemas.microsoft.com/office/drawing/2014/chart" uri="{C3380CC4-5D6E-409C-BE32-E72D297353CC}">
              <c16:uniqueId val="{00000000-E3F6-43BB-9212-719135984604}"/>
            </c:ext>
          </c:extLst>
        </c:ser>
        <c:dLbls>
          <c:showLegendKey val="0"/>
          <c:showVal val="0"/>
          <c:showCatName val="0"/>
          <c:showSerName val="0"/>
          <c:showPercent val="1"/>
          <c:showBubbleSize val="0"/>
          <c:showLeaderLines val="1"/>
        </c:dLbls>
        <c:firstSliceAng val="0"/>
        <c:holeSize val="50"/>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1"/>
    </a:solidFill>
    <a:ln w="9525" cap="flat" cmpd="sng" algn="ctr">
      <a:solidFill>
        <a:schemeClr val="accent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[Excel_Dashboard_1.xlsm]Pivot_1!PivotTable1</c:name>
    <c:fmtId val="35"/>
  </c:pivotSource>
  <c:chart>
    <c:autoTitleDeleted val="1"/>
    <c:pivotFmts>
      <c:pivotFmt>
        <c:idx val="0"/>
        <c:spPr>
          <a:solidFill>
            <a:schemeClr val="lt1"/>
          </a:solidFill>
          <a:ln w="19050">
            <a:solidFill>
              <a:schemeClr val="accen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1"/>
                  </a:solidFill>
                  <a:latin typeface="+mn-lt"/>
                  <a:ea typeface="+mn-ea"/>
                  <a:cs typeface="+mn-cs"/>
                </a:defRPr>
              </a:pPr>
              <a:endParaRPr lang="en-US"/>
            </a:p>
          </c:txPr>
          <c:dLblPos val="inEnd"/>
          <c:showLegendKey val="0"/>
          <c:showVal val="0"/>
          <c:showCatName val="1"/>
          <c:showSerName val="0"/>
          <c:showPercent val="1"/>
          <c:showBubbleSize val="0"/>
          <c:extLst>
            <c:ext xmlns:c15="http://schemas.microsoft.com/office/drawing/2012/chart" uri="{CE6537A1-D6FC-4f65-9D91-7224C49458BB}"/>
          </c:extLst>
        </c:dLbl>
      </c:pivotFmt>
      <c:pivotFmt>
        <c:idx val="1"/>
        <c:spPr>
          <a:solidFill>
            <a:schemeClr val="lt1"/>
          </a:solidFill>
          <a:ln w="19050">
            <a:solidFill>
              <a:schemeClr val="accent1"/>
            </a:solidFill>
          </a:ln>
          <a:effectLst/>
        </c:spPr>
      </c:pivotFmt>
      <c:pivotFmt>
        <c:idx val="2"/>
        <c:spPr>
          <a:solidFill>
            <a:schemeClr val="lt1"/>
          </a:solidFill>
          <a:ln w="19050">
            <a:solidFill>
              <a:schemeClr val="accent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1"/>
                  </a:solidFill>
                  <a:latin typeface="+mn-lt"/>
                  <a:ea typeface="+mn-ea"/>
                  <a:cs typeface="+mn-cs"/>
                </a:defRPr>
              </a:pPr>
              <a:endParaRPr lang="en-US"/>
            </a:p>
          </c:txPr>
          <c:dLblPos val="inEnd"/>
          <c:showLegendKey val="0"/>
          <c:showVal val="0"/>
          <c:showCatName val="1"/>
          <c:showSerName val="0"/>
          <c:showPercent val="1"/>
          <c:showBubbleSize val="0"/>
          <c:extLst>
            <c:ext xmlns:c15="http://schemas.microsoft.com/office/drawing/2012/chart" uri="{CE6537A1-D6FC-4f65-9D91-7224C49458BB}">
              <c15:layout>
                <c:manualLayout>
                  <c:w val="0.20492888888888888"/>
                  <c:h val="0.25368277777777776"/>
                </c:manualLayout>
              </c15:layout>
            </c:ext>
          </c:extLst>
        </c:dLbl>
      </c:pivotFmt>
      <c:pivotFmt>
        <c:idx val="3"/>
        <c:spPr>
          <a:solidFill>
            <a:schemeClr val="lt1"/>
          </a:solidFill>
          <a:ln w="19050">
            <a:solidFill>
              <a:schemeClr val="accent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1"/>
                  </a:solidFill>
                  <a:latin typeface="+mn-lt"/>
                  <a:ea typeface="+mn-ea"/>
                  <a:cs typeface="+mn-cs"/>
                </a:defRPr>
              </a:pPr>
              <a:endParaRPr lang="en-US"/>
            </a:p>
          </c:txPr>
          <c:dLblPos val="inEnd"/>
          <c:showLegendKey val="0"/>
          <c:showVal val="0"/>
          <c:showCatName val="1"/>
          <c:showSerName val="0"/>
          <c:showPercent val="1"/>
          <c:showBubbleSize val="0"/>
          <c:extLst>
            <c:ext xmlns:c15="http://schemas.microsoft.com/office/drawing/2012/chart" uri="{CE6537A1-D6FC-4f65-9D91-7224C49458BB}">
              <c15:layout>
                <c:manualLayout>
                  <c:w val="0.28204555555555555"/>
                  <c:h val="0.25368277777777776"/>
                </c:manualLayout>
              </c15:layout>
            </c:ext>
          </c:extLst>
        </c:dLbl>
      </c:pivotFmt>
      <c:pivotFmt>
        <c:idx val="4"/>
        <c:spPr>
          <a:solidFill>
            <a:schemeClr val="lt1"/>
          </a:solidFill>
          <a:ln w="19050">
            <a:solidFill>
              <a:schemeClr val="accent1"/>
            </a:solidFill>
          </a:ln>
          <a:effectLst/>
        </c:spPr>
        <c:dLbl>
          <c:idx val="0"/>
          <c:spPr>
            <a:noFill/>
            <a:ln>
              <a:noFill/>
            </a:ln>
            <a:effectLst/>
          </c:spPr>
          <c:txPr>
            <a:bodyPr rot="0" spcFirstLastPara="1" vertOverflow="ellipsis" vert="horz" wrap="square" lIns="38100" tIns="19050" rIns="38100" bIns="19050" anchor="ctr" anchorCtr="1">
              <a:noAutofit/>
            </a:bodyPr>
            <a:lstStyle/>
            <a:p>
              <a:pPr>
                <a:defRPr sz="900" b="1" i="0" u="none" strike="noStrike" kern="1200" baseline="0">
                  <a:solidFill>
                    <a:schemeClr val="accent1"/>
                  </a:solidFill>
                  <a:latin typeface="+mn-lt"/>
                  <a:ea typeface="+mn-ea"/>
                  <a:cs typeface="+mn-cs"/>
                </a:defRPr>
              </a:pPr>
              <a:endParaRPr lang="en-US"/>
            </a:p>
          </c:txPr>
          <c:dLblPos val="inEnd"/>
          <c:showLegendKey val="0"/>
          <c:showVal val="0"/>
          <c:showCatName val="1"/>
          <c:showSerName val="0"/>
          <c:showPercent val="1"/>
          <c:showBubbleSize val="0"/>
          <c:extLst>
            <c:ext xmlns:c15="http://schemas.microsoft.com/office/drawing/2012/chart" uri="{CE6537A1-D6FC-4f65-9D91-7224C49458BB}">
              <c15:layout>
                <c:manualLayout>
                  <c:w val="0.24010055555555557"/>
                  <c:h val="0.23957166666666663"/>
                </c:manualLayout>
              </c15:layout>
            </c:ext>
          </c:extLst>
        </c:dLbl>
      </c:pivotFmt>
    </c:pivotFmts>
    <c:plotArea>
      <c:layout/>
      <c:pieChart>
        <c:varyColors val="1"/>
        <c:ser>
          <c:idx val="0"/>
          <c:order val="0"/>
          <c:tx>
            <c:strRef>
              <c:f>Pivot_1!$B$1</c:f>
              <c:strCache>
                <c:ptCount val="1"/>
                <c:pt idx="0">
                  <c:v>Total</c:v>
                </c:pt>
              </c:strCache>
            </c:strRef>
          </c:tx>
          <c:spPr>
            <a:solidFill>
              <a:schemeClr val="lt1"/>
            </a:solidFill>
            <a:ln w="19050">
              <a:solidFill>
                <a:schemeClr val="accent1"/>
              </a:solidFill>
            </a:ln>
            <a:effectLst/>
          </c:spPr>
          <c:dPt>
            <c:idx val="0"/>
            <c:bubble3D val="0"/>
            <c:spPr>
              <a:solidFill>
                <a:schemeClr val="lt1"/>
              </a:solidFill>
              <a:ln w="19050">
                <a:solidFill>
                  <a:schemeClr val="accent1"/>
                </a:solidFill>
              </a:ln>
              <a:effectLst/>
            </c:spPr>
            <c:extLst>
              <c:ext xmlns:c16="http://schemas.microsoft.com/office/drawing/2014/chart" uri="{C3380CC4-5D6E-409C-BE32-E72D297353CC}">
                <c16:uniqueId val="{00000003-9739-4594-8B09-618C68A6FEED}"/>
              </c:ext>
            </c:extLst>
          </c:dPt>
          <c:dPt>
            <c:idx val="1"/>
            <c:bubble3D val="0"/>
            <c:spPr>
              <a:solidFill>
                <a:schemeClr val="lt1"/>
              </a:solidFill>
              <a:ln w="19050">
                <a:solidFill>
                  <a:schemeClr val="accent1"/>
                </a:solidFill>
              </a:ln>
              <a:effectLst/>
            </c:spPr>
            <c:extLst>
              <c:ext xmlns:c16="http://schemas.microsoft.com/office/drawing/2014/chart" uri="{C3380CC4-5D6E-409C-BE32-E72D297353CC}">
                <c16:uniqueId val="{00000004-9739-4594-8B09-618C68A6FEED}"/>
              </c:ext>
            </c:extLst>
          </c:dPt>
          <c:dPt>
            <c:idx val="2"/>
            <c:bubble3D val="0"/>
            <c:spPr>
              <a:solidFill>
                <a:schemeClr val="lt1"/>
              </a:solidFill>
              <a:ln w="19050">
                <a:solidFill>
                  <a:schemeClr val="accent1"/>
                </a:solidFill>
              </a:ln>
              <a:effectLst/>
            </c:spPr>
            <c:extLst>
              <c:ext xmlns:c16="http://schemas.microsoft.com/office/drawing/2014/chart" uri="{C3380CC4-5D6E-409C-BE32-E72D297353CC}">
                <c16:uniqueId val="{00000005-9739-4594-8B09-618C68A6FEED}"/>
              </c:ext>
            </c:extLst>
          </c:dPt>
          <c:dPt>
            <c:idx val="3"/>
            <c:bubble3D val="0"/>
            <c:spPr>
              <a:solidFill>
                <a:schemeClr val="lt1"/>
              </a:solidFill>
              <a:ln w="19050">
                <a:solidFill>
                  <a:schemeClr val="accent1"/>
                </a:solidFill>
              </a:ln>
              <a:effectLst/>
            </c:spPr>
            <c:extLst>
              <c:ext xmlns:c16="http://schemas.microsoft.com/office/drawing/2014/chart" uri="{C3380CC4-5D6E-409C-BE32-E72D297353CC}">
                <c16:uniqueId val="{00000002-9739-4594-8B09-618C68A6FEED}"/>
              </c:ext>
            </c:extLst>
          </c:dPt>
          <c:dLbls>
            <c:dLbl>
              <c:idx val="0"/>
              <c:dLblPos val="inEnd"/>
              <c:showLegendKey val="0"/>
              <c:showVal val="0"/>
              <c:showCatName val="1"/>
              <c:showSerName val="0"/>
              <c:showPercent val="1"/>
              <c:showBubbleSize val="0"/>
              <c:extLst>
                <c:ext xmlns:c15="http://schemas.microsoft.com/office/drawing/2012/chart" uri="{CE6537A1-D6FC-4f65-9D91-7224C49458BB}">
                  <c15:layout>
                    <c:manualLayout>
                      <c:w val="0.20492888888888888"/>
                      <c:h val="0.25368277777777776"/>
                    </c:manualLayout>
                  </c15:layout>
                </c:ext>
                <c:ext xmlns:c16="http://schemas.microsoft.com/office/drawing/2014/chart" uri="{C3380CC4-5D6E-409C-BE32-E72D297353CC}">
                  <c16:uniqueId val="{00000003-9739-4594-8B09-618C68A6FEED}"/>
                </c:ext>
              </c:extLst>
            </c:dLbl>
            <c:dLbl>
              <c:idx val="1"/>
              <c:dLblPos val="inEnd"/>
              <c:showLegendKey val="0"/>
              <c:showVal val="0"/>
              <c:showCatName val="1"/>
              <c:showSerName val="0"/>
              <c:showPercent val="1"/>
              <c:showBubbleSize val="0"/>
              <c:extLst>
                <c:ext xmlns:c15="http://schemas.microsoft.com/office/drawing/2012/chart" uri="{CE6537A1-D6FC-4f65-9D91-7224C49458BB}">
                  <c15:layout>
                    <c:manualLayout>
                      <c:w val="0.28204555555555555"/>
                      <c:h val="0.25368277777777776"/>
                    </c:manualLayout>
                  </c15:layout>
                </c:ext>
                <c:ext xmlns:c16="http://schemas.microsoft.com/office/drawing/2014/chart" uri="{C3380CC4-5D6E-409C-BE32-E72D297353CC}">
                  <c16:uniqueId val="{00000004-9739-4594-8B09-618C68A6FEED}"/>
                </c:ext>
              </c:extLst>
            </c:dLbl>
            <c:dLbl>
              <c:idx val="2"/>
              <c:spPr>
                <a:noFill/>
                <a:ln>
                  <a:noFill/>
                </a:ln>
                <a:effectLst/>
              </c:spPr>
              <c:txPr>
                <a:bodyPr rot="0" spcFirstLastPara="1" vertOverflow="ellipsis" vert="horz" wrap="square" lIns="38100" tIns="19050" rIns="38100" bIns="19050" anchor="ctr" anchorCtr="1">
                  <a:noAutofit/>
                </a:bodyPr>
                <a:lstStyle/>
                <a:p>
                  <a:pPr>
                    <a:defRPr sz="900" b="1" i="0" u="none" strike="noStrike" kern="1200" baseline="0">
                      <a:solidFill>
                        <a:schemeClr val="accent1"/>
                      </a:solidFill>
                      <a:latin typeface="+mn-lt"/>
                      <a:ea typeface="+mn-ea"/>
                      <a:cs typeface="+mn-cs"/>
                    </a:defRPr>
                  </a:pPr>
                  <a:endParaRPr lang="en-US"/>
                </a:p>
              </c:txPr>
              <c:dLblPos val="inEnd"/>
              <c:showLegendKey val="0"/>
              <c:showVal val="0"/>
              <c:showCatName val="1"/>
              <c:showSerName val="0"/>
              <c:showPercent val="1"/>
              <c:showBubbleSize val="0"/>
              <c:extLst>
                <c:ext xmlns:c15="http://schemas.microsoft.com/office/drawing/2012/chart" uri="{CE6537A1-D6FC-4f65-9D91-7224C49458BB}">
                  <c15:layout>
                    <c:manualLayout>
                      <c:w val="0.24010055555555557"/>
                      <c:h val="0.23957166666666663"/>
                    </c:manualLayout>
                  </c15:layout>
                </c:ext>
                <c:ext xmlns:c16="http://schemas.microsoft.com/office/drawing/2014/chart" uri="{C3380CC4-5D6E-409C-BE32-E72D297353CC}">
                  <c16:uniqueId val="{00000005-9739-4594-8B09-618C68A6FEED}"/>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1"/>
                    </a:solidFill>
                    <a:latin typeface="+mn-lt"/>
                    <a:ea typeface="+mn-ea"/>
                    <a:cs typeface="+mn-cs"/>
                  </a:defRPr>
                </a:pPr>
                <a:endParaRPr lang="en-US"/>
              </a:p>
            </c:txPr>
            <c:dLblPos val="inEnd"/>
            <c:showLegendKey val="0"/>
            <c:showVal val="0"/>
            <c:showCatName val="1"/>
            <c:showSerName val="0"/>
            <c:showPercent val="1"/>
            <c:showBubbleSize val="0"/>
            <c:showLeaderLines val="1"/>
            <c:leaderLines>
              <c:spPr>
                <a:ln w="9525">
                  <a:solidFill>
                    <a:schemeClr val="accent1">
                      <a:lumMod val="60000"/>
                      <a:lumOff val="40000"/>
                    </a:schemeClr>
                  </a:solidFill>
                </a:ln>
                <a:effectLst/>
              </c:spPr>
            </c:leaderLines>
            <c:extLst>
              <c:ext xmlns:c15="http://schemas.microsoft.com/office/drawing/2012/chart" uri="{CE6537A1-D6FC-4f65-9D91-7224C49458BB}"/>
            </c:extLst>
          </c:dLbls>
          <c:cat>
            <c:strRef>
              <c:f>Pivot_1!$A$2:$A$6</c:f>
              <c:strCache>
                <c:ptCount val="4"/>
                <c:pt idx="0">
                  <c:v>Books</c:v>
                </c:pt>
                <c:pt idx="1">
                  <c:v>Clothing</c:v>
                </c:pt>
                <c:pt idx="2">
                  <c:v>Games</c:v>
                </c:pt>
                <c:pt idx="3">
                  <c:v>Music</c:v>
                </c:pt>
              </c:strCache>
            </c:strRef>
          </c:cat>
          <c:val>
            <c:numRef>
              <c:f>Pivot_1!$B$2:$B$6</c:f>
              <c:numCache>
                <c:formatCode>General</c:formatCode>
                <c:ptCount val="4"/>
                <c:pt idx="0">
                  <c:v>69751</c:v>
                </c:pt>
                <c:pt idx="1">
                  <c:v>116619</c:v>
                </c:pt>
                <c:pt idx="2">
                  <c:v>149204</c:v>
                </c:pt>
                <c:pt idx="3">
                  <c:v>105948</c:v>
                </c:pt>
              </c:numCache>
            </c:numRef>
          </c:val>
          <c:extLst>
            <c:ext xmlns:c16="http://schemas.microsoft.com/office/drawing/2014/chart" uri="{C3380CC4-5D6E-409C-BE32-E72D297353CC}">
              <c16:uniqueId val="{00000000-9739-4594-8B09-618C68A6FEED}"/>
            </c:ext>
          </c:extLst>
        </c:ser>
        <c:dLbls>
          <c:dLblPos val="inEnd"/>
          <c:showLegendKey val="0"/>
          <c:showVal val="0"/>
          <c:showCatName val="1"/>
          <c:showSerName val="0"/>
          <c:showPercent val="1"/>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1"/>
    </a:solidFill>
    <a:ln w="9525" cap="flat" cmpd="sng" algn="ctr">
      <a:solidFill>
        <a:schemeClr val="accent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[Excel_Dashboard_1.xlsm]Pivot_1!PivotTable6</c:name>
    <c:fmtId val="1"/>
  </c:pivotSource>
  <c:chart>
    <c:autoTitleDeleted val="1"/>
    <c:pivotFmts>
      <c:pivotFmt>
        <c:idx val="0"/>
        <c:spPr>
          <a:solidFill>
            <a:schemeClr val="lt1"/>
          </a:solidFill>
          <a:ln w="19050">
            <a:solidFill>
              <a:schemeClr val="accen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1"/>
                  </a:solidFill>
                  <a:latin typeface="+mn-lt"/>
                  <a:ea typeface="+mn-ea"/>
                  <a:cs typeface="+mn-cs"/>
                </a:defRPr>
              </a:pPr>
              <a:endParaRPr lang="en-US"/>
            </a:p>
          </c:txPr>
          <c:dLblPos val="inEnd"/>
          <c:showLegendKey val="0"/>
          <c:showVal val="0"/>
          <c:showCatName val="1"/>
          <c:showSerName val="0"/>
          <c:showPercent val="1"/>
          <c:showBubbleSize val="0"/>
          <c:extLst>
            <c:ext xmlns:c15="http://schemas.microsoft.com/office/drawing/2012/chart" uri="{CE6537A1-D6FC-4f65-9D91-7224C49458BB}"/>
          </c:extLst>
        </c:dLbl>
      </c:pivotFmt>
      <c:pivotFmt>
        <c:idx val="1"/>
        <c:spPr>
          <a:solidFill>
            <a:schemeClr val="lt1"/>
          </a:solidFill>
          <a:ln w="19050">
            <a:solidFill>
              <a:schemeClr val="accent1"/>
            </a:solidFill>
          </a:ln>
          <a:effectLst/>
        </c:spPr>
        <c:dLbl>
          <c:idx val="0"/>
          <c:spPr>
            <a:noFill/>
            <a:ln>
              <a:noFill/>
            </a:ln>
            <a:effectLst/>
          </c:spPr>
          <c:txPr>
            <a:bodyPr rot="0" spcFirstLastPara="1" vertOverflow="ellipsis" vert="horz" wrap="square" lIns="38100" tIns="19050" rIns="38100" bIns="19050" anchor="ctr" anchorCtr="1">
              <a:noAutofit/>
            </a:bodyPr>
            <a:lstStyle/>
            <a:p>
              <a:pPr>
                <a:defRPr sz="900" b="1" i="0" u="none" strike="noStrike" kern="1200" baseline="0">
                  <a:solidFill>
                    <a:schemeClr val="accent1"/>
                  </a:solidFill>
                  <a:latin typeface="+mn-lt"/>
                  <a:ea typeface="+mn-ea"/>
                  <a:cs typeface="+mn-cs"/>
                </a:defRPr>
              </a:pPr>
              <a:endParaRPr lang="en-US"/>
            </a:p>
          </c:txPr>
          <c:dLblPos val="inEnd"/>
          <c:showLegendKey val="0"/>
          <c:showVal val="0"/>
          <c:showCatName val="1"/>
          <c:showSerName val="0"/>
          <c:showPercent val="1"/>
          <c:showBubbleSize val="0"/>
          <c:extLst>
            <c:ext xmlns:c15="http://schemas.microsoft.com/office/drawing/2012/chart" uri="{CE6537A1-D6FC-4f65-9D91-7224C49458BB}">
              <c15:layout>
                <c:manualLayout>
                  <c:w val="0.27551944444444443"/>
                  <c:h val="0.26073833333333335"/>
                </c:manualLayout>
              </c15:layout>
            </c:ext>
          </c:extLst>
        </c:dLbl>
      </c:pivotFmt>
      <c:pivotFmt>
        <c:idx val="2"/>
        <c:spPr>
          <a:solidFill>
            <a:schemeClr val="lt1"/>
          </a:solidFill>
          <a:ln w="19050">
            <a:solidFill>
              <a:schemeClr val="accent1"/>
            </a:solidFill>
          </a:ln>
          <a:effectLst/>
        </c:spPr>
      </c:pivotFmt>
      <c:pivotFmt>
        <c:idx val="3"/>
        <c:spPr>
          <a:solidFill>
            <a:schemeClr val="lt1"/>
          </a:solidFill>
          <a:ln w="19050">
            <a:solidFill>
              <a:schemeClr val="accent1"/>
            </a:solidFill>
          </a:ln>
          <a:effectLst/>
        </c:spPr>
      </c:pivotFmt>
      <c:pivotFmt>
        <c:idx val="4"/>
        <c:spPr>
          <a:solidFill>
            <a:schemeClr val="lt1"/>
          </a:solidFill>
          <a:ln w="19050">
            <a:solidFill>
              <a:schemeClr val="accent1"/>
            </a:solidFill>
          </a:ln>
          <a:effectLst/>
        </c:spPr>
      </c:pivotFmt>
    </c:pivotFmts>
    <c:plotArea>
      <c:layout/>
      <c:pieChart>
        <c:varyColors val="1"/>
        <c:ser>
          <c:idx val="0"/>
          <c:order val="0"/>
          <c:tx>
            <c:strRef>
              <c:f>Pivot_1!$F$1</c:f>
              <c:strCache>
                <c:ptCount val="1"/>
                <c:pt idx="0">
                  <c:v>Total</c:v>
                </c:pt>
              </c:strCache>
            </c:strRef>
          </c:tx>
          <c:spPr>
            <a:solidFill>
              <a:schemeClr val="lt1"/>
            </a:solidFill>
            <a:ln w="19050">
              <a:solidFill>
                <a:schemeClr val="accent1"/>
              </a:solidFill>
            </a:ln>
            <a:effectLst/>
          </c:spPr>
          <c:dPt>
            <c:idx val="0"/>
            <c:bubble3D val="0"/>
            <c:spPr>
              <a:solidFill>
                <a:schemeClr val="lt1"/>
              </a:solidFill>
              <a:ln w="19050">
                <a:solidFill>
                  <a:schemeClr val="accent1"/>
                </a:solidFill>
              </a:ln>
              <a:effectLst/>
            </c:spPr>
            <c:extLst>
              <c:ext xmlns:c16="http://schemas.microsoft.com/office/drawing/2014/chart" uri="{C3380CC4-5D6E-409C-BE32-E72D297353CC}">
                <c16:uniqueId val="{00000001-2D5F-4B18-BB14-025C5C176585}"/>
              </c:ext>
            </c:extLst>
          </c:dPt>
          <c:dPt>
            <c:idx val="1"/>
            <c:bubble3D val="0"/>
            <c:spPr>
              <a:solidFill>
                <a:schemeClr val="lt1"/>
              </a:solidFill>
              <a:ln w="19050">
                <a:solidFill>
                  <a:schemeClr val="accent1"/>
                </a:solidFill>
              </a:ln>
              <a:effectLst/>
            </c:spPr>
            <c:extLst>
              <c:ext xmlns:c16="http://schemas.microsoft.com/office/drawing/2014/chart" uri="{C3380CC4-5D6E-409C-BE32-E72D297353CC}">
                <c16:uniqueId val="{00000002-CA33-48A0-8787-7A31AA0CF4F9}"/>
              </c:ext>
            </c:extLst>
          </c:dPt>
          <c:dPt>
            <c:idx val="2"/>
            <c:bubble3D val="0"/>
            <c:spPr>
              <a:solidFill>
                <a:schemeClr val="lt1"/>
              </a:solidFill>
              <a:ln w="19050">
                <a:solidFill>
                  <a:schemeClr val="accent1"/>
                </a:solidFill>
              </a:ln>
              <a:effectLst/>
            </c:spPr>
            <c:extLst>
              <c:ext xmlns:c16="http://schemas.microsoft.com/office/drawing/2014/chart" uri="{C3380CC4-5D6E-409C-BE32-E72D297353CC}">
                <c16:uniqueId val="{00000005-2D5F-4B18-BB14-025C5C176585}"/>
              </c:ext>
            </c:extLst>
          </c:dPt>
          <c:dPt>
            <c:idx val="3"/>
            <c:bubble3D val="0"/>
            <c:spPr>
              <a:solidFill>
                <a:schemeClr val="lt1"/>
              </a:solidFill>
              <a:ln w="19050">
                <a:solidFill>
                  <a:schemeClr val="accent1"/>
                </a:solidFill>
              </a:ln>
              <a:effectLst/>
            </c:spPr>
            <c:extLst>
              <c:ext xmlns:c16="http://schemas.microsoft.com/office/drawing/2014/chart" uri="{C3380CC4-5D6E-409C-BE32-E72D297353CC}">
                <c16:uniqueId val="{00000007-2D5F-4B18-BB14-025C5C176585}"/>
              </c:ext>
            </c:extLst>
          </c:dPt>
          <c:dLbls>
            <c:dLbl>
              <c:idx val="1"/>
              <c:spPr>
                <a:noFill/>
                <a:ln>
                  <a:noFill/>
                </a:ln>
                <a:effectLst/>
              </c:spPr>
              <c:txPr>
                <a:bodyPr rot="0" spcFirstLastPara="1" vertOverflow="ellipsis" vert="horz" wrap="square" lIns="38100" tIns="19050" rIns="38100" bIns="19050" anchor="ctr" anchorCtr="1">
                  <a:noAutofit/>
                </a:bodyPr>
                <a:lstStyle/>
                <a:p>
                  <a:pPr>
                    <a:defRPr sz="900" b="1" i="0" u="none" strike="noStrike" kern="1200" baseline="0">
                      <a:solidFill>
                        <a:schemeClr val="accent1"/>
                      </a:solidFill>
                      <a:latin typeface="+mn-lt"/>
                      <a:ea typeface="+mn-ea"/>
                      <a:cs typeface="+mn-cs"/>
                    </a:defRPr>
                  </a:pPr>
                  <a:endParaRPr lang="en-US"/>
                </a:p>
              </c:txPr>
              <c:dLblPos val="inEnd"/>
              <c:showLegendKey val="0"/>
              <c:showVal val="0"/>
              <c:showCatName val="1"/>
              <c:showSerName val="0"/>
              <c:showPercent val="1"/>
              <c:showBubbleSize val="0"/>
              <c:extLst>
                <c:ext xmlns:c15="http://schemas.microsoft.com/office/drawing/2012/chart" uri="{CE6537A1-D6FC-4f65-9D91-7224C49458BB}">
                  <c15:layout>
                    <c:manualLayout>
                      <c:w val="0.27551944444444443"/>
                      <c:h val="0.26073833333333335"/>
                    </c:manualLayout>
                  </c15:layout>
                </c:ext>
                <c:ext xmlns:c16="http://schemas.microsoft.com/office/drawing/2014/chart" uri="{C3380CC4-5D6E-409C-BE32-E72D297353CC}">
                  <c16:uniqueId val="{00000002-CA33-48A0-8787-7A31AA0CF4F9}"/>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1"/>
                    </a:solidFill>
                    <a:latin typeface="+mn-lt"/>
                    <a:ea typeface="+mn-ea"/>
                    <a:cs typeface="+mn-cs"/>
                  </a:defRPr>
                </a:pPr>
                <a:endParaRPr lang="en-US"/>
              </a:p>
            </c:txPr>
            <c:dLblPos val="inEnd"/>
            <c:showLegendKey val="0"/>
            <c:showVal val="0"/>
            <c:showCatName val="1"/>
            <c:showSerName val="0"/>
            <c:showPercent val="1"/>
            <c:showBubbleSize val="0"/>
            <c:showLeaderLines val="1"/>
            <c:leaderLines>
              <c:spPr>
                <a:ln w="9525">
                  <a:solidFill>
                    <a:schemeClr val="accent1">
                      <a:lumMod val="60000"/>
                      <a:lumOff val="40000"/>
                    </a:schemeClr>
                  </a:solidFill>
                </a:ln>
                <a:effectLst/>
              </c:spPr>
            </c:leaderLines>
            <c:extLst>
              <c:ext xmlns:c15="http://schemas.microsoft.com/office/drawing/2012/chart" uri="{CE6537A1-D6FC-4f65-9D91-7224C49458BB}"/>
            </c:extLst>
          </c:dLbls>
          <c:cat>
            <c:strRef>
              <c:f>Pivot_1!$E$2:$E$6</c:f>
              <c:strCache>
                <c:ptCount val="4"/>
                <c:pt idx="0">
                  <c:v>Alice</c:v>
                </c:pt>
                <c:pt idx="1">
                  <c:v>Barney</c:v>
                </c:pt>
                <c:pt idx="2">
                  <c:v>Carol</c:v>
                </c:pt>
                <c:pt idx="3">
                  <c:v>David</c:v>
                </c:pt>
              </c:strCache>
            </c:strRef>
          </c:cat>
          <c:val>
            <c:numRef>
              <c:f>Pivot_1!$F$2:$F$6</c:f>
              <c:numCache>
                <c:formatCode>General</c:formatCode>
                <c:ptCount val="4"/>
                <c:pt idx="0">
                  <c:v>93</c:v>
                </c:pt>
                <c:pt idx="1">
                  <c:v>91</c:v>
                </c:pt>
                <c:pt idx="2">
                  <c:v>92</c:v>
                </c:pt>
                <c:pt idx="3">
                  <c:v>90</c:v>
                </c:pt>
              </c:numCache>
            </c:numRef>
          </c:val>
          <c:extLst>
            <c:ext xmlns:c16="http://schemas.microsoft.com/office/drawing/2014/chart" uri="{C3380CC4-5D6E-409C-BE32-E72D297353CC}">
              <c16:uniqueId val="{00000000-CA33-48A0-8787-7A31AA0CF4F9}"/>
            </c:ext>
          </c:extLst>
        </c:ser>
        <c:dLbls>
          <c:dLblPos val="inEnd"/>
          <c:showLegendKey val="0"/>
          <c:showVal val="0"/>
          <c:showCatName val="0"/>
          <c:showSerName val="0"/>
          <c:showPercent val="1"/>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1"/>
    </a:solidFill>
    <a:ln w="9525" cap="flat" cmpd="sng" algn="ctr">
      <a:solidFill>
        <a:schemeClr val="accent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[Excel_Dashboard_1.xlsm]Pivot_1!PivotTable7</c:name>
    <c:fmtId val="1"/>
  </c:pivotSource>
  <c:chart>
    <c:autoTitleDeleted val="1"/>
    <c:pivotFmts>
      <c:pivotFmt>
        <c:idx val="0"/>
        <c:spPr>
          <a:solidFill>
            <a:schemeClr val="lt1"/>
          </a:solidFill>
          <a:ln w="19050">
            <a:solidFill>
              <a:schemeClr val="accen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1"/>
                  </a:solidFill>
                  <a:latin typeface="+mn-lt"/>
                  <a:ea typeface="+mn-ea"/>
                  <a:cs typeface="+mn-cs"/>
                </a:defRPr>
              </a:pPr>
              <a:endParaRPr lang="en-US"/>
            </a:p>
          </c:txPr>
          <c:dLblPos val="inEnd"/>
          <c:showLegendKey val="0"/>
          <c:showVal val="0"/>
          <c:showCatName val="1"/>
          <c:showSerName val="0"/>
          <c:showPercent val="1"/>
          <c:showBubbleSize val="0"/>
          <c:extLst>
            <c:ext xmlns:c15="http://schemas.microsoft.com/office/drawing/2012/chart" uri="{CE6537A1-D6FC-4f65-9D91-7224C49458BB}"/>
          </c:extLst>
        </c:dLbl>
      </c:pivotFmt>
      <c:pivotFmt>
        <c:idx val="1"/>
        <c:spPr>
          <a:solidFill>
            <a:schemeClr val="lt1"/>
          </a:solidFill>
          <a:ln w="19050">
            <a:solidFill>
              <a:schemeClr val="accent1"/>
            </a:solidFill>
          </a:ln>
          <a:effectLst/>
        </c:spPr>
        <c:dLbl>
          <c:idx val="0"/>
          <c:layout>
            <c:manualLayout>
              <c:x val="-0.23654194444444451"/>
              <c:y val="-0.17337138888888889"/>
            </c:manualLayout>
          </c:layout>
          <c:spPr>
            <a:noFill/>
            <a:ln>
              <a:noFill/>
            </a:ln>
            <a:effectLst/>
          </c:spPr>
          <c:txPr>
            <a:bodyPr rot="0" spcFirstLastPara="1" vertOverflow="ellipsis" vert="horz" wrap="square" lIns="38100" tIns="19050" rIns="38100" bIns="19050" anchor="ctr" anchorCtr="1">
              <a:noAutofit/>
            </a:bodyPr>
            <a:lstStyle/>
            <a:p>
              <a:pPr>
                <a:defRPr sz="900" b="1" i="0" u="none" strike="noStrike" kern="1200" baseline="0">
                  <a:solidFill>
                    <a:schemeClr val="accent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layout>
                <c:manualLayout>
                  <c:w val="0.25435277777777776"/>
                  <c:h val="0.24662722222222219"/>
                </c:manualLayout>
              </c15:layout>
            </c:ext>
          </c:extLst>
        </c:dLbl>
      </c:pivotFmt>
      <c:pivotFmt>
        <c:idx val="2"/>
        <c:spPr>
          <a:solidFill>
            <a:schemeClr val="lt1"/>
          </a:solidFill>
          <a:ln w="19050">
            <a:solidFill>
              <a:schemeClr val="accent1"/>
            </a:solidFill>
          </a:ln>
          <a:effectLst/>
        </c:spPr>
      </c:pivotFmt>
      <c:pivotFmt>
        <c:idx val="3"/>
        <c:spPr>
          <a:solidFill>
            <a:schemeClr val="lt1"/>
          </a:solidFill>
          <a:ln w="19050">
            <a:solidFill>
              <a:schemeClr val="accent1"/>
            </a:solidFill>
          </a:ln>
          <a:effectLst/>
        </c:spPr>
      </c:pivotFmt>
      <c:pivotFmt>
        <c:idx val="4"/>
        <c:spPr>
          <a:solidFill>
            <a:schemeClr val="lt1"/>
          </a:solidFill>
          <a:ln w="19050">
            <a:solidFill>
              <a:schemeClr val="accent1"/>
            </a:solidFill>
          </a:ln>
          <a:effectLst/>
        </c:spPr>
      </c:pivotFmt>
    </c:pivotFmts>
    <c:plotArea>
      <c:layout/>
      <c:pieChart>
        <c:varyColors val="1"/>
        <c:ser>
          <c:idx val="0"/>
          <c:order val="0"/>
          <c:tx>
            <c:strRef>
              <c:f>Pivot_1!$F$12</c:f>
              <c:strCache>
                <c:ptCount val="1"/>
                <c:pt idx="0">
                  <c:v>Total</c:v>
                </c:pt>
              </c:strCache>
            </c:strRef>
          </c:tx>
          <c:spPr>
            <a:solidFill>
              <a:schemeClr val="lt1"/>
            </a:solidFill>
            <a:ln w="19050">
              <a:solidFill>
                <a:schemeClr val="accent1"/>
              </a:solidFill>
            </a:ln>
            <a:effectLst/>
          </c:spPr>
          <c:dPt>
            <c:idx val="0"/>
            <c:bubble3D val="0"/>
            <c:spPr>
              <a:solidFill>
                <a:schemeClr val="lt1"/>
              </a:solidFill>
              <a:ln w="19050">
                <a:solidFill>
                  <a:schemeClr val="accent1"/>
                </a:solidFill>
              </a:ln>
              <a:effectLst/>
            </c:spPr>
            <c:extLst>
              <c:ext xmlns:c16="http://schemas.microsoft.com/office/drawing/2014/chart" uri="{C3380CC4-5D6E-409C-BE32-E72D297353CC}">
                <c16:uniqueId val="{00000001-4ACC-424A-92D3-DE1B1AD64914}"/>
              </c:ext>
            </c:extLst>
          </c:dPt>
          <c:dPt>
            <c:idx val="1"/>
            <c:bubble3D val="0"/>
            <c:spPr>
              <a:solidFill>
                <a:schemeClr val="lt1"/>
              </a:solidFill>
              <a:ln w="19050">
                <a:solidFill>
                  <a:schemeClr val="accent1"/>
                </a:solidFill>
              </a:ln>
              <a:effectLst/>
            </c:spPr>
            <c:extLst>
              <c:ext xmlns:c16="http://schemas.microsoft.com/office/drawing/2014/chart" uri="{C3380CC4-5D6E-409C-BE32-E72D297353CC}">
                <c16:uniqueId val="{00000002-511C-4538-8A77-DE6DE5607E33}"/>
              </c:ext>
            </c:extLst>
          </c:dPt>
          <c:dPt>
            <c:idx val="2"/>
            <c:bubble3D val="0"/>
            <c:spPr>
              <a:solidFill>
                <a:schemeClr val="lt1"/>
              </a:solidFill>
              <a:ln w="19050">
                <a:solidFill>
                  <a:schemeClr val="accent1"/>
                </a:solidFill>
              </a:ln>
              <a:effectLst/>
            </c:spPr>
            <c:extLst>
              <c:ext xmlns:c16="http://schemas.microsoft.com/office/drawing/2014/chart" uri="{C3380CC4-5D6E-409C-BE32-E72D297353CC}">
                <c16:uniqueId val="{00000005-4ACC-424A-92D3-DE1B1AD64914}"/>
              </c:ext>
            </c:extLst>
          </c:dPt>
          <c:dPt>
            <c:idx val="3"/>
            <c:bubble3D val="0"/>
            <c:spPr>
              <a:solidFill>
                <a:schemeClr val="lt1"/>
              </a:solidFill>
              <a:ln w="19050">
                <a:solidFill>
                  <a:schemeClr val="accent1"/>
                </a:solidFill>
              </a:ln>
              <a:effectLst/>
            </c:spPr>
            <c:extLst>
              <c:ext xmlns:c16="http://schemas.microsoft.com/office/drawing/2014/chart" uri="{C3380CC4-5D6E-409C-BE32-E72D297353CC}">
                <c16:uniqueId val="{00000007-4ACC-424A-92D3-DE1B1AD64914}"/>
              </c:ext>
            </c:extLst>
          </c:dPt>
          <c:dLbls>
            <c:dLbl>
              <c:idx val="1"/>
              <c:layout>
                <c:manualLayout>
                  <c:x val="-0.23654194444444451"/>
                  <c:y val="-0.17337138888888889"/>
                </c:manualLayout>
              </c:layout>
              <c:spPr>
                <a:noFill/>
                <a:ln>
                  <a:noFill/>
                </a:ln>
                <a:effectLst/>
              </c:spPr>
              <c:txPr>
                <a:bodyPr rot="0" spcFirstLastPara="1" vertOverflow="ellipsis" vert="horz" wrap="square" lIns="38100" tIns="19050" rIns="38100" bIns="19050" anchor="ctr" anchorCtr="1">
                  <a:noAutofit/>
                </a:bodyPr>
                <a:lstStyle/>
                <a:p>
                  <a:pPr>
                    <a:defRPr sz="900" b="1" i="0" u="none" strike="noStrike" kern="1200" baseline="0">
                      <a:solidFill>
                        <a:schemeClr val="accent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layout>
                    <c:manualLayout>
                      <c:w val="0.25435277777777776"/>
                      <c:h val="0.24662722222222219"/>
                    </c:manualLayout>
                  </c15:layout>
                </c:ext>
                <c:ext xmlns:c16="http://schemas.microsoft.com/office/drawing/2014/chart" uri="{C3380CC4-5D6E-409C-BE32-E72D297353CC}">
                  <c16:uniqueId val="{00000002-511C-4538-8A77-DE6DE5607E33}"/>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1"/>
                    </a:solidFill>
                    <a:latin typeface="+mn-lt"/>
                    <a:ea typeface="+mn-ea"/>
                    <a:cs typeface="+mn-cs"/>
                  </a:defRPr>
                </a:pPr>
                <a:endParaRPr lang="en-US"/>
              </a:p>
            </c:txPr>
            <c:dLblPos val="inEnd"/>
            <c:showLegendKey val="0"/>
            <c:showVal val="0"/>
            <c:showCatName val="1"/>
            <c:showSerName val="0"/>
            <c:showPercent val="1"/>
            <c:showBubbleSize val="0"/>
            <c:showLeaderLines val="1"/>
            <c:leaderLines>
              <c:spPr>
                <a:ln w="9525">
                  <a:solidFill>
                    <a:schemeClr val="accent1">
                      <a:lumMod val="60000"/>
                      <a:lumOff val="40000"/>
                    </a:schemeClr>
                  </a:solidFill>
                </a:ln>
                <a:effectLst/>
              </c:spPr>
            </c:leaderLines>
            <c:extLst>
              <c:ext xmlns:c15="http://schemas.microsoft.com/office/drawing/2012/chart" uri="{CE6537A1-D6FC-4f65-9D91-7224C49458BB}"/>
            </c:extLst>
          </c:dLbls>
          <c:cat>
            <c:strRef>
              <c:f>Pivot_1!$E$13:$E$17</c:f>
              <c:strCache>
                <c:ptCount val="4"/>
                <c:pt idx="0">
                  <c:v>Alice</c:v>
                </c:pt>
                <c:pt idx="1">
                  <c:v>Barney</c:v>
                </c:pt>
                <c:pt idx="2">
                  <c:v>Carol</c:v>
                </c:pt>
                <c:pt idx="3">
                  <c:v>David</c:v>
                </c:pt>
              </c:strCache>
            </c:strRef>
          </c:cat>
          <c:val>
            <c:numRef>
              <c:f>Pivot_1!$F$13:$F$17</c:f>
              <c:numCache>
                <c:formatCode>0.00%</c:formatCode>
                <c:ptCount val="4"/>
                <c:pt idx="0">
                  <c:v>0.24380804522868846</c:v>
                </c:pt>
                <c:pt idx="1">
                  <c:v>0.26413823813837561</c:v>
                </c:pt>
                <c:pt idx="2">
                  <c:v>0.23699816343964072</c:v>
                </c:pt>
                <c:pt idx="3">
                  <c:v>0.2550555531932952</c:v>
                </c:pt>
              </c:numCache>
            </c:numRef>
          </c:val>
          <c:extLst>
            <c:ext xmlns:c16="http://schemas.microsoft.com/office/drawing/2014/chart" uri="{C3380CC4-5D6E-409C-BE32-E72D297353CC}">
              <c16:uniqueId val="{00000000-511C-4538-8A77-DE6DE5607E33}"/>
            </c:ext>
          </c:extLst>
        </c:ser>
        <c:dLbls>
          <c:dLblPos val="inEnd"/>
          <c:showLegendKey val="0"/>
          <c:showVal val="0"/>
          <c:showCatName val="1"/>
          <c:showSerName val="0"/>
          <c:showPercent val="1"/>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1"/>
    </a:solidFill>
    <a:ln w="9525" cap="flat" cmpd="sng" algn="ctr">
      <a:solidFill>
        <a:schemeClr val="accent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[Excel_Dashboard_1.xlsm]Pivot_1!PivotTable3</c:name>
    <c:fmtId val="0"/>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Pivot_1!$B$25</c:f>
              <c:strCache>
                <c:ptCount val="1"/>
                <c:pt idx="0">
                  <c:v>Sum of Sales Amount ($)</c:v>
                </c:pt>
              </c:strCache>
            </c:strRef>
          </c:tx>
          <c:spPr>
            <a:solidFill>
              <a:schemeClr val="accent1"/>
            </a:solidFill>
            <a:ln>
              <a:noFill/>
            </a:ln>
            <a:effectLst/>
          </c:spPr>
          <c:cat>
            <c:strRef>
              <c:f>Pivot_1!$A$26:$A$57</c:f>
              <c:strCach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strCache>
            </c:strRef>
          </c:cat>
          <c:val>
            <c:numRef>
              <c:f>Pivot_1!$B$26:$B$57</c:f>
              <c:numCache>
                <c:formatCode>General</c:formatCode>
                <c:ptCount val="31"/>
                <c:pt idx="0">
                  <c:v>14883</c:v>
                </c:pt>
                <c:pt idx="1">
                  <c:v>15539</c:v>
                </c:pt>
                <c:pt idx="2">
                  <c:v>12707</c:v>
                </c:pt>
                <c:pt idx="3">
                  <c:v>15074</c:v>
                </c:pt>
                <c:pt idx="4">
                  <c:v>17198</c:v>
                </c:pt>
                <c:pt idx="5">
                  <c:v>12568</c:v>
                </c:pt>
                <c:pt idx="6">
                  <c:v>13381</c:v>
                </c:pt>
                <c:pt idx="7">
                  <c:v>16149</c:v>
                </c:pt>
                <c:pt idx="8">
                  <c:v>15012</c:v>
                </c:pt>
                <c:pt idx="9">
                  <c:v>17762</c:v>
                </c:pt>
                <c:pt idx="10">
                  <c:v>15674</c:v>
                </c:pt>
                <c:pt idx="11">
                  <c:v>16568</c:v>
                </c:pt>
                <c:pt idx="12">
                  <c:v>12414</c:v>
                </c:pt>
                <c:pt idx="13">
                  <c:v>15618</c:v>
                </c:pt>
                <c:pt idx="14">
                  <c:v>15724</c:v>
                </c:pt>
                <c:pt idx="15">
                  <c:v>13177</c:v>
                </c:pt>
                <c:pt idx="16">
                  <c:v>15378</c:v>
                </c:pt>
                <c:pt idx="17">
                  <c:v>16759</c:v>
                </c:pt>
                <c:pt idx="18">
                  <c:v>6222</c:v>
                </c:pt>
                <c:pt idx="19">
                  <c:v>13710</c:v>
                </c:pt>
                <c:pt idx="20">
                  <c:v>13242</c:v>
                </c:pt>
                <c:pt idx="21">
                  <c:v>15319</c:v>
                </c:pt>
                <c:pt idx="22">
                  <c:v>14696</c:v>
                </c:pt>
                <c:pt idx="23">
                  <c:v>10607</c:v>
                </c:pt>
                <c:pt idx="24">
                  <c:v>15468</c:v>
                </c:pt>
                <c:pt idx="25">
                  <c:v>15583</c:v>
                </c:pt>
                <c:pt idx="26">
                  <c:v>12433</c:v>
                </c:pt>
                <c:pt idx="27">
                  <c:v>17721</c:v>
                </c:pt>
                <c:pt idx="28">
                  <c:v>11466</c:v>
                </c:pt>
                <c:pt idx="29">
                  <c:v>9616</c:v>
                </c:pt>
                <c:pt idx="30">
                  <c:v>13854</c:v>
                </c:pt>
              </c:numCache>
            </c:numRef>
          </c:val>
          <c:extLst>
            <c:ext xmlns:c16="http://schemas.microsoft.com/office/drawing/2014/chart" uri="{C3380CC4-5D6E-409C-BE32-E72D297353CC}">
              <c16:uniqueId val="{00000000-8154-4C00-A9ED-53F19A991027}"/>
            </c:ext>
          </c:extLst>
        </c:ser>
        <c:dLbls>
          <c:showLegendKey val="0"/>
          <c:showVal val="0"/>
          <c:showCatName val="0"/>
          <c:showSerName val="0"/>
          <c:showPercent val="0"/>
          <c:showBubbleSize val="0"/>
        </c:dLbls>
        <c:axId val="935138384"/>
        <c:axId val="935116304"/>
      </c:areaChart>
      <c:lineChart>
        <c:grouping val="standard"/>
        <c:varyColors val="0"/>
        <c:ser>
          <c:idx val="1"/>
          <c:order val="1"/>
          <c:tx>
            <c:strRef>
              <c:f>Pivot_1!$C$25</c:f>
              <c:strCache>
                <c:ptCount val="1"/>
                <c:pt idx="0">
                  <c:v>Sum of Transaction Amount</c:v>
                </c:pt>
              </c:strCache>
            </c:strRef>
          </c:tx>
          <c:spPr>
            <a:ln w="28575" cap="rnd">
              <a:solidFill>
                <a:schemeClr val="accent2"/>
              </a:solidFill>
              <a:round/>
            </a:ln>
            <a:effectLst/>
          </c:spPr>
          <c:marker>
            <c:symbol val="none"/>
          </c:marker>
          <c:cat>
            <c:strRef>
              <c:f>Pivot_1!$A$26:$A$57</c:f>
              <c:strCach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strCache>
            </c:strRef>
          </c:cat>
          <c:val>
            <c:numRef>
              <c:f>Pivot_1!$C$26:$C$57</c:f>
              <c:numCache>
                <c:formatCode>0</c:formatCode>
                <c:ptCount val="31"/>
                <c:pt idx="0">
                  <c:v>1073.5711330909737</c:v>
                </c:pt>
                <c:pt idx="1">
                  <c:v>1375.5717658862504</c:v>
                </c:pt>
                <c:pt idx="2">
                  <c:v>724.14661121575182</c:v>
                </c:pt>
                <c:pt idx="3">
                  <c:v>1283.9456928478405</c:v>
                </c:pt>
                <c:pt idx="4">
                  <c:v>1404.710280415688</c:v>
                </c:pt>
                <c:pt idx="5">
                  <c:v>1080.8096232540599</c:v>
                </c:pt>
                <c:pt idx="6">
                  <c:v>1209.2335873024945</c:v>
                </c:pt>
                <c:pt idx="7">
                  <c:v>1286.1702498559669</c:v>
                </c:pt>
                <c:pt idx="8">
                  <c:v>1278.7228382379437</c:v>
                </c:pt>
                <c:pt idx="9">
                  <c:v>1440.1022711394958</c:v>
                </c:pt>
                <c:pt idx="10">
                  <c:v>1266.3856402027097</c:v>
                </c:pt>
                <c:pt idx="11">
                  <c:v>1195.7850082299508</c:v>
                </c:pt>
                <c:pt idx="12">
                  <c:v>1206.3617157352337</c:v>
                </c:pt>
                <c:pt idx="13">
                  <c:v>1228.5439177990829</c:v>
                </c:pt>
                <c:pt idx="14">
                  <c:v>1970.3543961889209</c:v>
                </c:pt>
                <c:pt idx="15">
                  <c:v>1148.4584555267331</c:v>
                </c:pt>
                <c:pt idx="16">
                  <c:v>954.90963321547224</c:v>
                </c:pt>
                <c:pt idx="17">
                  <c:v>1084.9006740551949</c:v>
                </c:pt>
                <c:pt idx="18">
                  <c:v>403.37730519485177</c:v>
                </c:pt>
                <c:pt idx="19">
                  <c:v>731.90683462952541</c:v>
                </c:pt>
                <c:pt idx="20">
                  <c:v>1010.8501074006668</c:v>
                </c:pt>
                <c:pt idx="21">
                  <c:v>1661.4634035914314</c:v>
                </c:pt>
                <c:pt idx="22">
                  <c:v>1105.6836028122905</c:v>
                </c:pt>
                <c:pt idx="23">
                  <c:v>1096.0696562246812</c:v>
                </c:pt>
                <c:pt idx="24">
                  <c:v>1408.6139532272555</c:v>
                </c:pt>
                <c:pt idx="25">
                  <c:v>1534.5955020246611</c:v>
                </c:pt>
                <c:pt idx="26">
                  <c:v>1548.5136905710795</c:v>
                </c:pt>
                <c:pt idx="27">
                  <c:v>1395.9043114259691</c:v>
                </c:pt>
                <c:pt idx="28">
                  <c:v>933.83836741028529</c:v>
                </c:pt>
                <c:pt idx="29">
                  <c:v>1047.1467769482647</c:v>
                </c:pt>
                <c:pt idx="30">
                  <c:v>1393.9338800300968</c:v>
                </c:pt>
              </c:numCache>
            </c:numRef>
          </c:val>
          <c:smooth val="0"/>
          <c:extLst>
            <c:ext xmlns:c16="http://schemas.microsoft.com/office/drawing/2014/chart" uri="{C3380CC4-5D6E-409C-BE32-E72D297353CC}">
              <c16:uniqueId val="{00000001-8154-4C00-A9ED-53F19A991027}"/>
            </c:ext>
          </c:extLst>
        </c:ser>
        <c:dLbls>
          <c:showLegendKey val="0"/>
          <c:showVal val="0"/>
          <c:showCatName val="0"/>
          <c:showSerName val="0"/>
          <c:showPercent val="0"/>
          <c:showBubbleSize val="0"/>
        </c:dLbls>
        <c:marker val="1"/>
        <c:smooth val="0"/>
        <c:axId val="935133104"/>
        <c:axId val="935132624"/>
      </c:lineChart>
      <c:catAx>
        <c:axId val="9351383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35116304"/>
        <c:crosses val="autoZero"/>
        <c:auto val="1"/>
        <c:lblAlgn val="ctr"/>
        <c:lblOffset val="100"/>
        <c:noMultiLvlLbl val="0"/>
      </c:catAx>
      <c:valAx>
        <c:axId val="93511630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35138384"/>
        <c:crosses val="autoZero"/>
        <c:crossBetween val="between"/>
        <c:dispUnits>
          <c:builtInUnit val="thousands"/>
          <c:dispUnitsLbl>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dispUnitsLbl>
        </c:dispUnits>
      </c:valAx>
      <c:valAx>
        <c:axId val="935132624"/>
        <c:scaling>
          <c:orientation val="minMax"/>
        </c:scaling>
        <c:delete val="0"/>
        <c:axPos val="r"/>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35133104"/>
        <c:crosses val="max"/>
        <c:crossBetween val="between"/>
      </c:valAx>
      <c:catAx>
        <c:axId val="935133104"/>
        <c:scaling>
          <c:orientation val="minMax"/>
        </c:scaling>
        <c:delete val="1"/>
        <c:axPos val="b"/>
        <c:numFmt formatCode="General" sourceLinked="1"/>
        <c:majorTickMark val="out"/>
        <c:minorTickMark val="none"/>
        <c:tickLblPos val="nextTo"/>
        <c:crossAx val="935132624"/>
        <c:crosses val="autoZero"/>
        <c:auto val="1"/>
        <c:lblAlgn val="ctr"/>
        <c:lblOffset val="100"/>
        <c:noMultiLvlLbl val="0"/>
      </c:cat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[Excel_Dashboard_1.xlsm]Pivot_1!PivotTable8</c:name>
    <c:fmtId val="4"/>
  </c:pivotSource>
  <c:chart>
    <c:autoTitleDeleted val="1"/>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Pivot_1!$B$60:$B$61</c:f>
              <c:strCache>
                <c:ptCount val="1"/>
                <c:pt idx="0">
                  <c:v>Games</c:v>
                </c:pt>
              </c:strCache>
            </c:strRef>
          </c:tx>
          <c:spPr>
            <a:ln w="28575" cap="rnd">
              <a:solidFill>
                <a:schemeClr val="accent1"/>
              </a:solidFill>
              <a:round/>
            </a:ln>
            <a:effectLst/>
          </c:spPr>
          <c:marker>
            <c:symbol val="none"/>
          </c:marker>
          <c:cat>
            <c:strRef>
              <c:f>Pivot_1!$A$62:$A$93</c:f>
              <c:strCach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strCache>
            </c:strRef>
          </c:cat>
          <c:val>
            <c:numRef>
              <c:f>Pivot_1!$B$62:$B$93</c:f>
              <c:numCache>
                <c:formatCode>0</c:formatCode>
                <c:ptCount val="31"/>
                <c:pt idx="0">
                  <c:v>197.50052481631428</c:v>
                </c:pt>
                <c:pt idx="1">
                  <c:v>142.17638116425658</c:v>
                </c:pt>
                <c:pt idx="2">
                  <c:v>100.61713369894574</c:v>
                </c:pt>
                <c:pt idx="3">
                  <c:v>33.531914893617021</c:v>
                </c:pt>
                <c:pt idx="4">
                  <c:v>137.20235358725924</c:v>
                </c:pt>
                <c:pt idx="5">
                  <c:v>121.73108330288636</c:v>
                </c:pt>
                <c:pt idx="6">
                  <c:v>52.519491094147583</c:v>
                </c:pt>
                <c:pt idx="7">
                  <c:v>206.74185736016722</c:v>
                </c:pt>
                <c:pt idx="8">
                  <c:v>88.722594729455793</c:v>
                </c:pt>
                <c:pt idx="9">
                  <c:v>139.58570352434759</c:v>
                </c:pt>
                <c:pt idx="10">
                  <c:v>73.101887540074216</c:v>
                </c:pt>
                <c:pt idx="11">
                  <c:v>95.980019980019989</c:v>
                </c:pt>
                <c:pt idx="12">
                  <c:v>107.0370879120879</c:v>
                </c:pt>
                <c:pt idx="13">
                  <c:v>160.12587519025874</c:v>
                </c:pt>
                <c:pt idx="14">
                  <c:v>28.571428571428573</c:v>
                </c:pt>
                <c:pt idx="15">
                  <c:v>74.474229437431489</c:v>
                </c:pt>
                <c:pt idx="16">
                  <c:v>139.90923095972963</c:v>
                </c:pt>
                <c:pt idx="17">
                  <c:v>181.76592280958479</c:v>
                </c:pt>
                <c:pt idx="18">
                  <c:v>42.686309372618744</c:v>
                </c:pt>
                <c:pt idx="19">
                  <c:v>153.50569102284788</c:v>
                </c:pt>
                <c:pt idx="20">
                  <c:v>47.913801884390118</c:v>
                </c:pt>
                <c:pt idx="21">
                  <c:v>71.361990950226243</c:v>
                </c:pt>
                <c:pt idx="22">
                  <c:v>155.59430255701241</c:v>
                </c:pt>
                <c:pt idx="23">
                  <c:v>55.137931034482762</c:v>
                </c:pt>
                <c:pt idx="24">
                  <c:v>170.30219780219781</c:v>
                </c:pt>
                <c:pt idx="25">
                  <c:v>62.393777246236262</c:v>
                </c:pt>
                <c:pt idx="26">
                  <c:v>114.29839334107626</c:v>
                </c:pt>
                <c:pt idx="27">
                  <c:v>166.16176948746471</c:v>
                </c:pt>
                <c:pt idx="28">
                  <c:v>35.27272727272728</c:v>
                </c:pt>
                <c:pt idx="29">
                  <c:v>92.210525260625502</c:v>
                </c:pt>
                <c:pt idx="30">
                  <c:v>90.997686524002305</c:v>
                </c:pt>
              </c:numCache>
            </c:numRef>
          </c:val>
          <c:smooth val="0"/>
          <c:extLst>
            <c:ext xmlns:c16="http://schemas.microsoft.com/office/drawing/2014/chart" uri="{C3380CC4-5D6E-409C-BE32-E72D297353CC}">
              <c16:uniqueId val="{00000000-C7C9-47D7-A419-E027761AE995}"/>
            </c:ext>
          </c:extLst>
        </c:ser>
        <c:dLbls>
          <c:showLegendKey val="0"/>
          <c:showVal val="0"/>
          <c:showCatName val="0"/>
          <c:showSerName val="0"/>
          <c:showPercent val="0"/>
          <c:showBubbleSize val="0"/>
        </c:dLbls>
        <c:hiLowLines>
          <c:spPr>
            <a:ln w="9525" cap="flat" cmpd="sng" algn="ctr">
              <a:solidFill>
                <a:schemeClr val="tx1">
                  <a:lumMod val="75000"/>
                  <a:lumOff val="25000"/>
                </a:schemeClr>
              </a:solidFill>
              <a:round/>
            </a:ln>
            <a:effectLst/>
          </c:spPr>
        </c:hiLowLines>
        <c:smooth val="0"/>
        <c:axId val="1190559632"/>
        <c:axId val="1190554352"/>
      </c:lineChart>
      <c:catAx>
        <c:axId val="11905596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90554352"/>
        <c:crosses val="autoZero"/>
        <c:auto val="1"/>
        <c:lblAlgn val="ctr"/>
        <c:lblOffset val="100"/>
        <c:noMultiLvlLbl val="0"/>
      </c:catAx>
      <c:valAx>
        <c:axId val="119055435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tr-TR"/>
                  <a:t>Music</a:t>
                </a:r>
                <a:r>
                  <a:rPr lang="tr-TR" baseline="0"/>
                  <a:t> Sales</a:t>
                </a:r>
                <a:endParaRPr lang="en-US"/>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90559632"/>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[Excel_Dashboard_1.xlsm]Pivot_2!PivotTable9</c:name>
    <c:fmtId val="1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Pivot_2!$B$15</c:f>
              <c:strCache>
                <c:ptCount val="1"/>
                <c:pt idx="0">
                  <c:v>Sum of Transaction Amount</c:v>
                </c:pt>
              </c:strCache>
            </c:strRef>
          </c:tx>
          <c:spPr>
            <a:solidFill>
              <a:schemeClr val="accent1"/>
            </a:solidFill>
            <a:ln>
              <a:noFill/>
            </a:ln>
            <a:effectLst/>
          </c:spPr>
          <c:invertIfNegative val="0"/>
          <c:cat>
            <c:strRef>
              <c:f>Pivot_2!$A$16:$A$20</c:f>
              <c:strCache>
                <c:ptCount val="4"/>
                <c:pt idx="0">
                  <c:v>Books</c:v>
                </c:pt>
                <c:pt idx="1">
                  <c:v>Clothing</c:v>
                </c:pt>
                <c:pt idx="2">
                  <c:v>Games</c:v>
                </c:pt>
                <c:pt idx="3">
                  <c:v>Music</c:v>
                </c:pt>
              </c:strCache>
            </c:strRef>
          </c:cat>
          <c:val>
            <c:numRef>
              <c:f>Pivot_2!$B$16:$B$20</c:f>
              <c:numCache>
                <c:formatCode>0.00%</c:formatCode>
                <c:ptCount val="4"/>
                <c:pt idx="0">
                  <c:v>0.2017626842299359</c:v>
                </c:pt>
                <c:pt idx="1">
                  <c:v>0.11233548263058708</c:v>
                </c:pt>
                <c:pt idx="2">
                  <c:v>8.908014296626654E-2</c:v>
                </c:pt>
                <c:pt idx="3">
                  <c:v>0.59682169017321063</c:v>
                </c:pt>
              </c:numCache>
            </c:numRef>
          </c:val>
          <c:extLst>
            <c:ext xmlns:c16="http://schemas.microsoft.com/office/drawing/2014/chart" uri="{C3380CC4-5D6E-409C-BE32-E72D297353CC}">
              <c16:uniqueId val="{00000000-2BF4-4108-B820-D15D9EE68FFE}"/>
            </c:ext>
          </c:extLst>
        </c:ser>
        <c:dLbls>
          <c:showLegendKey val="0"/>
          <c:showVal val="0"/>
          <c:showCatName val="0"/>
          <c:showSerName val="0"/>
          <c:showPercent val="0"/>
          <c:showBubbleSize val="0"/>
        </c:dLbls>
        <c:gapWidth val="150"/>
        <c:axId val="1287324848"/>
        <c:axId val="1287325808"/>
      </c:barChart>
      <c:lineChart>
        <c:grouping val="standard"/>
        <c:varyColors val="0"/>
        <c:ser>
          <c:idx val="1"/>
          <c:order val="1"/>
          <c:tx>
            <c:strRef>
              <c:f>Pivot_2!$C$15</c:f>
              <c:strCache>
                <c:ptCount val="1"/>
                <c:pt idx="0">
                  <c:v>Sum of Sales Amount ($)</c:v>
                </c:pt>
              </c:strCache>
            </c:strRef>
          </c:tx>
          <c:spPr>
            <a:ln w="28575" cap="rnd">
              <a:solidFill>
                <a:schemeClr val="accent2"/>
              </a:solidFill>
              <a:round/>
            </a:ln>
            <a:effectLst/>
          </c:spPr>
          <c:marker>
            <c:symbol val="none"/>
          </c:marker>
          <c:cat>
            <c:strRef>
              <c:f>Pivot_2!$A$16:$A$20</c:f>
              <c:strCache>
                <c:ptCount val="4"/>
                <c:pt idx="0">
                  <c:v>Books</c:v>
                </c:pt>
                <c:pt idx="1">
                  <c:v>Clothing</c:v>
                </c:pt>
                <c:pt idx="2">
                  <c:v>Games</c:v>
                </c:pt>
                <c:pt idx="3">
                  <c:v>Music</c:v>
                </c:pt>
              </c:strCache>
            </c:strRef>
          </c:cat>
          <c:val>
            <c:numRef>
              <c:f>Pivot_2!$C$16:$C$20</c:f>
              <c:numCache>
                <c:formatCode>0.00%</c:formatCode>
                <c:ptCount val="4"/>
                <c:pt idx="0">
                  <c:v>0.15797853787580235</c:v>
                </c:pt>
                <c:pt idx="1">
                  <c:v>0.26412953374916764</c:v>
                </c:pt>
                <c:pt idx="2">
                  <c:v>0.33793106572265935</c:v>
                </c:pt>
                <c:pt idx="3">
                  <c:v>0.23996086265237065</c:v>
                </c:pt>
              </c:numCache>
            </c:numRef>
          </c:val>
          <c:smooth val="0"/>
          <c:extLst>
            <c:ext xmlns:c16="http://schemas.microsoft.com/office/drawing/2014/chart" uri="{C3380CC4-5D6E-409C-BE32-E72D297353CC}">
              <c16:uniqueId val="{00000002-2BF4-4108-B820-D15D9EE68FFE}"/>
            </c:ext>
          </c:extLst>
        </c:ser>
        <c:dLbls>
          <c:showLegendKey val="0"/>
          <c:showVal val="0"/>
          <c:showCatName val="0"/>
          <c:showSerName val="0"/>
          <c:showPercent val="0"/>
          <c:showBubbleSize val="0"/>
        </c:dLbls>
        <c:marker val="1"/>
        <c:smooth val="0"/>
        <c:axId val="1287324848"/>
        <c:axId val="1287325808"/>
      </c:lineChart>
      <c:catAx>
        <c:axId val="12873248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87325808"/>
        <c:crosses val="autoZero"/>
        <c:auto val="1"/>
        <c:lblAlgn val="ctr"/>
        <c:lblOffset val="100"/>
        <c:noMultiLvlLbl val="0"/>
      </c:catAx>
      <c:valAx>
        <c:axId val="1287325808"/>
        <c:scaling>
          <c:orientation val="minMax"/>
          <c:max val="0.60000000000000009"/>
        </c:scaling>
        <c:delete val="0"/>
        <c:axPos val="l"/>
        <c:majorGridlines>
          <c:spPr>
            <a:ln w="9525" cap="flat" cmpd="sng" algn="ctr">
              <a:solidFill>
                <a:schemeClr val="tx1">
                  <a:lumMod val="15000"/>
                  <a:lumOff val="85000"/>
                </a:schemeClr>
              </a:solidFill>
              <a:round/>
            </a:ln>
            <a:effectLst/>
          </c:spPr>
        </c:majorGridlines>
        <c:numFmt formatCode="0%" sourceLinked="0"/>
        <c:majorTickMark val="out"/>
        <c:minorTickMark val="in"/>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87324848"/>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dPt>
            <c:idx val="0"/>
            <c:bubble3D val="0"/>
            <c:spPr>
              <a:solidFill>
                <a:srgbClr val="FFFF00"/>
              </a:solidFill>
              <a:ln w="19050">
                <a:solidFill>
                  <a:schemeClr val="lt1"/>
                </a:solidFill>
              </a:ln>
              <a:effectLst/>
            </c:spPr>
            <c:extLst>
              <c:ext xmlns:c16="http://schemas.microsoft.com/office/drawing/2014/chart" uri="{C3380CC4-5D6E-409C-BE32-E72D297353CC}">
                <c16:uniqueId val="{00000007-316F-4E14-BD41-4A9B2D3061D7}"/>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E264-456A-B174-A630F4571BA0}"/>
              </c:ext>
            </c:extLst>
          </c:dPt>
          <c:dPt>
            <c:idx val="2"/>
            <c:bubble3D val="0"/>
            <c:spPr>
              <a:solidFill>
                <a:srgbClr val="92D050"/>
              </a:solidFill>
              <a:ln w="19050">
                <a:solidFill>
                  <a:schemeClr val="lt1"/>
                </a:solidFill>
              </a:ln>
              <a:effectLst/>
            </c:spPr>
            <c:extLst>
              <c:ext xmlns:c16="http://schemas.microsoft.com/office/drawing/2014/chart" uri="{C3380CC4-5D6E-409C-BE32-E72D297353CC}">
                <c16:uniqueId val="{00000006-316F-4E14-BD41-4A9B2D3061D7}"/>
              </c:ext>
            </c:extLst>
          </c:dPt>
          <c:dPt>
            <c:idx val="3"/>
            <c:bubble3D val="0"/>
            <c:spPr>
              <a:noFill/>
              <a:ln w="19050">
                <a:noFill/>
              </a:ln>
              <a:effectLst/>
            </c:spPr>
            <c:extLst>
              <c:ext xmlns:c16="http://schemas.microsoft.com/office/drawing/2014/chart" uri="{C3380CC4-5D6E-409C-BE32-E72D297353CC}">
                <c16:uniqueId val="{00000008-316F-4E14-BD41-4A9B2D3061D7}"/>
              </c:ext>
            </c:extLst>
          </c:dPt>
          <c:val>
            <c:numRef>
              <c:f>Pivot_2!$I$3:$I$6</c:f>
              <c:numCache>
                <c:formatCode>General</c:formatCode>
                <c:ptCount val="4"/>
                <c:pt idx="0">
                  <c:v>33.333333333333336</c:v>
                </c:pt>
                <c:pt idx="1">
                  <c:v>33.333333333333336</c:v>
                </c:pt>
                <c:pt idx="2">
                  <c:v>33.333333333333336</c:v>
                </c:pt>
                <c:pt idx="3">
                  <c:v>100</c:v>
                </c:pt>
              </c:numCache>
            </c:numRef>
          </c:val>
          <c:extLst>
            <c:ext xmlns:c16="http://schemas.microsoft.com/office/drawing/2014/chart" uri="{C3380CC4-5D6E-409C-BE32-E72D297353CC}">
              <c16:uniqueId val="{00000000-316F-4E14-BD41-4A9B2D3061D7}"/>
            </c:ext>
          </c:extLst>
        </c:ser>
        <c:dLbls>
          <c:showLegendKey val="0"/>
          <c:showVal val="0"/>
          <c:showCatName val="0"/>
          <c:showSerName val="0"/>
          <c:showPercent val="0"/>
          <c:showBubbleSize val="0"/>
          <c:showLeaderLines val="1"/>
        </c:dLbls>
        <c:firstSliceAng val="270"/>
        <c:holeSize val="50"/>
      </c:doughnutChart>
      <c:pieChart>
        <c:varyColors val="1"/>
        <c:ser>
          <c:idx val="1"/>
          <c:order val="1"/>
          <c:dPt>
            <c:idx val="0"/>
            <c:bubble3D val="0"/>
            <c:spPr>
              <a:noFill/>
              <a:ln w="19050">
                <a:noFill/>
              </a:ln>
              <a:effectLst/>
            </c:spPr>
            <c:extLst>
              <c:ext xmlns:c16="http://schemas.microsoft.com/office/drawing/2014/chart" uri="{C3380CC4-5D6E-409C-BE32-E72D297353CC}">
                <c16:uniqueId val="{00000003-316F-4E14-BD41-4A9B2D3061D7}"/>
              </c:ext>
            </c:extLst>
          </c:dPt>
          <c:dPt>
            <c:idx val="1"/>
            <c:bubble3D val="0"/>
            <c:spPr>
              <a:solidFill>
                <a:schemeClr val="tx1"/>
              </a:solidFill>
              <a:ln w="19050">
                <a:noFill/>
              </a:ln>
              <a:effectLst/>
            </c:spPr>
            <c:extLst>
              <c:ext xmlns:c16="http://schemas.microsoft.com/office/drawing/2014/chart" uri="{C3380CC4-5D6E-409C-BE32-E72D297353CC}">
                <c16:uniqueId val="{00000004-316F-4E14-BD41-4A9B2D3061D7}"/>
              </c:ext>
            </c:extLst>
          </c:dPt>
          <c:dPt>
            <c:idx val="2"/>
            <c:bubble3D val="0"/>
            <c:spPr>
              <a:noFill/>
              <a:ln w="9525">
                <a:noFill/>
              </a:ln>
              <a:effectLst/>
            </c:spPr>
            <c:extLst>
              <c:ext xmlns:c16="http://schemas.microsoft.com/office/drawing/2014/chart" uri="{C3380CC4-5D6E-409C-BE32-E72D297353CC}">
                <c16:uniqueId val="{00000005-316F-4E14-BD41-4A9B2D3061D7}"/>
              </c:ext>
            </c:extLst>
          </c:dPt>
          <c:dPt>
            <c:idx val="3"/>
            <c:bubble3D val="0"/>
            <c:spPr>
              <a:noFill/>
              <a:ln w="19050">
                <a:noFill/>
              </a:ln>
              <a:effectLst/>
            </c:spPr>
            <c:extLst>
              <c:ext xmlns:c16="http://schemas.microsoft.com/office/drawing/2014/chart" uri="{C3380CC4-5D6E-409C-BE32-E72D297353CC}">
                <c16:uniqueId val="{00000002-316F-4E14-BD41-4A9B2D3061D7}"/>
              </c:ext>
            </c:extLst>
          </c:dPt>
          <c:val>
            <c:numRef>
              <c:f>Pivot_2!$J$3:$J$6</c:f>
              <c:numCache>
                <c:formatCode>0%</c:formatCode>
                <c:ptCount val="4"/>
                <c:pt idx="0">
                  <c:v>0.2</c:v>
                </c:pt>
                <c:pt idx="1">
                  <c:v>0.01</c:v>
                </c:pt>
                <c:pt idx="2">
                  <c:v>0.79</c:v>
                </c:pt>
                <c:pt idx="3">
                  <c:v>1</c:v>
                </c:pt>
              </c:numCache>
            </c:numRef>
          </c:val>
          <c:extLst>
            <c:ext xmlns:c16="http://schemas.microsoft.com/office/drawing/2014/chart" uri="{C3380CC4-5D6E-409C-BE32-E72D297353CC}">
              <c16:uniqueId val="{00000001-316F-4E14-BD41-4A9B2D3061D7}"/>
            </c:ext>
          </c:extLst>
        </c:ser>
        <c:dLbls>
          <c:showLegendKey val="0"/>
          <c:showVal val="0"/>
          <c:showCatName val="0"/>
          <c:showSerName val="0"/>
          <c:showPercent val="0"/>
          <c:showBubbleSize val="0"/>
          <c:showLeaderLines val="1"/>
        </c:dLbls>
        <c:firstSliceAng val="27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spPr>
            <a:solidFill>
              <a:schemeClr val="bg1"/>
            </a:solidFill>
            <a:ln>
              <a:solidFill>
                <a:srgbClr val="00B050">
                  <a:alpha val="25000"/>
                </a:srgbClr>
              </a:solidFill>
            </a:ln>
          </c:spPr>
          <c:dPt>
            <c:idx val="0"/>
            <c:bubble3D val="0"/>
            <c:spPr>
              <a:solidFill>
                <a:schemeClr val="bg1"/>
              </a:solidFill>
              <a:ln w="19050">
                <a:solidFill>
                  <a:srgbClr val="00B050">
                    <a:alpha val="25000"/>
                  </a:srgbClr>
                </a:solidFill>
              </a:ln>
              <a:effectLst/>
            </c:spPr>
            <c:extLst>
              <c:ext xmlns:c16="http://schemas.microsoft.com/office/drawing/2014/chart" uri="{C3380CC4-5D6E-409C-BE32-E72D297353CC}">
                <c16:uniqueId val="{00000001-53FB-4AFC-A6D6-B16BDCA8C97A}"/>
              </c:ext>
            </c:extLst>
          </c:dPt>
          <c:dPt>
            <c:idx val="1"/>
            <c:bubble3D val="0"/>
            <c:spPr>
              <a:solidFill>
                <a:schemeClr val="bg1"/>
              </a:solidFill>
              <a:ln w="19050">
                <a:solidFill>
                  <a:srgbClr val="00B050">
                    <a:alpha val="25000"/>
                  </a:srgbClr>
                </a:solidFill>
              </a:ln>
              <a:effectLst/>
            </c:spPr>
            <c:extLst>
              <c:ext xmlns:c16="http://schemas.microsoft.com/office/drawing/2014/chart" uri="{C3380CC4-5D6E-409C-BE32-E72D297353CC}">
                <c16:uniqueId val="{00000003-53FB-4AFC-A6D6-B16BDCA8C97A}"/>
              </c:ext>
            </c:extLst>
          </c:dPt>
          <c:dPt>
            <c:idx val="2"/>
            <c:bubble3D val="0"/>
            <c:spPr>
              <a:solidFill>
                <a:schemeClr val="bg1"/>
              </a:solidFill>
              <a:ln w="19050">
                <a:solidFill>
                  <a:srgbClr val="00B050">
                    <a:alpha val="25000"/>
                  </a:srgbClr>
                </a:solidFill>
              </a:ln>
              <a:effectLst/>
            </c:spPr>
            <c:extLst>
              <c:ext xmlns:c16="http://schemas.microsoft.com/office/drawing/2014/chart" uri="{C3380CC4-5D6E-409C-BE32-E72D297353CC}">
                <c16:uniqueId val="{00000005-53FB-4AFC-A6D6-B16BDCA8C97A}"/>
              </c:ext>
            </c:extLst>
          </c:dPt>
          <c:dPt>
            <c:idx val="3"/>
            <c:bubble3D val="0"/>
            <c:spPr>
              <a:solidFill>
                <a:schemeClr val="bg1"/>
              </a:solidFill>
              <a:ln w="19050">
                <a:solidFill>
                  <a:srgbClr val="00B050">
                    <a:alpha val="25000"/>
                  </a:srgbClr>
                </a:solidFill>
              </a:ln>
              <a:effectLst/>
            </c:spPr>
            <c:extLst>
              <c:ext xmlns:c16="http://schemas.microsoft.com/office/drawing/2014/chart" uri="{C3380CC4-5D6E-409C-BE32-E72D297353CC}">
                <c16:uniqueId val="{00000007-53FB-4AFC-A6D6-B16BDCA8C97A}"/>
              </c:ext>
            </c:extLst>
          </c:dPt>
          <c:dPt>
            <c:idx val="4"/>
            <c:bubble3D val="0"/>
            <c:spPr>
              <a:solidFill>
                <a:schemeClr val="bg1"/>
              </a:solidFill>
              <a:ln w="19050">
                <a:solidFill>
                  <a:srgbClr val="00B050">
                    <a:alpha val="25000"/>
                  </a:srgbClr>
                </a:solidFill>
              </a:ln>
              <a:effectLst/>
            </c:spPr>
            <c:extLst>
              <c:ext xmlns:c16="http://schemas.microsoft.com/office/drawing/2014/chart" uri="{C3380CC4-5D6E-409C-BE32-E72D297353CC}">
                <c16:uniqueId val="{00000009-53FB-4AFC-A6D6-B16BDCA8C97A}"/>
              </c:ext>
            </c:extLst>
          </c:dPt>
          <c:dPt>
            <c:idx val="5"/>
            <c:bubble3D val="0"/>
            <c:spPr>
              <a:solidFill>
                <a:schemeClr val="bg1"/>
              </a:solidFill>
              <a:ln w="19050">
                <a:solidFill>
                  <a:srgbClr val="00B050">
                    <a:alpha val="25000"/>
                  </a:srgbClr>
                </a:solidFill>
              </a:ln>
              <a:effectLst/>
            </c:spPr>
            <c:extLst>
              <c:ext xmlns:c16="http://schemas.microsoft.com/office/drawing/2014/chart" uri="{C3380CC4-5D6E-409C-BE32-E72D297353CC}">
                <c16:uniqueId val="{0000000B-53FB-4AFC-A6D6-B16BDCA8C97A}"/>
              </c:ext>
            </c:extLst>
          </c:dPt>
          <c:dPt>
            <c:idx val="6"/>
            <c:bubble3D val="0"/>
            <c:spPr>
              <a:solidFill>
                <a:schemeClr val="bg1"/>
              </a:solidFill>
              <a:ln w="19050">
                <a:solidFill>
                  <a:srgbClr val="00B050">
                    <a:alpha val="25000"/>
                  </a:srgbClr>
                </a:solidFill>
              </a:ln>
              <a:effectLst/>
            </c:spPr>
            <c:extLst>
              <c:ext xmlns:c16="http://schemas.microsoft.com/office/drawing/2014/chart" uri="{C3380CC4-5D6E-409C-BE32-E72D297353CC}">
                <c16:uniqueId val="{0000000D-53FB-4AFC-A6D6-B16BDCA8C97A}"/>
              </c:ext>
            </c:extLst>
          </c:dPt>
          <c:dPt>
            <c:idx val="7"/>
            <c:bubble3D val="0"/>
            <c:spPr>
              <a:solidFill>
                <a:schemeClr val="bg1"/>
              </a:solidFill>
              <a:ln w="19050">
                <a:solidFill>
                  <a:srgbClr val="00B050">
                    <a:alpha val="25000"/>
                  </a:srgbClr>
                </a:solidFill>
              </a:ln>
              <a:effectLst/>
            </c:spPr>
            <c:extLst>
              <c:ext xmlns:c16="http://schemas.microsoft.com/office/drawing/2014/chart" uri="{C3380CC4-5D6E-409C-BE32-E72D297353CC}">
                <c16:uniqueId val="{0000000F-53FB-4AFC-A6D6-B16BDCA8C97A}"/>
              </c:ext>
            </c:extLst>
          </c:dPt>
          <c:dPt>
            <c:idx val="8"/>
            <c:bubble3D val="0"/>
            <c:spPr>
              <a:solidFill>
                <a:schemeClr val="bg1"/>
              </a:solidFill>
              <a:ln w="19050">
                <a:solidFill>
                  <a:srgbClr val="00B050">
                    <a:alpha val="25000"/>
                  </a:srgbClr>
                </a:solidFill>
              </a:ln>
              <a:effectLst/>
            </c:spPr>
            <c:extLst>
              <c:ext xmlns:c16="http://schemas.microsoft.com/office/drawing/2014/chart" uri="{C3380CC4-5D6E-409C-BE32-E72D297353CC}">
                <c16:uniqueId val="{00000011-53FB-4AFC-A6D6-B16BDCA8C97A}"/>
              </c:ext>
            </c:extLst>
          </c:dPt>
          <c:dPt>
            <c:idx val="9"/>
            <c:bubble3D val="0"/>
            <c:spPr>
              <a:solidFill>
                <a:schemeClr val="bg1"/>
              </a:solidFill>
              <a:ln w="19050">
                <a:solidFill>
                  <a:srgbClr val="00B050">
                    <a:alpha val="25000"/>
                  </a:srgbClr>
                </a:solidFill>
              </a:ln>
              <a:effectLst/>
            </c:spPr>
            <c:extLst>
              <c:ext xmlns:c16="http://schemas.microsoft.com/office/drawing/2014/chart" uri="{C3380CC4-5D6E-409C-BE32-E72D297353CC}">
                <c16:uniqueId val="{00000013-53FB-4AFC-A6D6-B16BDCA8C97A}"/>
              </c:ext>
            </c:extLst>
          </c:dPt>
          <c:val>
            <c:numRef>
              <c:f>Pivot_3!$A$20:$J$20</c:f>
              <c:numCache>
                <c:formatCode>General</c:formatCode>
                <c:ptCount val="10"/>
                <c:pt idx="0">
                  <c:v>1</c:v>
                </c:pt>
                <c:pt idx="1">
                  <c:v>1</c:v>
                </c:pt>
                <c:pt idx="2">
                  <c:v>1</c:v>
                </c:pt>
                <c:pt idx="3">
                  <c:v>1</c:v>
                </c:pt>
                <c:pt idx="4">
                  <c:v>1</c:v>
                </c:pt>
                <c:pt idx="5">
                  <c:v>1</c:v>
                </c:pt>
                <c:pt idx="6">
                  <c:v>1</c:v>
                </c:pt>
                <c:pt idx="7">
                  <c:v>1</c:v>
                </c:pt>
                <c:pt idx="8">
                  <c:v>1</c:v>
                </c:pt>
                <c:pt idx="9">
                  <c:v>1</c:v>
                </c:pt>
              </c:numCache>
            </c:numRef>
          </c:val>
          <c:extLst>
            <c:ext xmlns:c16="http://schemas.microsoft.com/office/drawing/2014/chart" uri="{C3380CC4-5D6E-409C-BE32-E72D297353CC}">
              <c16:uniqueId val="{00000000-AA9A-4B31-9D9D-D700B75E1823}"/>
            </c:ext>
          </c:extLst>
        </c:ser>
        <c:dLbls>
          <c:showLegendKey val="0"/>
          <c:showVal val="0"/>
          <c:showCatName val="0"/>
          <c:showSerName val="0"/>
          <c:showPercent val="0"/>
          <c:showBubbleSize val="0"/>
          <c:showLeaderLines val="1"/>
        </c:dLbls>
        <c:firstSliceAng val="0"/>
        <c:holeSize val="75"/>
      </c:doughnutChart>
      <c:doughnutChart>
        <c:varyColors val="1"/>
        <c:ser>
          <c:idx val="1"/>
          <c:order val="1"/>
          <c:tx>
            <c:v>Series 2</c:v>
          </c:tx>
          <c:spPr>
            <a:ln>
              <a:noFill/>
            </a:ln>
          </c:spPr>
          <c:dPt>
            <c:idx val="0"/>
            <c:bubble3D val="0"/>
            <c:spPr>
              <a:solidFill>
                <a:schemeClr val="accent1"/>
              </a:solidFill>
              <a:ln w="19050">
                <a:noFill/>
              </a:ln>
              <a:effectLst/>
            </c:spPr>
            <c:extLst>
              <c:ext xmlns:c16="http://schemas.microsoft.com/office/drawing/2014/chart" uri="{C3380CC4-5D6E-409C-BE32-E72D297353CC}">
                <c16:uniqueId val="{00000015-53FB-4AFC-A6D6-B16BDCA8C97A}"/>
              </c:ext>
            </c:extLst>
          </c:dPt>
          <c:dPt>
            <c:idx val="1"/>
            <c:bubble3D val="0"/>
            <c:spPr>
              <a:solidFill>
                <a:schemeClr val="accent2"/>
              </a:solidFill>
              <a:ln w="19050">
                <a:noFill/>
              </a:ln>
              <a:effectLst/>
            </c:spPr>
            <c:extLst>
              <c:ext xmlns:c16="http://schemas.microsoft.com/office/drawing/2014/chart" uri="{C3380CC4-5D6E-409C-BE32-E72D297353CC}">
                <c16:uniqueId val="{00000017-53FB-4AFC-A6D6-B16BDCA8C97A}"/>
              </c:ext>
            </c:extLst>
          </c:dPt>
          <c:dPt>
            <c:idx val="2"/>
            <c:bubble3D val="0"/>
            <c:spPr>
              <a:noFill/>
              <a:ln w="19050">
                <a:noFill/>
              </a:ln>
              <a:effectLst/>
            </c:spPr>
            <c:extLst>
              <c:ext xmlns:c16="http://schemas.microsoft.com/office/drawing/2014/chart" uri="{C3380CC4-5D6E-409C-BE32-E72D297353CC}">
                <c16:uniqueId val="{00000002-AA9A-4B31-9D9D-D700B75E1823}"/>
              </c:ext>
            </c:extLst>
          </c:dPt>
          <c:val>
            <c:numRef>
              <c:f>Pivot_3!$B$10:$D$10</c:f>
              <c:numCache>
                <c:formatCode>General</c:formatCode>
                <c:ptCount val="3"/>
                <c:pt idx="0" formatCode="0.00">
                  <c:v>0.11722946229404799</c:v>
                </c:pt>
                <c:pt idx="1">
                  <c:v>0</c:v>
                </c:pt>
                <c:pt idx="2" formatCode="0.00">
                  <c:v>0.88277053770595204</c:v>
                </c:pt>
              </c:numCache>
            </c:numRef>
          </c:val>
          <c:extLst>
            <c:ext xmlns:c16="http://schemas.microsoft.com/office/drawing/2014/chart" uri="{C3380CC4-5D6E-409C-BE32-E72D297353CC}">
              <c16:uniqueId val="{00000001-AA9A-4B31-9D9D-D700B75E1823}"/>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60">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3175" cap="flat" cmpd="sng" algn="ctr">
        <a:solidFill>
          <a:schemeClr val="phClr">
            <a:lumMod val="60000"/>
            <a:lumOff val="40000"/>
          </a:schemeClr>
        </a:solidFill>
        <a:round/>
      </a:ln>
    </cs:spPr>
    <cs:defRPr sz="800" kern="1200" cap="all" spc="150" normalizeH="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styleClr val="0"/>
    </cs:lnRef>
    <cs:fillRef idx="0"/>
    <cs:effectRef idx="0"/>
    <cs:fontRef idx="minor">
      <cs:styleClr val="0"/>
    </cs:fontRef>
    <cs:defRPr sz="900" b="1" kern="1200"/>
  </cs:dataLabel>
  <cs:dataLabelCallout>
    <cs:lnRef idx="0">
      <cs:styleClr val="0"/>
    </cs:lnRef>
    <cs:fillRef idx="0"/>
    <cs:effectRef idx="0"/>
    <cs:fontRef idx="minor">
      <cs:styleClr val="0"/>
    </cs:fontRef>
    <cs:spPr>
      <a:solidFill>
        <a:schemeClr val="lt1"/>
      </a:solidFill>
      <a:ln>
        <a:solidFill>
          <a:schemeClr val="phClr"/>
        </a:solidFill>
      </a:ln>
    </cs:spPr>
    <cs:defRPr sz="900" b="1" kern="1200"/>
    <cs:bodyPr rot="0" spcFirstLastPara="1" vertOverflow="clip" horzOverflow="clip" vert="horz" wrap="square" lIns="36576" tIns="18288" rIns="36576" bIns="18288" anchor="ctr" anchorCtr="1">
      <a:spAutoFit/>
    </cs:bodyPr>
  </cs:dataLabelCallout>
  <cs:dataPoint>
    <cs:lnRef idx="0">
      <cs:styleClr val="0"/>
    </cs:lnRef>
    <cs:fillRef idx="0"/>
    <cs:effectRef idx="0"/>
    <cs:fontRef idx="minor">
      <a:schemeClr val="dk1"/>
    </cs:fontRef>
    <cs:spPr>
      <a:solidFill>
        <a:schemeClr val="lt1"/>
      </a:solidFill>
      <a:ln w="19050">
        <a:solidFill>
          <a:schemeClr val="phClr"/>
        </a:solidFill>
      </a:ln>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styleClr val="0"/>
    </cs:lnRef>
    <cs:fillRef idx="0"/>
    <cs:effectRef idx="0"/>
    <cs:fontRef idx="minor">
      <a:schemeClr val="dk1"/>
    </cs:fontRef>
    <cs:spPr>
      <a:ln w="9525">
        <a:solidFill>
          <a:schemeClr val="phClr">
            <a:lumMod val="60000"/>
            <a:lumOff val="40000"/>
          </a:schemeClr>
        </a:solidFill>
        <a:prstDash val="dash"/>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60">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3175" cap="flat" cmpd="sng" algn="ctr">
        <a:solidFill>
          <a:schemeClr val="phClr">
            <a:lumMod val="60000"/>
            <a:lumOff val="40000"/>
          </a:schemeClr>
        </a:solidFill>
        <a:round/>
      </a:ln>
    </cs:spPr>
    <cs:defRPr sz="800" kern="1200" cap="all" spc="150" normalizeH="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styleClr val="0"/>
    </cs:lnRef>
    <cs:fillRef idx="0"/>
    <cs:effectRef idx="0"/>
    <cs:fontRef idx="minor">
      <cs:styleClr val="0"/>
    </cs:fontRef>
    <cs:defRPr sz="900" b="1" kern="1200"/>
  </cs:dataLabel>
  <cs:dataLabelCallout>
    <cs:lnRef idx="0">
      <cs:styleClr val="0"/>
    </cs:lnRef>
    <cs:fillRef idx="0"/>
    <cs:effectRef idx="0"/>
    <cs:fontRef idx="minor">
      <cs:styleClr val="0"/>
    </cs:fontRef>
    <cs:spPr>
      <a:solidFill>
        <a:schemeClr val="lt1"/>
      </a:solidFill>
      <a:ln>
        <a:solidFill>
          <a:schemeClr val="phClr"/>
        </a:solidFill>
      </a:ln>
    </cs:spPr>
    <cs:defRPr sz="900" b="1" kern="1200"/>
    <cs:bodyPr rot="0" spcFirstLastPara="1" vertOverflow="clip" horzOverflow="clip" vert="horz" wrap="square" lIns="36576" tIns="18288" rIns="36576" bIns="18288" anchor="ctr" anchorCtr="1">
      <a:spAutoFit/>
    </cs:bodyPr>
  </cs:dataLabelCallout>
  <cs:dataPoint>
    <cs:lnRef idx="0">
      <cs:styleClr val="0"/>
    </cs:lnRef>
    <cs:fillRef idx="0"/>
    <cs:effectRef idx="0"/>
    <cs:fontRef idx="minor">
      <a:schemeClr val="dk1"/>
    </cs:fontRef>
    <cs:spPr>
      <a:solidFill>
        <a:schemeClr val="lt1"/>
      </a:solidFill>
      <a:ln w="19050">
        <a:solidFill>
          <a:schemeClr val="phClr"/>
        </a:solidFill>
      </a:ln>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styleClr val="0"/>
    </cs:lnRef>
    <cs:fillRef idx="0"/>
    <cs:effectRef idx="0"/>
    <cs:fontRef idx="minor">
      <a:schemeClr val="dk1"/>
    </cs:fontRef>
    <cs:spPr>
      <a:ln w="9525">
        <a:solidFill>
          <a:schemeClr val="phClr">
            <a:lumMod val="60000"/>
            <a:lumOff val="40000"/>
          </a:schemeClr>
        </a:solidFill>
        <a:prstDash val="dash"/>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60">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3175" cap="flat" cmpd="sng" algn="ctr">
        <a:solidFill>
          <a:schemeClr val="phClr">
            <a:lumMod val="60000"/>
            <a:lumOff val="40000"/>
          </a:schemeClr>
        </a:solidFill>
        <a:round/>
      </a:ln>
    </cs:spPr>
    <cs:defRPr sz="800" kern="1200" cap="all" spc="150" normalizeH="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styleClr val="0"/>
    </cs:lnRef>
    <cs:fillRef idx="0"/>
    <cs:effectRef idx="0"/>
    <cs:fontRef idx="minor">
      <cs:styleClr val="0"/>
    </cs:fontRef>
    <cs:defRPr sz="900" b="1" kern="1200"/>
  </cs:dataLabel>
  <cs:dataLabelCallout>
    <cs:lnRef idx="0">
      <cs:styleClr val="0"/>
    </cs:lnRef>
    <cs:fillRef idx="0"/>
    <cs:effectRef idx="0"/>
    <cs:fontRef idx="minor">
      <cs:styleClr val="0"/>
    </cs:fontRef>
    <cs:spPr>
      <a:solidFill>
        <a:schemeClr val="lt1"/>
      </a:solidFill>
      <a:ln>
        <a:solidFill>
          <a:schemeClr val="phClr"/>
        </a:solidFill>
      </a:ln>
    </cs:spPr>
    <cs:defRPr sz="900" b="1" kern="1200"/>
    <cs:bodyPr rot="0" spcFirstLastPara="1" vertOverflow="clip" horzOverflow="clip" vert="horz" wrap="square" lIns="36576" tIns="18288" rIns="36576" bIns="18288" anchor="ctr" anchorCtr="1">
      <a:spAutoFit/>
    </cs:bodyPr>
  </cs:dataLabelCallout>
  <cs:dataPoint>
    <cs:lnRef idx="0">
      <cs:styleClr val="0"/>
    </cs:lnRef>
    <cs:fillRef idx="0"/>
    <cs:effectRef idx="0"/>
    <cs:fontRef idx="minor">
      <a:schemeClr val="dk1"/>
    </cs:fontRef>
    <cs:spPr>
      <a:solidFill>
        <a:schemeClr val="lt1"/>
      </a:solidFill>
      <a:ln w="19050">
        <a:solidFill>
          <a:schemeClr val="phClr"/>
        </a:solidFill>
      </a:ln>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styleClr val="0"/>
    </cs:lnRef>
    <cs:fillRef idx="0"/>
    <cs:effectRef idx="0"/>
    <cs:fontRef idx="minor">
      <a:schemeClr val="dk1"/>
    </cs:fontRef>
    <cs:spPr>
      <a:ln w="9525">
        <a:solidFill>
          <a:schemeClr val="phClr">
            <a:lumMod val="60000"/>
            <a:lumOff val="40000"/>
          </a:schemeClr>
        </a:solidFill>
        <a:prstDash val="dash"/>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60">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3175" cap="flat" cmpd="sng" algn="ctr">
        <a:solidFill>
          <a:schemeClr val="phClr">
            <a:lumMod val="60000"/>
            <a:lumOff val="40000"/>
          </a:schemeClr>
        </a:solidFill>
        <a:round/>
      </a:ln>
    </cs:spPr>
    <cs:defRPr sz="800" kern="1200" cap="all" spc="150" normalizeH="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styleClr val="0"/>
    </cs:lnRef>
    <cs:fillRef idx="0"/>
    <cs:effectRef idx="0"/>
    <cs:fontRef idx="minor">
      <cs:styleClr val="0"/>
    </cs:fontRef>
    <cs:defRPr sz="900" b="1" kern="1200"/>
  </cs:dataLabel>
  <cs:dataLabelCallout>
    <cs:lnRef idx="0">
      <cs:styleClr val="0"/>
    </cs:lnRef>
    <cs:fillRef idx="0"/>
    <cs:effectRef idx="0"/>
    <cs:fontRef idx="minor">
      <cs:styleClr val="0"/>
    </cs:fontRef>
    <cs:spPr>
      <a:solidFill>
        <a:schemeClr val="lt1"/>
      </a:solidFill>
      <a:ln>
        <a:solidFill>
          <a:schemeClr val="phClr"/>
        </a:solidFill>
      </a:ln>
    </cs:spPr>
    <cs:defRPr sz="900" b="1" kern="1200"/>
    <cs:bodyPr rot="0" spcFirstLastPara="1" vertOverflow="clip" horzOverflow="clip" vert="horz" wrap="square" lIns="36576" tIns="18288" rIns="36576" bIns="18288" anchor="ctr" anchorCtr="1">
      <a:spAutoFit/>
    </cs:bodyPr>
  </cs:dataLabelCallout>
  <cs:dataPoint>
    <cs:lnRef idx="0">
      <cs:styleClr val="0"/>
    </cs:lnRef>
    <cs:fillRef idx="0"/>
    <cs:effectRef idx="0"/>
    <cs:fontRef idx="minor">
      <a:schemeClr val="dk1"/>
    </cs:fontRef>
    <cs:spPr>
      <a:solidFill>
        <a:schemeClr val="lt1"/>
      </a:solidFill>
      <a:ln w="19050">
        <a:solidFill>
          <a:schemeClr val="phClr"/>
        </a:solidFill>
      </a:ln>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styleClr val="0"/>
    </cs:lnRef>
    <cs:fillRef idx="0"/>
    <cs:effectRef idx="0"/>
    <cs:fontRef idx="minor">
      <a:schemeClr val="dk1"/>
    </cs:fontRef>
    <cs:spPr>
      <a:ln w="9525">
        <a:solidFill>
          <a:schemeClr val="phClr">
            <a:lumMod val="60000"/>
            <a:lumOff val="40000"/>
          </a:schemeClr>
        </a:solidFill>
        <a:prstDash val="dash"/>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60">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3175" cap="flat" cmpd="sng" algn="ctr">
        <a:solidFill>
          <a:schemeClr val="phClr">
            <a:lumMod val="60000"/>
            <a:lumOff val="40000"/>
          </a:schemeClr>
        </a:solidFill>
        <a:round/>
      </a:ln>
    </cs:spPr>
    <cs:defRPr sz="800" kern="1200" cap="all" spc="150" normalizeH="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styleClr val="0"/>
    </cs:lnRef>
    <cs:fillRef idx="0"/>
    <cs:effectRef idx="0"/>
    <cs:fontRef idx="minor">
      <cs:styleClr val="0"/>
    </cs:fontRef>
    <cs:defRPr sz="900" b="1" kern="1200"/>
  </cs:dataLabel>
  <cs:dataLabelCallout>
    <cs:lnRef idx="0">
      <cs:styleClr val="0"/>
    </cs:lnRef>
    <cs:fillRef idx="0"/>
    <cs:effectRef idx="0"/>
    <cs:fontRef idx="minor">
      <cs:styleClr val="0"/>
    </cs:fontRef>
    <cs:spPr>
      <a:solidFill>
        <a:schemeClr val="lt1"/>
      </a:solidFill>
      <a:ln>
        <a:solidFill>
          <a:schemeClr val="phClr"/>
        </a:solidFill>
      </a:ln>
    </cs:spPr>
    <cs:defRPr sz="900" b="1" kern="1200"/>
    <cs:bodyPr rot="0" spcFirstLastPara="1" vertOverflow="clip" horzOverflow="clip" vert="horz" wrap="square" lIns="36576" tIns="18288" rIns="36576" bIns="18288" anchor="ctr" anchorCtr="1">
      <a:spAutoFit/>
    </cs:bodyPr>
  </cs:dataLabelCallout>
  <cs:dataPoint>
    <cs:lnRef idx="0">
      <cs:styleClr val="0"/>
    </cs:lnRef>
    <cs:fillRef idx="0"/>
    <cs:effectRef idx="0"/>
    <cs:fontRef idx="minor">
      <a:schemeClr val="dk1"/>
    </cs:fontRef>
    <cs:spPr>
      <a:solidFill>
        <a:schemeClr val="lt1"/>
      </a:solidFill>
      <a:ln w="19050">
        <a:solidFill>
          <a:schemeClr val="phClr"/>
        </a:solidFill>
      </a:ln>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styleClr val="0"/>
    </cs:lnRef>
    <cs:fillRef idx="0"/>
    <cs:effectRef idx="0"/>
    <cs:fontRef idx="minor">
      <a:schemeClr val="dk1"/>
    </cs:fontRef>
    <cs:spPr>
      <a:ln w="9525">
        <a:solidFill>
          <a:schemeClr val="phClr">
            <a:lumMod val="60000"/>
            <a:lumOff val="40000"/>
          </a:schemeClr>
        </a:solidFill>
        <a:prstDash val="dash"/>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charts/style11.xml><?xml version="1.0" encoding="utf-8"?>
<cs:chartStyle xmlns:cs="http://schemas.microsoft.com/office/drawing/2012/chartStyle" xmlns:a="http://schemas.openxmlformats.org/drawingml/2006/main" id="260">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3175" cap="flat" cmpd="sng" algn="ctr">
        <a:solidFill>
          <a:schemeClr val="phClr">
            <a:lumMod val="60000"/>
            <a:lumOff val="40000"/>
          </a:schemeClr>
        </a:solidFill>
        <a:round/>
      </a:ln>
    </cs:spPr>
    <cs:defRPr sz="800" kern="1200" cap="all" spc="150" normalizeH="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styleClr val="0"/>
    </cs:lnRef>
    <cs:fillRef idx="0"/>
    <cs:effectRef idx="0"/>
    <cs:fontRef idx="minor">
      <cs:styleClr val="0"/>
    </cs:fontRef>
    <cs:defRPr sz="900" b="1" kern="1200"/>
  </cs:dataLabel>
  <cs:dataLabelCallout>
    <cs:lnRef idx="0">
      <cs:styleClr val="0"/>
    </cs:lnRef>
    <cs:fillRef idx="0"/>
    <cs:effectRef idx="0"/>
    <cs:fontRef idx="minor">
      <cs:styleClr val="0"/>
    </cs:fontRef>
    <cs:spPr>
      <a:solidFill>
        <a:schemeClr val="lt1"/>
      </a:solidFill>
      <a:ln>
        <a:solidFill>
          <a:schemeClr val="phClr"/>
        </a:solidFill>
      </a:ln>
    </cs:spPr>
    <cs:defRPr sz="900" b="1" kern="1200"/>
    <cs:bodyPr rot="0" spcFirstLastPara="1" vertOverflow="clip" horzOverflow="clip" vert="horz" wrap="square" lIns="36576" tIns="18288" rIns="36576" bIns="18288" anchor="ctr" anchorCtr="1">
      <a:spAutoFit/>
    </cs:bodyPr>
  </cs:dataLabelCallout>
  <cs:dataPoint>
    <cs:lnRef idx="0">
      <cs:styleClr val="0"/>
    </cs:lnRef>
    <cs:fillRef idx="0"/>
    <cs:effectRef idx="0"/>
    <cs:fontRef idx="minor">
      <a:schemeClr val="dk1"/>
    </cs:fontRef>
    <cs:spPr>
      <a:solidFill>
        <a:schemeClr val="lt1"/>
      </a:solidFill>
      <a:ln w="19050">
        <a:solidFill>
          <a:schemeClr val="phClr"/>
        </a:solidFill>
      </a:ln>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styleClr val="0"/>
    </cs:lnRef>
    <cs:fillRef idx="0"/>
    <cs:effectRef idx="0"/>
    <cs:fontRef idx="minor">
      <a:schemeClr val="dk1"/>
    </cs:fontRef>
    <cs:spPr>
      <a:ln w="9525">
        <a:solidFill>
          <a:schemeClr val="phClr">
            <a:lumMod val="60000"/>
            <a:lumOff val="40000"/>
          </a:schemeClr>
        </a:solidFill>
        <a:prstDash val="dash"/>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charts/style12.xml><?xml version="1.0" encoding="utf-8"?>
<cs:chartStyle xmlns:cs="http://schemas.microsoft.com/office/drawing/2012/chartStyle" xmlns:a="http://schemas.openxmlformats.org/drawingml/2006/main" id="260">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3175" cap="flat" cmpd="sng" algn="ctr">
        <a:solidFill>
          <a:schemeClr val="phClr">
            <a:lumMod val="60000"/>
            <a:lumOff val="40000"/>
          </a:schemeClr>
        </a:solidFill>
        <a:round/>
      </a:ln>
    </cs:spPr>
    <cs:defRPr sz="800" kern="1200" cap="all" spc="150" normalizeH="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styleClr val="0"/>
    </cs:lnRef>
    <cs:fillRef idx="0"/>
    <cs:effectRef idx="0"/>
    <cs:fontRef idx="minor">
      <cs:styleClr val="0"/>
    </cs:fontRef>
    <cs:defRPr sz="900" b="1" kern="1200"/>
  </cs:dataLabel>
  <cs:dataLabelCallout>
    <cs:lnRef idx="0">
      <cs:styleClr val="0"/>
    </cs:lnRef>
    <cs:fillRef idx="0"/>
    <cs:effectRef idx="0"/>
    <cs:fontRef idx="minor">
      <cs:styleClr val="0"/>
    </cs:fontRef>
    <cs:spPr>
      <a:solidFill>
        <a:schemeClr val="lt1"/>
      </a:solidFill>
      <a:ln>
        <a:solidFill>
          <a:schemeClr val="phClr"/>
        </a:solidFill>
      </a:ln>
    </cs:spPr>
    <cs:defRPr sz="900" b="1" kern="1200"/>
    <cs:bodyPr rot="0" spcFirstLastPara="1" vertOverflow="clip" horzOverflow="clip" vert="horz" wrap="square" lIns="36576" tIns="18288" rIns="36576" bIns="18288" anchor="ctr" anchorCtr="1">
      <a:spAutoFit/>
    </cs:bodyPr>
  </cs:dataLabelCallout>
  <cs:dataPoint>
    <cs:lnRef idx="0">
      <cs:styleClr val="0"/>
    </cs:lnRef>
    <cs:fillRef idx="0"/>
    <cs:effectRef idx="0"/>
    <cs:fontRef idx="minor">
      <a:schemeClr val="dk1"/>
    </cs:fontRef>
    <cs:spPr>
      <a:solidFill>
        <a:schemeClr val="lt1"/>
      </a:solidFill>
      <a:ln w="19050">
        <a:solidFill>
          <a:schemeClr val="phClr"/>
        </a:solidFill>
      </a:ln>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styleClr val="0"/>
    </cs:lnRef>
    <cs:fillRef idx="0"/>
    <cs:effectRef idx="0"/>
    <cs:fontRef idx="minor">
      <a:schemeClr val="dk1"/>
    </cs:fontRef>
    <cs:spPr>
      <a:ln w="9525">
        <a:solidFill>
          <a:schemeClr val="phClr">
            <a:lumMod val="60000"/>
            <a:lumOff val="40000"/>
          </a:schemeClr>
        </a:solidFill>
        <a:prstDash val="dash"/>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charts/style13.xml><?xml version="1.0" encoding="utf-8"?>
<cs:chartStyle xmlns:cs="http://schemas.microsoft.com/office/drawing/2012/chartStyle" xmlns:a="http://schemas.openxmlformats.org/drawingml/2006/main" id="260">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3175" cap="flat" cmpd="sng" algn="ctr">
        <a:solidFill>
          <a:schemeClr val="phClr">
            <a:lumMod val="60000"/>
            <a:lumOff val="40000"/>
          </a:schemeClr>
        </a:solidFill>
        <a:round/>
      </a:ln>
    </cs:spPr>
    <cs:defRPr sz="800" kern="1200" cap="all" spc="150" normalizeH="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styleClr val="0"/>
    </cs:lnRef>
    <cs:fillRef idx="0"/>
    <cs:effectRef idx="0"/>
    <cs:fontRef idx="minor">
      <cs:styleClr val="0"/>
    </cs:fontRef>
    <cs:defRPr sz="900" b="1" kern="1200"/>
  </cs:dataLabel>
  <cs:dataLabelCallout>
    <cs:lnRef idx="0">
      <cs:styleClr val="0"/>
    </cs:lnRef>
    <cs:fillRef idx="0"/>
    <cs:effectRef idx="0"/>
    <cs:fontRef idx="minor">
      <cs:styleClr val="0"/>
    </cs:fontRef>
    <cs:spPr>
      <a:solidFill>
        <a:schemeClr val="lt1"/>
      </a:solidFill>
      <a:ln>
        <a:solidFill>
          <a:schemeClr val="phClr"/>
        </a:solidFill>
      </a:ln>
    </cs:spPr>
    <cs:defRPr sz="900" b="1" kern="1200"/>
    <cs:bodyPr rot="0" spcFirstLastPara="1" vertOverflow="clip" horzOverflow="clip" vert="horz" wrap="square" lIns="36576" tIns="18288" rIns="36576" bIns="18288" anchor="ctr" anchorCtr="1">
      <a:spAutoFit/>
    </cs:bodyPr>
  </cs:dataLabelCallout>
  <cs:dataPoint>
    <cs:lnRef idx="0">
      <cs:styleClr val="0"/>
    </cs:lnRef>
    <cs:fillRef idx="0"/>
    <cs:effectRef idx="0"/>
    <cs:fontRef idx="minor">
      <a:schemeClr val="dk1"/>
    </cs:fontRef>
    <cs:spPr>
      <a:solidFill>
        <a:schemeClr val="lt1"/>
      </a:solidFill>
      <a:ln w="19050">
        <a:solidFill>
          <a:schemeClr val="phClr"/>
        </a:solidFill>
      </a:ln>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styleClr val="0"/>
    </cs:lnRef>
    <cs:fillRef idx="0"/>
    <cs:effectRef idx="0"/>
    <cs:fontRef idx="minor">
      <a:schemeClr val="dk1"/>
    </cs:fontRef>
    <cs:spPr>
      <a:ln w="9525">
        <a:solidFill>
          <a:schemeClr val="phClr">
            <a:lumMod val="60000"/>
            <a:lumOff val="40000"/>
          </a:schemeClr>
        </a:solidFill>
        <a:prstDash val="dash"/>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charts/style1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2.png"/><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9.xml"/><Relationship Id="rId5" Type="http://schemas.openxmlformats.org/officeDocument/2006/relationships/chart" Target="../charts/chart5.xml"/><Relationship Id="rId10" Type="http://schemas.openxmlformats.org/officeDocument/2006/relationships/chart" Target="../charts/chart8.xml"/><Relationship Id="rId4" Type="http://schemas.openxmlformats.org/officeDocument/2006/relationships/chart" Target="../charts/chart4.xml"/><Relationship Id="rId9" Type="http://schemas.openxmlformats.org/officeDocument/2006/relationships/hyperlink" Target="https://pixabay.com/illustrations/hook-check-mark-yes-consent-done-111316/" TargetMode="External"/></Relationships>
</file>

<file path=xl/drawings/_rels/drawing2.xml.rels><?xml version="1.0" encoding="UTF-8" standalone="yes"?>
<Relationships xmlns="http://schemas.openxmlformats.org/package/2006/relationships"><Relationship Id="rId8" Type="http://schemas.openxmlformats.org/officeDocument/2006/relationships/image" Target="../media/image10.emf"/><Relationship Id="rId3" Type="http://schemas.openxmlformats.org/officeDocument/2006/relationships/image" Target="../media/image5.emf"/><Relationship Id="rId7" Type="http://schemas.openxmlformats.org/officeDocument/2006/relationships/image" Target="../media/image9.emf"/><Relationship Id="rId2" Type="http://schemas.openxmlformats.org/officeDocument/2006/relationships/image" Target="../media/image4.emf"/><Relationship Id="rId1" Type="http://schemas.openxmlformats.org/officeDocument/2006/relationships/image" Target="../media/image3.emf"/><Relationship Id="rId6" Type="http://schemas.openxmlformats.org/officeDocument/2006/relationships/image" Target="../media/image8.emf"/><Relationship Id="rId5" Type="http://schemas.openxmlformats.org/officeDocument/2006/relationships/image" Target="../media/image7.emf"/><Relationship Id="rId4" Type="http://schemas.openxmlformats.org/officeDocument/2006/relationships/image" Target="../media/image6.emf"/><Relationship Id="rId9" Type="http://schemas.openxmlformats.org/officeDocument/2006/relationships/image" Target="../media/image11.emf"/></Relationships>
</file>

<file path=xl/drawings/_rels/drawing3.xml.rels><?xml version="1.0" encoding="UTF-8" standalone="yes"?>
<Relationships xmlns="http://schemas.openxmlformats.org/package/2006/relationships"><Relationship Id="rId3" Type="http://schemas.openxmlformats.org/officeDocument/2006/relationships/chart" Target="../charts/chart12.xml"/><Relationship Id="rId2" Type="http://schemas.openxmlformats.org/officeDocument/2006/relationships/chart" Target="../charts/chart11.xml"/><Relationship Id="rId1" Type="http://schemas.openxmlformats.org/officeDocument/2006/relationships/chart" Target="../charts/chart10.xml"/><Relationship Id="rId6" Type="http://schemas.openxmlformats.org/officeDocument/2006/relationships/chart" Target="../charts/chart15.xml"/><Relationship Id="rId5" Type="http://schemas.openxmlformats.org/officeDocument/2006/relationships/chart" Target="../charts/chart14.xml"/><Relationship Id="rId4" Type="http://schemas.openxmlformats.org/officeDocument/2006/relationships/chart" Target="../charts/chart13.xml"/></Relationships>
</file>

<file path=xl/drawings/_rels/drawing4.xml.rels><?xml version="1.0" encoding="UTF-8" standalone="yes"?>
<Relationships xmlns="http://schemas.openxmlformats.org/package/2006/relationships"><Relationship Id="rId2" Type="http://schemas.openxmlformats.org/officeDocument/2006/relationships/chart" Target="../charts/chart17.xml"/><Relationship Id="rId1" Type="http://schemas.openxmlformats.org/officeDocument/2006/relationships/chart" Target="../charts/chart16.xml"/></Relationships>
</file>

<file path=xl/drawings/_rels/drawing5.xml.rels><?xml version="1.0" encoding="UTF-8" standalone="yes"?>
<Relationships xmlns="http://schemas.openxmlformats.org/package/2006/relationships"><Relationship Id="rId1" Type="http://schemas.openxmlformats.org/officeDocument/2006/relationships/chart" Target="../charts/chart18.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8" Type="http://schemas.openxmlformats.org/officeDocument/2006/relationships/image" Target="../media/image19.emf"/><Relationship Id="rId3" Type="http://schemas.openxmlformats.org/officeDocument/2006/relationships/image" Target="../media/image14.emf"/><Relationship Id="rId7" Type="http://schemas.openxmlformats.org/officeDocument/2006/relationships/image" Target="../media/image18.emf"/><Relationship Id="rId2" Type="http://schemas.openxmlformats.org/officeDocument/2006/relationships/image" Target="../media/image13.emf"/><Relationship Id="rId1" Type="http://schemas.openxmlformats.org/officeDocument/2006/relationships/image" Target="../media/image12.emf"/><Relationship Id="rId6" Type="http://schemas.openxmlformats.org/officeDocument/2006/relationships/image" Target="../media/image17.emf"/><Relationship Id="rId5" Type="http://schemas.openxmlformats.org/officeDocument/2006/relationships/image" Target="../media/image16.emf"/><Relationship Id="rId4" Type="http://schemas.openxmlformats.org/officeDocument/2006/relationships/image" Target="../media/image15.emf"/><Relationship Id="rId9" Type="http://schemas.openxmlformats.org/officeDocument/2006/relationships/image" Target="../media/image20.emf"/></Relationships>
</file>

<file path=xl/drawings/drawing1.xml><?xml version="1.0" encoding="utf-8"?>
<xdr:wsDr xmlns:xdr="http://schemas.openxmlformats.org/drawingml/2006/spreadsheetDrawing" xmlns:a="http://schemas.openxmlformats.org/drawingml/2006/main">
  <xdr:twoCellAnchor>
    <xdr:from>
      <xdr:col>6</xdr:col>
      <xdr:colOff>190500</xdr:colOff>
      <xdr:row>30</xdr:row>
      <xdr:rowOff>0</xdr:rowOff>
    </xdr:from>
    <xdr:to>
      <xdr:col>17</xdr:col>
      <xdr:colOff>571500</xdr:colOff>
      <xdr:row>49</xdr:row>
      <xdr:rowOff>152400</xdr:rowOff>
    </xdr:to>
    <xdr:graphicFrame macro="">
      <xdr:nvGraphicFramePr>
        <xdr:cNvPr id="2" name="Chart 1">
          <a:extLst>
            <a:ext uri="{FF2B5EF4-FFF2-40B4-BE49-F238E27FC236}">
              <a16:creationId xmlns:a16="http://schemas.microsoft.com/office/drawing/2014/main" id="{FAF1B0F9-8370-4367-BBC9-51B9F8FDF75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47625</xdr:colOff>
      <xdr:row>3</xdr:row>
      <xdr:rowOff>6450</xdr:rowOff>
    </xdr:from>
    <xdr:to>
      <xdr:col>4</xdr:col>
      <xdr:colOff>18825</xdr:colOff>
      <xdr:row>13</xdr:row>
      <xdr:rowOff>53850</xdr:rowOff>
    </xdr:to>
    <xdr:graphicFrame macro="">
      <xdr:nvGraphicFramePr>
        <xdr:cNvPr id="4" name="Chart 3">
          <a:extLst>
            <a:ext uri="{FF2B5EF4-FFF2-40B4-BE49-F238E27FC236}">
              <a16:creationId xmlns:a16="http://schemas.microsoft.com/office/drawing/2014/main" id="{E8F54CDA-AB5A-4948-88CF-7E1C983575F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290600</xdr:colOff>
      <xdr:row>2</xdr:row>
      <xdr:rowOff>43425</xdr:rowOff>
    </xdr:from>
    <xdr:to>
      <xdr:col>7</xdr:col>
      <xdr:colOff>549800</xdr:colOff>
      <xdr:row>14</xdr:row>
      <xdr:rowOff>16875</xdr:rowOff>
    </xdr:to>
    <xdr:graphicFrame macro="">
      <xdr:nvGraphicFramePr>
        <xdr:cNvPr id="5" name="Chart 4">
          <a:extLst>
            <a:ext uri="{FF2B5EF4-FFF2-40B4-BE49-F238E27FC236}">
              <a16:creationId xmlns:a16="http://schemas.microsoft.com/office/drawing/2014/main" id="{6AA621C2-84CF-4B58-A8CD-756CBE0BB53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oneCellAnchor>
    <xdr:from>
      <xdr:col>1</xdr:col>
      <xdr:colOff>266699</xdr:colOff>
      <xdr:row>12</xdr:row>
      <xdr:rowOff>43963</xdr:rowOff>
    </xdr:from>
    <xdr:ext cx="1304926" cy="466726"/>
    <xdr:sp macro="" textlink="">
      <xdr:nvSpPr>
        <xdr:cNvPr id="6" name="TextBox 5">
          <a:extLst>
            <a:ext uri="{FF2B5EF4-FFF2-40B4-BE49-F238E27FC236}">
              <a16:creationId xmlns:a16="http://schemas.microsoft.com/office/drawing/2014/main" id="{31937DCE-AD35-BC2F-5E25-E0D25374ABAF}"/>
            </a:ext>
          </a:extLst>
        </xdr:cNvPr>
        <xdr:cNvSpPr txBox="1"/>
      </xdr:nvSpPr>
      <xdr:spPr>
        <a:xfrm>
          <a:off x="876299" y="2034688"/>
          <a:ext cx="1304926" cy="4667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tr-TR" sz="1100">
              <a:solidFill>
                <a:schemeClr val="bg1"/>
              </a:solidFill>
            </a:rPr>
            <a:t>Total Sales By </a:t>
          </a:r>
          <a:r>
            <a:rPr lang="tr-TR" sz="1200" b="1">
              <a:solidFill>
                <a:schemeClr val="bg1"/>
              </a:solidFill>
            </a:rPr>
            <a:t>Product Category</a:t>
          </a:r>
          <a:endParaRPr lang="en-US" sz="1100" b="1">
            <a:solidFill>
              <a:schemeClr val="bg1"/>
            </a:solidFill>
          </a:endParaRPr>
        </a:p>
      </xdr:txBody>
    </xdr:sp>
    <xdr:clientData/>
  </xdr:oneCellAnchor>
  <xdr:oneCellAnchor>
    <xdr:from>
      <xdr:col>5</xdr:col>
      <xdr:colOff>161925</xdr:colOff>
      <xdr:row>12</xdr:row>
      <xdr:rowOff>43288</xdr:rowOff>
    </xdr:from>
    <xdr:ext cx="1038225" cy="468077"/>
    <xdr:sp macro="" textlink="">
      <xdr:nvSpPr>
        <xdr:cNvPr id="7" name="TextBox 6">
          <a:extLst>
            <a:ext uri="{FF2B5EF4-FFF2-40B4-BE49-F238E27FC236}">
              <a16:creationId xmlns:a16="http://schemas.microsoft.com/office/drawing/2014/main" id="{9BC1ECF3-D436-4994-945B-56BFA8B264F9}"/>
            </a:ext>
          </a:extLst>
        </xdr:cNvPr>
        <xdr:cNvSpPr txBox="1"/>
      </xdr:nvSpPr>
      <xdr:spPr>
        <a:xfrm>
          <a:off x="3209925" y="2214988"/>
          <a:ext cx="1038225" cy="46807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tr-TR" sz="1100">
              <a:solidFill>
                <a:schemeClr val="bg1"/>
              </a:solidFill>
            </a:rPr>
            <a:t>Total Sales </a:t>
          </a:r>
          <a:r>
            <a:rPr lang="tr-TR" sz="1100" b="0">
              <a:solidFill>
                <a:schemeClr val="bg1"/>
              </a:solidFill>
            </a:rPr>
            <a:t>By</a:t>
          </a:r>
          <a:r>
            <a:rPr lang="tr-TR" sz="1200" b="1">
              <a:solidFill>
                <a:schemeClr val="bg1"/>
              </a:solidFill>
            </a:rPr>
            <a:t> Salesperson</a:t>
          </a:r>
          <a:endParaRPr lang="en-US" sz="1100" b="1">
            <a:solidFill>
              <a:schemeClr val="bg1"/>
            </a:solidFill>
          </a:endParaRPr>
        </a:p>
      </xdr:txBody>
    </xdr:sp>
    <xdr:clientData/>
  </xdr:oneCellAnchor>
  <xdr:twoCellAnchor>
    <xdr:from>
      <xdr:col>9</xdr:col>
      <xdr:colOff>88150</xdr:colOff>
      <xdr:row>2</xdr:row>
      <xdr:rowOff>43425</xdr:rowOff>
    </xdr:from>
    <xdr:to>
      <xdr:col>12</xdr:col>
      <xdr:colOff>347350</xdr:colOff>
      <xdr:row>14</xdr:row>
      <xdr:rowOff>16875</xdr:rowOff>
    </xdr:to>
    <xdr:graphicFrame macro="">
      <xdr:nvGraphicFramePr>
        <xdr:cNvPr id="8" name="Chart 7">
          <a:extLst>
            <a:ext uri="{FF2B5EF4-FFF2-40B4-BE49-F238E27FC236}">
              <a16:creationId xmlns:a16="http://schemas.microsoft.com/office/drawing/2014/main" id="{ECA1BD79-C7E2-4371-89F1-FA887F645AE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oneCellAnchor>
    <xdr:from>
      <xdr:col>9</xdr:col>
      <xdr:colOff>233082</xdr:colOff>
      <xdr:row>12</xdr:row>
      <xdr:rowOff>51111</xdr:rowOff>
    </xdr:from>
    <xdr:ext cx="1864659" cy="452432"/>
    <xdr:sp macro="" textlink="">
      <xdr:nvSpPr>
        <xdr:cNvPr id="9" name="TextBox 8">
          <a:extLst>
            <a:ext uri="{FF2B5EF4-FFF2-40B4-BE49-F238E27FC236}">
              <a16:creationId xmlns:a16="http://schemas.microsoft.com/office/drawing/2014/main" id="{34F6F5F3-6A08-40D8-BFBE-2614284162B0}"/>
            </a:ext>
          </a:extLst>
        </xdr:cNvPr>
        <xdr:cNvSpPr txBox="1"/>
      </xdr:nvSpPr>
      <xdr:spPr>
        <a:xfrm>
          <a:off x="4930588" y="2202640"/>
          <a:ext cx="1864659" cy="45243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tr-TR" sz="1100" b="0" baseline="0">
              <a:solidFill>
                <a:schemeClr val="bg1"/>
              </a:solidFill>
              <a:latin typeface="+mn-lt"/>
              <a:ea typeface="+mn-ea"/>
              <a:cs typeface="+mn-cs"/>
            </a:rPr>
            <a:t>Daily Transaction Existence </a:t>
          </a:r>
          <a:r>
            <a:rPr lang="tr-TR" sz="1100" b="0">
              <a:solidFill>
                <a:schemeClr val="bg1"/>
              </a:solidFill>
              <a:latin typeface="+mn-lt"/>
              <a:ea typeface="+mn-ea"/>
              <a:cs typeface="+mn-cs"/>
            </a:rPr>
            <a:t>By</a:t>
          </a:r>
          <a:r>
            <a:rPr lang="tr-TR" sz="1200" b="1">
              <a:solidFill>
                <a:schemeClr val="bg1"/>
              </a:solidFill>
              <a:latin typeface="+mn-lt"/>
              <a:ea typeface="+mn-ea"/>
              <a:cs typeface="+mn-cs"/>
            </a:rPr>
            <a:t> Salesperson</a:t>
          </a:r>
          <a:endParaRPr lang="en-US" sz="1200" b="1">
            <a:solidFill>
              <a:schemeClr val="bg1"/>
            </a:solidFill>
            <a:latin typeface="+mn-lt"/>
            <a:ea typeface="+mn-ea"/>
            <a:cs typeface="+mn-cs"/>
          </a:endParaRPr>
        </a:p>
      </xdr:txBody>
    </xdr:sp>
    <xdr:clientData/>
  </xdr:oneCellAnchor>
  <xdr:twoCellAnchor>
    <xdr:from>
      <xdr:col>13</xdr:col>
      <xdr:colOff>9525</xdr:colOff>
      <xdr:row>3</xdr:row>
      <xdr:rowOff>6450</xdr:rowOff>
    </xdr:from>
    <xdr:to>
      <xdr:col>15</xdr:col>
      <xdr:colOff>590325</xdr:colOff>
      <xdr:row>13</xdr:row>
      <xdr:rowOff>53850</xdr:rowOff>
    </xdr:to>
    <xdr:graphicFrame macro="">
      <xdr:nvGraphicFramePr>
        <xdr:cNvPr id="10" name="Chart 9">
          <a:extLst>
            <a:ext uri="{FF2B5EF4-FFF2-40B4-BE49-F238E27FC236}">
              <a16:creationId xmlns:a16="http://schemas.microsoft.com/office/drawing/2014/main" id="{C60645B5-F24A-4802-B0B7-BE33E01DABF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oneCellAnchor>
    <xdr:from>
      <xdr:col>13</xdr:col>
      <xdr:colOff>161923</xdr:colOff>
      <xdr:row>12</xdr:row>
      <xdr:rowOff>43288</xdr:rowOff>
    </xdr:from>
    <xdr:ext cx="1562101" cy="468077"/>
    <xdr:sp macro="" textlink="">
      <xdr:nvSpPr>
        <xdr:cNvPr id="11" name="TextBox 10">
          <a:extLst>
            <a:ext uri="{FF2B5EF4-FFF2-40B4-BE49-F238E27FC236}">
              <a16:creationId xmlns:a16="http://schemas.microsoft.com/office/drawing/2014/main" id="{BACDE4AC-412A-4A3B-804F-E0447FA0DA90}"/>
            </a:ext>
          </a:extLst>
        </xdr:cNvPr>
        <xdr:cNvSpPr txBox="1"/>
      </xdr:nvSpPr>
      <xdr:spPr>
        <a:xfrm>
          <a:off x="7600948" y="2034013"/>
          <a:ext cx="1562101" cy="46807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tr-TR" sz="1100" b="0">
              <a:solidFill>
                <a:schemeClr val="bg1"/>
              </a:solidFill>
              <a:latin typeface="+mn-lt"/>
              <a:ea typeface="+mn-ea"/>
              <a:cs typeface="+mn-cs"/>
            </a:rPr>
            <a:t>Transaction</a:t>
          </a:r>
          <a:r>
            <a:rPr lang="tr-TR" sz="1100" b="0" baseline="0">
              <a:solidFill>
                <a:schemeClr val="bg1"/>
              </a:solidFill>
              <a:latin typeface="+mn-lt"/>
              <a:ea typeface="+mn-ea"/>
              <a:cs typeface="+mn-cs"/>
            </a:rPr>
            <a:t> Amount </a:t>
          </a:r>
          <a:r>
            <a:rPr lang="tr-TR" sz="1200" b="0">
              <a:solidFill>
                <a:schemeClr val="bg1"/>
              </a:solidFill>
              <a:latin typeface="+mn-lt"/>
              <a:ea typeface="+mn-ea"/>
              <a:cs typeface="+mn-cs"/>
            </a:rPr>
            <a:t>By</a:t>
          </a:r>
          <a:r>
            <a:rPr lang="tr-TR" sz="1200" b="1">
              <a:solidFill>
                <a:schemeClr val="bg1"/>
              </a:solidFill>
              <a:latin typeface="+mn-lt"/>
              <a:ea typeface="+mn-ea"/>
              <a:cs typeface="+mn-cs"/>
            </a:rPr>
            <a:t> Salesperson</a:t>
          </a:r>
          <a:endParaRPr lang="en-US" sz="1200" b="1">
            <a:solidFill>
              <a:schemeClr val="bg1"/>
            </a:solidFill>
            <a:latin typeface="+mn-lt"/>
            <a:ea typeface="+mn-ea"/>
            <a:cs typeface="+mn-cs"/>
          </a:endParaRPr>
        </a:p>
      </xdr:txBody>
    </xdr:sp>
    <xdr:clientData/>
  </xdr:oneCellAnchor>
  <xdr:twoCellAnchor>
    <xdr:from>
      <xdr:col>1</xdr:col>
      <xdr:colOff>1</xdr:colOff>
      <xdr:row>29</xdr:row>
      <xdr:rowOff>57151</xdr:rowOff>
    </xdr:from>
    <xdr:to>
      <xdr:col>8</xdr:col>
      <xdr:colOff>52801</xdr:colOff>
      <xdr:row>41</xdr:row>
      <xdr:rowOff>45451</xdr:rowOff>
    </xdr:to>
    <xdr:graphicFrame macro="">
      <xdr:nvGraphicFramePr>
        <xdr:cNvPr id="12" name="Chart 11">
          <a:extLst>
            <a:ext uri="{FF2B5EF4-FFF2-40B4-BE49-F238E27FC236}">
              <a16:creationId xmlns:a16="http://schemas.microsoft.com/office/drawing/2014/main" id="{C01CA0B8-B178-4578-8D4D-19661071C63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236635</xdr:colOff>
      <xdr:row>42</xdr:row>
      <xdr:rowOff>2731</xdr:rowOff>
    </xdr:from>
    <xdr:to>
      <xdr:col>7</xdr:col>
      <xdr:colOff>396115</xdr:colOff>
      <xdr:row>54</xdr:row>
      <xdr:rowOff>46690</xdr:rowOff>
    </xdr:to>
    <xdr:graphicFrame macro="">
      <xdr:nvGraphicFramePr>
        <xdr:cNvPr id="14" name="Chart 13">
          <a:extLst>
            <a:ext uri="{FF2B5EF4-FFF2-40B4-BE49-F238E27FC236}">
              <a16:creationId xmlns:a16="http://schemas.microsoft.com/office/drawing/2014/main" id="{4F2F6637-E9B2-4EB8-BF7E-2863D4F43D2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4</xdr:col>
      <xdr:colOff>171450</xdr:colOff>
      <xdr:row>32</xdr:row>
      <xdr:rowOff>139146</xdr:rowOff>
    </xdr:from>
    <xdr:to>
      <xdr:col>4</xdr:col>
      <xdr:colOff>423450</xdr:colOff>
      <xdr:row>52</xdr:row>
      <xdr:rowOff>67916</xdr:rowOff>
    </xdr:to>
    <xdr:sp macro="" textlink="">
      <xdr:nvSpPr>
        <xdr:cNvPr id="15" name="Rectangle 14">
          <a:extLst>
            <a:ext uri="{FF2B5EF4-FFF2-40B4-BE49-F238E27FC236}">
              <a16:creationId xmlns:a16="http://schemas.microsoft.com/office/drawing/2014/main" id="{4505108E-F1B4-E485-0F58-B6CB71EB3277}"/>
            </a:ext>
          </a:extLst>
        </xdr:cNvPr>
        <xdr:cNvSpPr/>
      </xdr:nvSpPr>
      <xdr:spPr>
        <a:xfrm>
          <a:off x="2305050" y="5963476"/>
          <a:ext cx="252000" cy="3705640"/>
        </a:xfrm>
        <a:prstGeom prst="rect">
          <a:avLst/>
        </a:prstGeom>
        <a:noFill/>
        <a:ln w="57150">
          <a:solidFill>
            <a:srgbClr val="FF0000"/>
          </a:solidFill>
          <a:extLst>
            <a:ext uri="{C807C97D-BFC1-408E-A445-0C87EB9F89A2}">
              <ask:lineSketchStyleProps xmlns:ask="http://schemas.microsoft.com/office/drawing/2018/sketchyshapes">
                <ask:type>
                  <ask:lineSketchNone/>
                </ask:type>
              </ask:lineSketchStyleProps>
            </a:ext>
          </a:extLst>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oneCellAnchor>
    <xdr:from>
      <xdr:col>2</xdr:col>
      <xdr:colOff>571500</xdr:colOff>
      <xdr:row>0</xdr:row>
      <xdr:rowOff>0</xdr:rowOff>
    </xdr:from>
    <xdr:ext cx="6296917" cy="564193"/>
    <xdr:sp macro="" textlink="">
      <xdr:nvSpPr>
        <xdr:cNvPr id="16" name="TextBox 15">
          <a:extLst>
            <a:ext uri="{FF2B5EF4-FFF2-40B4-BE49-F238E27FC236}">
              <a16:creationId xmlns:a16="http://schemas.microsoft.com/office/drawing/2014/main" id="{92C9A53A-60AD-088F-779E-713572EEFF84}"/>
            </a:ext>
          </a:extLst>
        </xdr:cNvPr>
        <xdr:cNvSpPr txBox="1"/>
      </xdr:nvSpPr>
      <xdr:spPr>
        <a:xfrm>
          <a:off x="1790700" y="0"/>
          <a:ext cx="6296917" cy="5641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tr-TR" sz="3200" b="1" cap="none" spc="0">
              <a:ln w="6600">
                <a:solidFill>
                  <a:schemeClr val="accent2"/>
                </a:solidFill>
                <a:prstDash val="solid"/>
              </a:ln>
              <a:solidFill>
                <a:srgbClr val="FFFFFF"/>
              </a:solidFill>
              <a:effectLst>
                <a:outerShdw dist="38100" dir="2700000" algn="tl" rotWithShape="0">
                  <a:schemeClr val="accent2"/>
                </a:outerShdw>
              </a:effectLst>
              <a:latin typeface="Arial" panose="020B0604020202020204" pitchFamily="34" charset="0"/>
              <a:cs typeface="Arial" panose="020B0604020202020204" pitchFamily="34" charset="0"/>
            </a:rPr>
            <a:t>October 2017</a:t>
          </a:r>
          <a:r>
            <a:rPr lang="tr-TR" sz="3200" b="1" cap="none" spc="0" baseline="0">
              <a:ln w="6600">
                <a:solidFill>
                  <a:schemeClr val="accent2"/>
                </a:solidFill>
                <a:prstDash val="solid"/>
              </a:ln>
              <a:solidFill>
                <a:srgbClr val="FFFFFF"/>
              </a:solidFill>
              <a:effectLst>
                <a:outerShdw dist="38100" dir="2700000" algn="tl" rotWithShape="0">
                  <a:schemeClr val="accent2"/>
                </a:outerShdw>
              </a:effectLst>
              <a:latin typeface="Arial" panose="020B0604020202020204" pitchFamily="34" charset="0"/>
              <a:cs typeface="Arial" panose="020B0604020202020204" pitchFamily="34" charset="0"/>
            </a:rPr>
            <a:t> Sales Breakdown</a:t>
          </a:r>
          <a:endParaRPr lang="en-US" sz="3200" b="1" cap="none" spc="0">
            <a:ln w="6600">
              <a:solidFill>
                <a:schemeClr val="accent2"/>
              </a:solidFill>
              <a:prstDash val="solid"/>
            </a:ln>
            <a:solidFill>
              <a:srgbClr val="FFFFFF"/>
            </a:solidFill>
            <a:effectLst>
              <a:outerShdw dist="38100" dir="2700000" algn="tl" rotWithShape="0">
                <a:schemeClr val="accent2"/>
              </a:outerShdw>
            </a:effectLst>
            <a:latin typeface="Arial" panose="020B0604020202020204" pitchFamily="34" charset="0"/>
            <a:cs typeface="Arial" panose="020B0604020202020204" pitchFamily="34" charset="0"/>
          </a:endParaRPr>
        </a:p>
      </xdr:txBody>
    </xdr:sp>
    <xdr:clientData/>
  </xdr:oneCellAnchor>
  <xdr:twoCellAnchor editAs="oneCell">
    <xdr:from>
      <xdr:col>5</xdr:col>
      <xdr:colOff>523875</xdr:colOff>
      <xdr:row>6</xdr:row>
      <xdr:rowOff>176212</xdr:rowOff>
    </xdr:from>
    <xdr:to>
      <xdr:col>6</xdr:col>
      <xdr:colOff>274275</xdr:colOff>
      <xdr:row>8</xdr:row>
      <xdr:rowOff>168360</xdr:rowOff>
    </xdr:to>
    <xdr:pic>
      <xdr:nvPicPr>
        <xdr:cNvPr id="18" name="Picture 17">
          <a:extLst>
            <a:ext uri="{FF2B5EF4-FFF2-40B4-BE49-F238E27FC236}">
              <a16:creationId xmlns:a16="http://schemas.microsoft.com/office/drawing/2014/main" id="{B72822B0-0A77-0A4F-7775-E298FE278E44}"/>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 uri="{837473B0-CC2E-450A-ABE3-18F120FF3D39}">
              <a1611:picAttrSrcUrl xmlns:a1611="http://schemas.microsoft.com/office/drawing/2016/11/main" r:id="rId9"/>
            </a:ext>
          </a:extLst>
        </a:blip>
        <a:stretch>
          <a:fillRect/>
        </a:stretch>
      </xdr:blipFill>
      <xdr:spPr>
        <a:xfrm>
          <a:off x="3571875" y="1262062"/>
          <a:ext cx="360000" cy="354098"/>
        </a:xfrm>
        <a:prstGeom prst="rect">
          <a:avLst/>
        </a:prstGeom>
      </xdr:spPr>
    </xdr:pic>
    <xdr:clientData/>
  </xdr:twoCellAnchor>
  <xdr:twoCellAnchor editAs="oneCell">
    <xdr:from>
      <xdr:col>10</xdr:col>
      <xdr:colOff>323850</xdr:colOff>
      <xdr:row>6</xdr:row>
      <xdr:rowOff>176212</xdr:rowOff>
    </xdr:from>
    <xdr:to>
      <xdr:col>11</xdr:col>
      <xdr:colOff>74250</xdr:colOff>
      <xdr:row>8</xdr:row>
      <xdr:rowOff>168360</xdr:rowOff>
    </xdr:to>
    <xdr:pic>
      <xdr:nvPicPr>
        <xdr:cNvPr id="19" name="Picture 18">
          <a:extLst>
            <a:ext uri="{FF2B5EF4-FFF2-40B4-BE49-F238E27FC236}">
              <a16:creationId xmlns:a16="http://schemas.microsoft.com/office/drawing/2014/main" id="{65B451EF-07D9-4052-8D72-063348602A9D}"/>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 uri="{837473B0-CC2E-450A-ABE3-18F120FF3D39}">
              <a1611:picAttrSrcUrl xmlns:a1611="http://schemas.microsoft.com/office/drawing/2016/11/main" r:id="rId9"/>
            </a:ext>
          </a:extLst>
        </a:blip>
        <a:stretch>
          <a:fillRect/>
        </a:stretch>
      </xdr:blipFill>
      <xdr:spPr>
        <a:xfrm>
          <a:off x="5934075" y="1262062"/>
          <a:ext cx="360000" cy="354098"/>
        </a:xfrm>
        <a:prstGeom prst="rect">
          <a:avLst/>
        </a:prstGeom>
      </xdr:spPr>
    </xdr:pic>
    <xdr:clientData/>
  </xdr:twoCellAnchor>
  <xdr:twoCellAnchor editAs="oneCell">
    <xdr:from>
      <xdr:col>14</xdr:col>
      <xdr:colOff>114300</xdr:colOff>
      <xdr:row>6</xdr:row>
      <xdr:rowOff>176212</xdr:rowOff>
    </xdr:from>
    <xdr:to>
      <xdr:col>14</xdr:col>
      <xdr:colOff>474300</xdr:colOff>
      <xdr:row>8</xdr:row>
      <xdr:rowOff>168360</xdr:rowOff>
    </xdr:to>
    <xdr:pic>
      <xdr:nvPicPr>
        <xdr:cNvPr id="20" name="Picture 19">
          <a:extLst>
            <a:ext uri="{FF2B5EF4-FFF2-40B4-BE49-F238E27FC236}">
              <a16:creationId xmlns:a16="http://schemas.microsoft.com/office/drawing/2014/main" id="{3686902E-507E-4046-9AC0-910E47252EFD}"/>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 uri="{837473B0-CC2E-450A-ABE3-18F120FF3D39}">
              <a1611:picAttrSrcUrl xmlns:a1611="http://schemas.microsoft.com/office/drawing/2016/11/main" r:id="rId9"/>
            </a:ext>
          </a:extLst>
        </a:blip>
        <a:stretch>
          <a:fillRect/>
        </a:stretch>
      </xdr:blipFill>
      <xdr:spPr>
        <a:xfrm>
          <a:off x="8162925" y="1262062"/>
          <a:ext cx="360000" cy="354098"/>
        </a:xfrm>
        <a:prstGeom prst="rect">
          <a:avLst/>
        </a:prstGeom>
      </xdr:spPr>
    </xdr:pic>
    <xdr:clientData/>
  </xdr:twoCellAnchor>
  <xdr:twoCellAnchor>
    <xdr:from>
      <xdr:col>11</xdr:col>
      <xdr:colOff>363071</xdr:colOff>
      <xdr:row>37</xdr:row>
      <xdr:rowOff>135031</xdr:rowOff>
    </xdr:from>
    <xdr:to>
      <xdr:col>13</xdr:col>
      <xdr:colOff>20171</xdr:colOff>
      <xdr:row>40</xdr:row>
      <xdr:rowOff>11206</xdr:rowOff>
    </xdr:to>
    <xdr:sp macro="" textlink="Pivot_2!J3">
      <xdr:nvSpPr>
        <xdr:cNvPr id="3" name="TextBox 2">
          <a:extLst>
            <a:ext uri="{FF2B5EF4-FFF2-40B4-BE49-F238E27FC236}">
              <a16:creationId xmlns:a16="http://schemas.microsoft.com/office/drawing/2014/main" id="{5B9797EC-21D9-3D75-7421-BF30B9EA1E40}"/>
            </a:ext>
          </a:extLst>
        </xdr:cNvPr>
        <xdr:cNvSpPr txBox="1"/>
      </xdr:nvSpPr>
      <xdr:spPr>
        <a:xfrm>
          <a:off x="6279777" y="6715125"/>
          <a:ext cx="876300" cy="414057"/>
        </a:xfrm>
        <a:prstGeom prst="rect">
          <a:avLst/>
        </a:prstGeom>
        <a:solidFill>
          <a:schemeClr val="tx1">
            <a:lumMod val="75000"/>
            <a:lumOff val="2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5B6B3079-2047-479E-A809-1DEEF60D011D}" type="TxLink">
            <a:rPr lang="en-US" sz="2800" b="0" i="0" u="none" strike="noStrike">
              <a:solidFill>
                <a:schemeClr val="bg1"/>
              </a:solidFill>
              <a:latin typeface="Calibri"/>
              <a:ea typeface="Calibri"/>
              <a:cs typeface="Calibri"/>
            </a:rPr>
            <a:pPr algn="ctr"/>
            <a:t>20%</a:t>
          </a:fld>
          <a:endParaRPr lang="en-US" sz="2800">
            <a:solidFill>
              <a:schemeClr val="bg1"/>
            </a:solidFill>
          </a:endParaRPr>
        </a:p>
      </xdr:txBody>
    </xdr:sp>
    <xdr:clientData/>
  </xdr:twoCellAnchor>
  <xdr:twoCellAnchor>
    <xdr:from>
      <xdr:col>8</xdr:col>
      <xdr:colOff>85725</xdr:colOff>
      <xdr:row>42</xdr:row>
      <xdr:rowOff>9525</xdr:rowOff>
    </xdr:from>
    <xdr:to>
      <xdr:col>16</xdr:col>
      <xdr:colOff>14700</xdr:colOff>
      <xdr:row>53</xdr:row>
      <xdr:rowOff>178800</xdr:rowOff>
    </xdr:to>
    <xdr:graphicFrame macro="">
      <xdr:nvGraphicFramePr>
        <xdr:cNvPr id="13" name="Chart 12">
          <a:extLst>
            <a:ext uri="{FF2B5EF4-FFF2-40B4-BE49-F238E27FC236}">
              <a16:creationId xmlns:a16="http://schemas.microsoft.com/office/drawing/2014/main" id="{8B82D96B-CD89-4265-97D8-D86E765C77D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xdr:col>
      <xdr:colOff>228600</xdr:colOff>
      <xdr:row>57</xdr:row>
      <xdr:rowOff>138112</xdr:rowOff>
    </xdr:from>
    <xdr:to>
      <xdr:col>3</xdr:col>
      <xdr:colOff>152400</xdr:colOff>
      <xdr:row>63</xdr:row>
      <xdr:rowOff>132262</xdr:rowOff>
    </xdr:to>
    <xdr:sp macro="" textlink="">
      <xdr:nvSpPr>
        <xdr:cNvPr id="17" name="Speech Bubble: Oval 16">
          <a:extLst>
            <a:ext uri="{FF2B5EF4-FFF2-40B4-BE49-F238E27FC236}">
              <a16:creationId xmlns:a16="http://schemas.microsoft.com/office/drawing/2014/main" id="{11ED84EC-535D-FFE9-25CC-F5A149461844}"/>
            </a:ext>
          </a:extLst>
        </xdr:cNvPr>
        <xdr:cNvSpPr/>
      </xdr:nvSpPr>
      <xdr:spPr>
        <a:xfrm>
          <a:off x="838200" y="8027053"/>
          <a:ext cx="1143000" cy="1069915"/>
        </a:xfrm>
        <a:prstGeom prst="wedgeEllipseCallout">
          <a:avLst>
            <a:gd name="adj1" fmla="val -58333"/>
            <a:gd name="adj2" fmla="val 86310"/>
          </a:avLst>
        </a:prstGeom>
        <a:noFill/>
        <a:ln w="57150">
          <a:solidFill>
            <a:srgbClr val="00B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2400" b="1">
              <a:solidFill>
                <a:srgbClr val="FFC000"/>
              </a:solidFill>
            </a:rPr>
            <a:t>1</a:t>
          </a:r>
          <a:r>
            <a:rPr lang="tr-TR" sz="1400"/>
            <a:t> for    B</a:t>
          </a:r>
          <a:endParaRPr lang="en-US" sz="1400"/>
        </a:p>
      </xdr:txBody>
    </xdr:sp>
    <xdr:clientData/>
  </xdr:twoCellAnchor>
  <xdr:twoCellAnchor>
    <xdr:from>
      <xdr:col>5</xdr:col>
      <xdr:colOff>590550</xdr:colOff>
      <xdr:row>57</xdr:row>
      <xdr:rowOff>138112</xdr:rowOff>
    </xdr:from>
    <xdr:to>
      <xdr:col>7</xdr:col>
      <xdr:colOff>514350</xdr:colOff>
      <xdr:row>63</xdr:row>
      <xdr:rowOff>132262</xdr:rowOff>
    </xdr:to>
    <xdr:sp macro="" textlink="">
      <xdr:nvSpPr>
        <xdr:cNvPr id="25" name="Speech Bubble: Oval 24">
          <a:extLst>
            <a:ext uri="{FF2B5EF4-FFF2-40B4-BE49-F238E27FC236}">
              <a16:creationId xmlns:a16="http://schemas.microsoft.com/office/drawing/2014/main" id="{AC5899D6-AEFB-425F-BF04-1E6A6700896A}"/>
            </a:ext>
          </a:extLst>
        </xdr:cNvPr>
        <xdr:cNvSpPr/>
      </xdr:nvSpPr>
      <xdr:spPr>
        <a:xfrm>
          <a:off x="3638550" y="8027053"/>
          <a:ext cx="1143000" cy="1069915"/>
        </a:xfrm>
        <a:prstGeom prst="wedgeEllipseCallout">
          <a:avLst>
            <a:gd name="adj1" fmla="val -58333"/>
            <a:gd name="adj2" fmla="val 86310"/>
          </a:avLst>
        </a:prstGeom>
        <a:noFill/>
        <a:ln w="57150">
          <a:solidFill>
            <a:srgbClr val="00B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2400" b="1">
              <a:solidFill>
                <a:srgbClr val="FF0000"/>
              </a:solidFill>
            </a:rPr>
            <a:t>2</a:t>
          </a:r>
          <a:r>
            <a:rPr lang="tr-TR" sz="1400"/>
            <a:t> for  M</a:t>
          </a:r>
          <a:endParaRPr lang="en-US" sz="1400"/>
        </a:p>
      </xdr:txBody>
    </xdr:sp>
    <xdr:clientData/>
  </xdr:twoCellAnchor>
  <xdr:twoCellAnchor>
    <xdr:from>
      <xdr:col>3</xdr:col>
      <xdr:colOff>419100</xdr:colOff>
      <xdr:row>57</xdr:row>
      <xdr:rowOff>138112</xdr:rowOff>
    </xdr:from>
    <xdr:to>
      <xdr:col>5</xdr:col>
      <xdr:colOff>342900</xdr:colOff>
      <xdr:row>63</xdr:row>
      <xdr:rowOff>132262</xdr:rowOff>
    </xdr:to>
    <xdr:sp macro="" textlink="">
      <xdr:nvSpPr>
        <xdr:cNvPr id="26" name="Speech Bubble: Oval 25">
          <a:extLst>
            <a:ext uri="{FF2B5EF4-FFF2-40B4-BE49-F238E27FC236}">
              <a16:creationId xmlns:a16="http://schemas.microsoft.com/office/drawing/2014/main" id="{8FB7A922-C4F6-4498-81DC-7D5E0C04A9B1}"/>
            </a:ext>
          </a:extLst>
        </xdr:cNvPr>
        <xdr:cNvSpPr/>
      </xdr:nvSpPr>
      <xdr:spPr>
        <a:xfrm>
          <a:off x="2247900" y="8027053"/>
          <a:ext cx="1143000" cy="1069915"/>
        </a:xfrm>
        <a:prstGeom prst="wedgeEllipseCallout">
          <a:avLst>
            <a:gd name="adj1" fmla="val -58333"/>
            <a:gd name="adj2" fmla="val 86310"/>
          </a:avLst>
        </a:prstGeom>
        <a:noFill/>
        <a:ln w="57150">
          <a:solidFill>
            <a:srgbClr val="00B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2400" b="1">
              <a:solidFill>
                <a:srgbClr val="FFC000"/>
              </a:solidFill>
            </a:rPr>
            <a:t>1</a:t>
          </a:r>
          <a:r>
            <a:rPr lang="tr-TR" sz="1400"/>
            <a:t> for    C &amp; C</a:t>
          </a:r>
          <a:endParaRPr lang="en-US" sz="1400"/>
        </a:p>
      </xdr:txBody>
    </xdr:sp>
    <xdr:clientData/>
  </xdr:twoCellAnchor>
  <xdr:twoCellAnchor>
    <xdr:from>
      <xdr:col>9</xdr:col>
      <xdr:colOff>333375</xdr:colOff>
      <xdr:row>59</xdr:row>
      <xdr:rowOff>76200</xdr:rowOff>
    </xdr:from>
    <xdr:to>
      <xdr:col>11</xdr:col>
      <xdr:colOff>180975</xdr:colOff>
      <xdr:row>61</xdr:row>
      <xdr:rowOff>171451</xdr:rowOff>
    </xdr:to>
    <xdr:sp macro="" textlink="">
      <xdr:nvSpPr>
        <xdr:cNvPr id="35" name="Speech Bubble: Rectangle 34">
          <a:extLst>
            <a:ext uri="{FF2B5EF4-FFF2-40B4-BE49-F238E27FC236}">
              <a16:creationId xmlns:a16="http://schemas.microsoft.com/office/drawing/2014/main" id="{2C607EEF-387A-B846-293F-04AF7C7D6120}"/>
            </a:ext>
          </a:extLst>
        </xdr:cNvPr>
        <xdr:cNvSpPr/>
      </xdr:nvSpPr>
      <xdr:spPr>
        <a:xfrm>
          <a:off x="5335681" y="8323729"/>
          <a:ext cx="1066800" cy="453840"/>
        </a:xfrm>
        <a:prstGeom prst="wedgeRectCallout">
          <a:avLst>
            <a:gd name="adj1" fmla="val -58814"/>
            <a:gd name="adj2" fmla="val 131945"/>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tr-TR" sz="2400" b="1">
              <a:solidFill>
                <a:srgbClr val="FFFF00"/>
              </a:solidFill>
            </a:rPr>
            <a:t>2</a:t>
          </a:r>
          <a:r>
            <a:rPr lang="tr-TR" sz="1400"/>
            <a:t> for B + M</a:t>
          </a:r>
          <a:endParaRPr lang="en-US" sz="1400"/>
        </a:p>
      </xdr:txBody>
    </xdr:sp>
    <xdr:clientData/>
  </xdr:twoCellAnchor>
  <xdr:twoCellAnchor>
    <xdr:from>
      <xdr:col>11</xdr:col>
      <xdr:colOff>466725</xdr:colOff>
      <xdr:row>59</xdr:row>
      <xdr:rowOff>76200</xdr:rowOff>
    </xdr:from>
    <xdr:to>
      <xdr:col>13</xdr:col>
      <xdr:colOff>314325</xdr:colOff>
      <xdr:row>61</xdr:row>
      <xdr:rowOff>171451</xdr:rowOff>
    </xdr:to>
    <xdr:sp macro="" textlink="">
      <xdr:nvSpPr>
        <xdr:cNvPr id="36" name="Speech Bubble: Rectangle 35">
          <a:extLst>
            <a:ext uri="{FF2B5EF4-FFF2-40B4-BE49-F238E27FC236}">
              <a16:creationId xmlns:a16="http://schemas.microsoft.com/office/drawing/2014/main" id="{BC45D495-3EB4-4951-B29B-7999FC2984DB}"/>
            </a:ext>
          </a:extLst>
        </xdr:cNvPr>
        <xdr:cNvSpPr/>
      </xdr:nvSpPr>
      <xdr:spPr>
        <a:xfrm>
          <a:off x="6688231" y="8323729"/>
          <a:ext cx="1066800" cy="453840"/>
        </a:xfrm>
        <a:prstGeom prst="wedgeRectCallout">
          <a:avLst>
            <a:gd name="adj1" fmla="val -58814"/>
            <a:gd name="adj2" fmla="val 131945"/>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tr-TR" sz="2400" b="1">
              <a:solidFill>
                <a:srgbClr val="FFFF00"/>
              </a:solidFill>
            </a:rPr>
            <a:t>1</a:t>
          </a:r>
          <a:r>
            <a:rPr lang="tr-TR" sz="1400"/>
            <a:t> for G + M</a:t>
          </a:r>
          <a:endParaRPr lang="en-US" sz="1400"/>
        </a:p>
      </xdr:txBody>
    </xdr:sp>
    <xdr:clientData/>
  </xdr:twoCellAnchor>
  <xdr:twoCellAnchor>
    <xdr:from>
      <xdr:col>13</xdr:col>
      <xdr:colOff>600075</xdr:colOff>
      <xdr:row>59</xdr:row>
      <xdr:rowOff>76200</xdr:rowOff>
    </xdr:from>
    <xdr:to>
      <xdr:col>15</xdr:col>
      <xdr:colOff>447675</xdr:colOff>
      <xdr:row>61</xdr:row>
      <xdr:rowOff>171451</xdr:rowOff>
    </xdr:to>
    <xdr:sp macro="" textlink="">
      <xdr:nvSpPr>
        <xdr:cNvPr id="37" name="Speech Bubble: Rectangle 36">
          <a:extLst>
            <a:ext uri="{FF2B5EF4-FFF2-40B4-BE49-F238E27FC236}">
              <a16:creationId xmlns:a16="http://schemas.microsoft.com/office/drawing/2014/main" id="{6C1FED82-0AC3-4E62-8ED0-5D3DD438DEE4}"/>
            </a:ext>
          </a:extLst>
        </xdr:cNvPr>
        <xdr:cNvSpPr/>
      </xdr:nvSpPr>
      <xdr:spPr>
        <a:xfrm>
          <a:off x="8039100" y="8324850"/>
          <a:ext cx="1066800" cy="457201"/>
        </a:xfrm>
        <a:prstGeom prst="wedgeRectCallout">
          <a:avLst>
            <a:gd name="adj1" fmla="val -58814"/>
            <a:gd name="adj2" fmla="val 131945"/>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tr-TR" sz="2400" b="1">
              <a:solidFill>
                <a:srgbClr val="FFFF00"/>
              </a:solidFill>
            </a:rPr>
            <a:t>1</a:t>
          </a:r>
          <a:r>
            <a:rPr lang="tr-TR" sz="1400"/>
            <a:t> for C + M</a:t>
          </a:r>
          <a:endParaRPr lang="en-US" sz="1400"/>
        </a:p>
      </xdr:txBody>
    </xdr:sp>
    <xdr:clientData/>
  </xdr:twoCellAnchor>
  <mc:AlternateContent xmlns:mc="http://schemas.openxmlformats.org/markup-compatibility/2006">
    <mc:Choice xmlns:a14="http://schemas.microsoft.com/office/drawing/2010/main" Requires="a14">
      <xdr:twoCellAnchor editAs="oneCell">
        <xdr:from>
          <xdr:col>10</xdr:col>
          <xdr:colOff>152400</xdr:colOff>
          <xdr:row>24</xdr:row>
          <xdr:rowOff>160020</xdr:rowOff>
        </xdr:from>
        <xdr:to>
          <xdr:col>14</xdr:col>
          <xdr:colOff>487680</xdr:colOff>
          <xdr:row>26</xdr:row>
          <xdr:rowOff>22860</xdr:rowOff>
        </xdr:to>
        <xdr:sp macro="" textlink="">
          <xdr:nvSpPr>
            <xdr:cNvPr id="4103" name="ScrollBar1" hidden="1">
              <a:extLst>
                <a:ext uri="{63B3BB69-23CF-44E3-9099-C40C66FF867C}">
                  <a14:compatExt spid="_x0000_s4103"/>
                </a:ext>
                <a:ext uri="{FF2B5EF4-FFF2-40B4-BE49-F238E27FC236}">
                  <a16:creationId xmlns:a16="http://schemas.microsoft.com/office/drawing/2014/main" id="{00000000-0008-0000-0000-000007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xdr:col>
      <xdr:colOff>600075</xdr:colOff>
      <xdr:row>18</xdr:row>
      <xdr:rowOff>9525</xdr:rowOff>
    </xdr:from>
    <xdr:to>
      <xdr:col>6</xdr:col>
      <xdr:colOff>141675</xdr:colOff>
      <xdr:row>29</xdr:row>
      <xdr:rowOff>36900</xdr:rowOff>
    </xdr:to>
    <xdr:graphicFrame macro="">
      <xdr:nvGraphicFramePr>
        <xdr:cNvPr id="42" name="Chart 41">
          <a:extLst>
            <a:ext uri="{FF2B5EF4-FFF2-40B4-BE49-F238E27FC236}">
              <a16:creationId xmlns:a16="http://schemas.microsoft.com/office/drawing/2014/main" id="{9BEBBBBB-48C4-4AB7-80F8-9772AC643913}"/>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oneCellAnchor>
    <xdr:from>
      <xdr:col>6</xdr:col>
      <xdr:colOff>210999</xdr:colOff>
      <xdr:row>54</xdr:row>
      <xdr:rowOff>255582</xdr:rowOff>
    </xdr:from>
    <xdr:ext cx="2120347" cy="405432"/>
    <xdr:sp macro="" textlink="">
      <xdr:nvSpPr>
        <xdr:cNvPr id="43" name="TextBox 42">
          <a:extLst>
            <a:ext uri="{FF2B5EF4-FFF2-40B4-BE49-F238E27FC236}">
              <a16:creationId xmlns:a16="http://schemas.microsoft.com/office/drawing/2014/main" id="{D17F53C8-1AAA-4BA0-9F7A-90022ED03FD0}"/>
            </a:ext>
          </a:extLst>
        </xdr:cNvPr>
        <xdr:cNvSpPr txBox="1"/>
      </xdr:nvSpPr>
      <xdr:spPr>
        <a:xfrm>
          <a:off x="3563799" y="9904407"/>
          <a:ext cx="2120347" cy="405432"/>
        </a:xfrm>
        <a:custGeom>
          <a:avLst/>
          <a:gdLst>
            <a:gd name="csX0" fmla="*/ 0 w 2100470"/>
            <a:gd name="csY0" fmla="*/ 0 h 405432"/>
            <a:gd name="csX1" fmla="*/ 2100470 w 2100470"/>
            <a:gd name="csY1" fmla="*/ 0 h 405432"/>
            <a:gd name="csX2" fmla="*/ 2100470 w 2100470"/>
            <a:gd name="csY2" fmla="*/ 405432 h 405432"/>
            <a:gd name="csX3" fmla="*/ 0 w 2100470"/>
            <a:gd name="csY3" fmla="*/ 405432 h 405432"/>
            <a:gd name="csX4" fmla="*/ 0 w 2100470"/>
            <a:gd name="csY4" fmla="*/ 0 h 405432"/>
            <a:gd name="csX0" fmla="*/ 125896 w 2100470"/>
            <a:gd name="csY0" fmla="*/ 6626 h 405432"/>
            <a:gd name="csX1" fmla="*/ 2100470 w 2100470"/>
            <a:gd name="csY1" fmla="*/ 0 h 405432"/>
            <a:gd name="csX2" fmla="*/ 2100470 w 2100470"/>
            <a:gd name="csY2" fmla="*/ 405432 h 405432"/>
            <a:gd name="csX3" fmla="*/ 0 w 2100470"/>
            <a:gd name="csY3" fmla="*/ 405432 h 405432"/>
            <a:gd name="csX4" fmla="*/ 125896 w 2100470"/>
            <a:gd name="csY4" fmla="*/ 6626 h 405432"/>
            <a:gd name="csX0" fmla="*/ 125896 w 2100470"/>
            <a:gd name="csY0" fmla="*/ 6626 h 405432"/>
            <a:gd name="csX1" fmla="*/ 1908313 w 2100470"/>
            <a:gd name="csY1" fmla="*/ 0 h 405432"/>
            <a:gd name="csX2" fmla="*/ 2100470 w 2100470"/>
            <a:gd name="csY2" fmla="*/ 405432 h 405432"/>
            <a:gd name="csX3" fmla="*/ 0 w 2100470"/>
            <a:gd name="csY3" fmla="*/ 405432 h 405432"/>
            <a:gd name="csX4" fmla="*/ 125896 w 2100470"/>
            <a:gd name="csY4" fmla="*/ 6626 h 405432"/>
            <a:gd name="csX0" fmla="*/ 178905 w 2100470"/>
            <a:gd name="csY0" fmla="*/ 0 h 405432"/>
            <a:gd name="csX1" fmla="*/ 1908313 w 2100470"/>
            <a:gd name="csY1" fmla="*/ 0 h 405432"/>
            <a:gd name="csX2" fmla="*/ 2100470 w 2100470"/>
            <a:gd name="csY2" fmla="*/ 405432 h 405432"/>
            <a:gd name="csX3" fmla="*/ 0 w 2100470"/>
            <a:gd name="csY3" fmla="*/ 405432 h 405432"/>
            <a:gd name="csX4" fmla="*/ 178905 w 2100470"/>
            <a:gd name="csY4" fmla="*/ 0 h 405432"/>
            <a:gd name="csX0" fmla="*/ 198783 w 2120348"/>
            <a:gd name="csY0" fmla="*/ 0 h 405432"/>
            <a:gd name="csX1" fmla="*/ 1928191 w 2120348"/>
            <a:gd name="csY1" fmla="*/ 0 h 405432"/>
            <a:gd name="csX2" fmla="*/ 2120348 w 2120348"/>
            <a:gd name="csY2" fmla="*/ 405432 h 405432"/>
            <a:gd name="csX3" fmla="*/ 0 w 2120348"/>
            <a:gd name="csY3" fmla="*/ 405432 h 405432"/>
            <a:gd name="csX4" fmla="*/ 198783 w 2120348"/>
            <a:gd name="csY4" fmla="*/ 0 h 405432"/>
            <a:gd name="csX0" fmla="*/ 179733 w 2120348"/>
            <a:gd name="csY0" fmla="*/ 0 h 405432"/>
            <a:gd name="csX1" fmla="*/ 1928191 w 2120348"/>
            <a:gd name="csY1" fmla="*/ 0 h 405432"/>
            <a:gd name="csX2" fmla="*/ 2120348 w 2120348"/>
            <a:gd name="csY2" fmla="*/ 405432 h 405432"/>
            <a:gd name="csX3" fmla="*/ 0 w 2120348"/>
            <a:gd name="csY3" fmla="*/ 405432 h 405432"/>
            <a:gd name="csX4" fmla="*/ 179733 w 2120348"/>
            <a:gd name="csY4" fmla="*/ 0 h 405432"/>
            <a:gd name="csX0" fmla="*/ 194020 w 2134635"/>
            <a:gd name="csY0" fmla="*/ 0 h 405432"/>
            <a:gd name="csX1" fmla="*/ 1942478 w 2134635"/>
            <a:gd name="csY1" fmla="*/ 0 h 405432"/>
            <a:gd name="csX2" fmla="*/ 2134635 w 2134635"/>
            <a:gd name="csY2" fmla="*/ 405432 h 405432"/>
            <a:gd name="csX3" fmla="*/ 0 w 2134635"/>
            <a:gd name="csY3" fmla="*/ 405432 h 405432"/>
            <a:gd name="csX4" fmla="*/ 194020 w 2134635"/>
            <a:gd name="csY4" fmla="*/ 0 h 405432"/>
            <a:gd name="csX0" fmla="*/ 194020 w 2134635"/>
            <a:gd name="csY0" fmla="*/ 0 h 405432"/>
            <a:gd name="csX1" fmla="*/ 1923428 w 2134635"/>
            <a:gd name="csY1" fmla="*/ 0 h 405432"/>
            <a:gd name="csX2" fmla="*/ 2134635 w 2134635"/>
            <a:gd name="csY2" fmla="*/ 405432 h 405432"/>
            <a:gd name="csX3" fmla="*/ 0 w 2134635"/>
            <a:gd name="csY3" fmla="*/ 405432 h 405432"/>
            <a:gd name="csX4" fmla="*/ 194020 w 2134635"/>
            <a:gd name="csY4" fmla="*/ 0 h 405432"/>
            <a:gd name="csX0" fmla="*/ 194020 w 2120347"/>
            <a:gd name="csY0" fmla="*/ 0 h 405432"/>
            <a:gd name="csX1" fmla="*/ 1923428 w 2120347"/>
            <a:gd name="csY1" fmla="*/ 0 h 405432"/>
            <a:gd name="csX2" fmla="*/ 2120347 w 2120347"/>
            <a:gd name="csY2" fmla="*/ 405432 h 405432"/>
            <a:gd name="csX3" fmla="*/ 0 w 2120347"/>
            <a:gd name="csY3" fmla="*/ 405432 h 405432"/>
            <a:gd name="csX4" fmla="*/ 194020 w 2120347"/>
            <a:gd name="csY4" fmla="*/ 0 h 405432"/>
          </a:gdLst>
          <a:ahLst/>
          <a:cxnLst>
            <a:cxn ang="0">
              <a:pos x="csX0" y="csY0"/>
            </a:cxn>
            <a:cxn ang="0">
              <a:pos x="csX1" y="csY1"/>
            </a:cxn>
            <a:cxn ang="0">
              <a:pos x="csX2" y="csY2"/>
            </a:cxn>
            <a:cxn ang="0">
              <a:pos x="csX3" y="csY3"/>
            </a:cxn>
            <a:cxn ang="0">
              <a:pos x="csX4" y="csY4"/>
            </a:cxn>
          </a:cxnLst>
          <a:rect l="l" t="t" r="r" b="b"/>
          <a:pathLst>
            <a:path w="2120347" h="405432">
              <a:moveTo>
                <a:pt x="194020" y="0"/>
              </a:moveTo>
              <a:lnTo>
                <a:pt x="1923428" y="0"/>
              </a:lnTo>
              <a:lnTo>
                <a:pt x="2120347" y="405432"/>
              </a:lnTo>
              <a:lnTo>
                <a:pt x="0" y="405432"/>
              </a:lnTo>
              <a:lnTo>
                <a:pt x="194020" y="0"/>
              </a:lnTo>
              <a:close/>
            </a:path>
          </a:pathLst>
        </a:custGeom>
        <a:solidFill>
          <a:srgbClr val="00B05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tr-TR" sz="2000" b="1">
              <a:solidFill>
                <a:schemeClr val="bg1"/>
              </a:solidFill>
            </a:rPr>
            <a:t>Efficiency Options</a:t>
          </a:r>
          <a:endParaRPr lang="en-US" sz="2000" b="1">
            <a:solidFill>
              <a:schemeClr val="bg1"/>
            </a:solidFill>
          </a:endParaRPr>
        </a:p>
      </xdr:txBody>
    </xdr:sp>
    <xdr:clientData/>
  </xdr:oneCellAnchor>
</xdr:wsDr>
</file>

<file path=xl/drawings/drawing2.xml><?xml version="1.0" encoding="utf-8"?>
<xdr:wsDr xmlns:xdr="http://schemas.openxmlformats.org/drawingml/2006/spreadsheetDrawing" xmlns:a="http://schemas.openxmlformats.org/drawingml/2006/main">
  <xdr:twoCellAnchor>
    <xdr:from>
      <xdr:col>0</xdr:col>
      <xdr:colOff>31445</xdr:colOff>
      <xdr:row>26</xdr:row>
      <xdr:rowOff>21772</xdr:rowOff>
    </xdr:from>
    <xdr:to>
      <xdr:col>12</xdr:col>
      <xdr:colOff>532188</xdr:colOff>
      <xdr:row>32</xdr:row>
      <xdr:rowOff>8467</xdr:rowOff>
    </xdr:to>
    <xdr:sp macro="" textlink="">
      <xdr:nvSpPr>
        <xdr:cNvPr id="15" name="Rectangle 14">
          <a:extLst>
            <a:ext uri="{FF2B5EF4-FFF2-40B4-BE49-F238E27FC236}">
              <a16:creationId xmlns:a16="http://schemas.microsoft.com/office/drawing/2014/main" id="{C97639DC-1DA7-1FE5-FB35-73DF81429C3D}"/>
            </a:ext>
          </a:extLst>
        </xdr:cNvPr>
        <xdr:cNvSpPr/>
      </xdr:nvSpPr>
      <xdr:spPr>
        <a:xfrm>
          <a:off x="31445" y="9978572"/>
          <a:ext cx="14690876" cy="2272695"/>
        </a:xfrm>
        <a:prstGeom prst="rect">
          <a:avLst/>
        </a:prstGeom>
        <a:noFill/>
        <a:ln w="762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43540</xdr:colOff>
      <xdr:row>33</xdr:row>
      <xdr:rowOff>1</xdr:rowOff>
    </xdr:from>
    <xdr:to>
      <xdr:col>12</xdr:col>
      <xdr:colOff>544283</xdr:colOff>
      <xdr:row>38</xdr:row>
      <xdr:rowOff>347134</xdr:rowOff>
    </xdr:to>
    <xdr:sp macro="" textlink="">
      <xdr:nvSpPr>
        <xdr:cNvPr id="16" name="Rectangle 15">
          <a:extLst>
            <a:ext uri="{FF2B5EF4-FFF2-40B4-BE49-F238E27FC236}">
              <a16:creationId xmlns:a16="http://schemas.microsoft.com/office/drawing/2014/main" id="{40C17DEC-6F51-4D17-9AAE-EE8B3FC603D0}"/>
            </a:ext>
          </a:extLst>
        </xdr:cNvPr>
        <xdr:cNvSpPr/>
      </xdr:nvSpPr>
      <xdr:spPr>
        <a:xfrm>
          <a:off x="43540" y="12623801"/>
          <a:ext cx="14690876" cy="2286000"/>
        </a:xfrm>
        <a:prstGeom prst="rect">
          <a:avLst/>
        </a:prstGeom>
        <a:noFill/>
        <a:ln w="762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39914</xdr:colOff>
      <xdr:row>39</xdr:row>
      <xdr:rowOff>304801</xdr:rowOff>
    </xdr:from>
    <xdr:to>
      <xdr:col>12</xdr:col>
      <xdr:colOff>540657</xdr:colOff>
      <xdr:row>44</xdr:row>
      <xdr:rowOff>287867</xdr:rowOff>
    </xdr:to>
    <xdr:sp macro="" textlink="">
      <xdr:nvSpPr>
        <xdr:cNvPr id="17" name="Rectangle 16">
          <a:extLst>
            <a:ext uri="{FF2B5EF4-FFF2-40B4-BE49-F238E27FC236}">
              <a16:creationId xmlns:a16="http://schemas.microsoft.com/office/drawing/2014/main" id="{EC60D8AE-D6CF-45B4-95CE-7E5BB999BF18}"/>
            </a:ext>
          </a:extLst>
        </xdr:cNvPr>
        <xdr:cNvSpPr/>
      </xdr:nvSpPr>
      <xdr:spPr>
        <a:xfrm>
          <a:off x="39914" y="15248468"/>
          <a:ext cx="14690876" cy="2396066"/>
        </a:xfrm>
        <a:prstGeom prst="rect">
          <a:avLst/>
        </a:prstGeom>
        <a:noFill/>
        <a:ln w="762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42332</xdr:colOff>
      <xdr:row>46</xdr:row>
      <xdr:rowOff>484</xdr:rowOff>
    </xdr:from>
    <xdr:to>
      <xdr:col>12</xdr:col>
      <xdr:colOff>543075</xdr:colOff>
      <xdr:row>49</xdr:row>
      <xdr:rowOff>0</xdr:rowOff>
    </xdr:to>
    <xdr:sp macro="" textlink="">
      <xdr:nvSpPr>
        <xdr:cNvPr id="18" name="Rectangle 17">
          <a:extLst>
            <a:ext uri="{FF2B5EF4-FFF2-40B4-BE49-F238E27FC236}">
              <a16:creationId xmlns:a16="http://schemas.microsoft.com/office/drawing/2014/main" id="{33035A05-0AC1-4462-8D7E-387E0BD2C9DF}"/>
            </a:ext>
          </a:extLst>
        </xdr:cNvPr>
        <xdr:cNvSpPr/>
      </xdr:nvSpPr>
      <xdr:spPr>
        <a:xfrm>
          <a:off x="42332" y="18059884"/>
          <a:ext cx="14690876" cy="2014583"/>
        </a:xfrm>
        <a:prstGeom prst="rect">
          <a:avLst/>
        </a:prstGeom>
        <a:noFill/>
        <a:ln w="762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43543</xdr:colOff>
      <xdr:row>49</xdr:row>
      <xdr:rowOff>326570</xdr:rowOff>
    </xdr:from>
    <xdr:to>
      <xdr:col>12</xdr:col>
      <xdr:colOff>544286</xdr:colOff>
      <xdr:row>55</xdr:row>
      <xdr:rowOff>355600</xdr:rowOff>
    </xdr:to>
    <xdr:sp macro="" textlink="">
      <xdr:nvSpPr>
        <xdr:cNvPr id="19" name="Rectangle 18">
          <a:extLst>
            <a:ext uri="{FF2B5EF4-FFF2-40B4-BE49-F238E27FC236}">
              <a16:creationId xmlns:a16="http://schemas.microsoft.com/office/drawing/2014/main" id="{285AF027-0A39-4C4E-AFF7-EB20F5B02703}"/>
            </a:ext>
          </a:extLst>
        </xdr:cNvPr>
        <xdr:cNvSpPr/>
      </xdr:nvSpPr>
      <xdr:spPr>
        <a:xfrm>
          <a:off x="43543" y="21908103"/>
          <a:ext cx="14690876" cy="2315030"/>
        </a:xfrm>
        <a:prstGeom prst="rect">
          <a:avLst/>
        </a:prstGeom>
        <a:noFill/>
        <a:ln w="762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54429</xdr:colOff>
      <xdr:row>57</xdr:row>
      <xdr:rowOff>0</xdr:rowOff>
    </xdr:from>
    <xdr:to>
      <xdr:col>12</xdr:col>
      <xdr:colOff>555172</xdr:colOff>
      <xdr:row>65</xdr:row>
      <xdr:rowOff>279400</xdr:rowOff>
    </xdr:to>
    <xdr:sp macro="" textlink="">
      <xdr:nvSpPr>
        <xdr:cNvPr id="20" name="Rectangle 19">
          <a:extLst>
            <a:ext uri="{FF2B5EF4-FFF2-40B4-BE49-F238E27FC236}">
              <a16:creationId xmlns:a16="http://schemas.microsoft.com/office/drawing/2014/main" id="{EEE5E2C3-8B15-4C94-9D24-C93BA47D86DD}"/>
            </a:ext>
          </a:extLst>
        </xdr:cNvPr>
        <xdr:cNvSpPr/>
      </xdr:nvSpPr>
      <xdr:spPr>
        <a:xfrm>
          <a:off x="54429" y="23105533"/>
          <a:ext cx="14690876" cy="2345267"/>
        </a:xfrm>
        <a:prstGeom prst="rect">
          <a:avLst/>
        </a:prstGeom>
        <a:noFill/>
        <a:ln w="762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1</xdr:col>
          <xdr:colOff>43604</xdr:colOff>
          <xdr:row>78</xdr:row>
          <xdr:rowOff>23707</xdr:rowOff>
        </xdr:from>
        <xdr:to>
          <xdr:col>4</xdr:col>
          <xdr:colOff>9314</xdr:colOff>
          <xdr:row>93</xdr:row>
          <xdr:rowOff>23707</xdr:rowOff>
        </xdr:to>
        <xdr:pic>
          <xdr:nvPicPr>
            <xdr:cNvPr id="21" name="Picture 20">
              <a:extLst>
                <a:ext uri="{FF2B5EF4-FFF2-40B4-BE49-F238E27FC236}">
                  <a16:creationId xmlns:a16="http://schemas.microsoft.com/office/drawing/2014/main" id="{A626105F-6B0C-73DD-FA90-E0A66A2C4047}"/>
                </a:ext>
              </a:extLst>
            </xdr:cNvPr>
            <xdr:cNvPicPr>
              <a:picLocks noChangeAspect="1" noChangeArrowheads="1"/>
              <a:extLst>
                <a:ext uri="{84589F7E-364E-4C9E-8A38-B11213B215E9}">
                  <a14:cameraTool cellRange="Dashboard!$B$55:$P$67" spid="_x0000_s5313"/>
                </a:ext>
              </a:extLst>
            </xdr:cNvPicPr>
          </xdr:nvPicPr>
          <xdr:blipFill>
            <a:blip xmlns:r="http://schemas.openxmlformats.org/officeDocument/2006/relationships" r:embed="rId1"/>
            <a:srcRect/>
            <a:stretch>
              <a:fillRect/>
            </a:stretch>
          </xdr:blipFill>
          <xdr:spPr bwMode="auto">
            <a:xfrm>
              <a:off x="653204" y="29913157"/>
              <a:ext cx="8671560" cy="285750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33867</xdr:colOff>
          <xdr:row>26</xdr:row>
          <xdr:rowOff>76199</xdr:rowOff>
        </xdr:from>
        <xdr:to>
          <xdr:col>7</xdr:col>
          <xdr:colOff>219287</xdr:colOff>
          <xdr:row>31</xdr:row>
          <xdr:rowOff>313266</xdr:rowOff>
        </xdr:to>
        <xdr:pic>
          <xdr:nvPicPr>
            <xdr:cNvPr id="22" name="Picture 21">
              <a:extLst>
                <a:ext uri="{FF2B5EF4-FFF2-40B4-BE49-F238E27FC236}">
                  <a16:creationId xmlns:a16="http://schemas.microsoft.com/office/drawing/2014/main" id="{8C2A4673-F8C0-894E-1922-1BAEE9DEBE52}"/>
                </a:ext>
              </a:extLst>
            </xdr:cNvPr>
            <xdr:cNvPicPr>
              <a:picLocks noChangeAspect="1" noChangeArrowheads="1"/>
              <a:extLst>
                <a:ext uri="{84589F7E-364E-4C9E-8A38-B11213B215E9}">
                  <a14:cameraTool cellRange="Dashboard!$B$4:$H$15" spid="_x0000_s5314"/>
                </a:ext>
              </a:extLst>
            </xdr:cNvPicPr>
          </xdr:nvPicPr>
          <xdr:blipFill>
            <a:blip xmlns:r="http://schemas.openxmlformats.org/officeDocument/2006/relationships" r:embed="rId2"/>
            <a:srcRect/>
            <a:stretch>
              <a:fillRect/>
            </a:stretch>
          </xdr:blipFill>
          <xdr:spPr bwMode="auto">
            <a:xfrm>
              <a:off x="7086600" y="10032999"/>
              <a:ext cx="4274820" cy="2142067"/>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22013</xdr:colOff>
          <xdr:row>33</xdr:row>
          <xdr:rowOff>60960</xdr:rowOff>
        </xdr:from>
        <xdr:to>
          <xdr:col>7</xdr:col>
          <xdr:colOff>204893</xdr:colOff>
          <xdr:row>38</xdr:row>
          <xdr:rowOff>263313</xdr:rowOff>
        </xdr:to>
        <xdr:pic>
          <xdr:nvPicPr>
            <xdr:cNvPr id="23" name="Picture 22">
              <a:extLst>
                <a:ext uri="{FF2B5EF4-FFF2-40B4-BE49-F238E27FC236}">
                  <a16:creationId xmlns:a16="http://schemas.microsoft.com/office/drawing/2014/main" id="{F211E962-A2B1-E327-4453-6DC3CB11108C}"/>
                </a:ext>
              </a:extLst>
            </xdr:cNvPr>
            <xdr:cNvPicPr>
              <a:picLocks noChangeAspect="1" noChangeArrowheads="1"/>
              <a:extLst>
                <a:ext uri="{84589F7E-364E-4C9E-8A38-B11213B215E9}">
                  <a14:cameraTool cellRange="Dashboard!$J$4:$P$15" spid="_x0000_s5315"/>
                </a:ext>
              </a:extLst>
            </xdr:cNvPicPr>
          </xdr:nvPicPr>
          <xdr:blipFill>
            <a:blip xmlns:r="http://schemas.openxmlformats.org/officeDocument/2006/relationships" r:embed="rId3"/>
            <a:srcRect/>
            <a:stretch>
              <a:fillRect/>
            </a:stretch>
          </xdr:blipFill>
          <xdr:spPr bwMode="auto">
            <a:xfrm>
              <a:off x="7074746" y="12684760"/>
              <a:ext cx="4272280" cy="214122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25401</xdr:colOff>
          <xdr:row>39</xdr:row>
          <xdr:rowOff>370840</xdr:rowOff>
        </xdr:from>
        <xdr:to>
          <xdr:col>12</xdr:col>
          <xdr:colOff>500381</xdr:colOff>
          <xdr:row>44</xdr:row>
          <xdr:rowOff>203200</xdr:rowOff>
        </xdr:to>
        <xdr:pic>
          <xdr:nvPicPr>
            <xdr:cNvPr id="24" name="Picture 23">
              <a:extLst>
                <a:ext uri="{FF2B5EF4-FFF2-40B4-BE49-F238E27FC236}">
                  <a16:creationId xmlns:a16="http://schemas.microsoft.com/office/drawing/2014/main" id="{93756A58-1D67-6B5E-DBF5-C3D5663B30EF}"/>
                </a:ext>
              </a:extLst>
            </xdr:cNvPr>
            <xdr:cNvPicPr>
              <a:picLocks noChangeAspect="1" noChangeArrowheads="1"/>
              <a:extLst>
                <a:ext uri="{84589F7E-364E-4C9E-8A38-B11213B215E9}">
                  <a14:cameraTool cellRange="Dashboard!$B$17:$P$28" spid="_x0000_s5316"/>
                </a:ext>
              </a:extLst>
            </xdr:cNvPicPr>
          </xdr:nvPicPr>
          <xdr:blipFill>
            <a:blip xmlns:r="http://schemas.openxmlformats.org/officeDocument/2006/relationships" r:embed="rId4"/>
            <a:srcRect/>
            <a:stretch>
              <a:fillRect/>
            </a:stretch>
          </xdr:blipFill>
          <xdr:spPr bwMode="auto">
            <a:xfrm>
              <a:off x="7078134" y="17600507"/>
              <a:ext cx="7612380" cy="224536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11854</xdr:colOff>
          <xdr:row>46</xdr:row>
          <xdr:rowOff>60960</xdr:rowOff>
        </xdr:from>
        <xdr:to>
          <xdr:col>6</xdr:col>
          <xdr:colOff>132054</xdr:colOff>
          <xdr:row>48</xdr:row>
          <xdr:rowOff>341568</xdr:rowOff>
        </xdr:to>
        <xdr:pic>
          <xdr:nvPicPr>
            <xdr:cNvPr id="25" name="Picture 24">
              <a:extLst>
                <a:ext uri="{FF2B5EF4-FFF2-40B4-BE49-F238E27FC236}">
                  <a16:creationId xmlns:a16="http://schemas.microsoft.com/office/drawing/2014/main" id="{669887BD-E40D-E6C8-969A-F13BBF48D6AD}"/>
                </a:ext>
              </a:extLst>
            </xdr:cNvPr>
            <xdr:cNvPicPr>
              <a:picLocks noChangeAspect="1" noChangeArrowheads="1"/>
              <a:extLst>
                <a:ext uri="{84589F7E-364E-4C9E-8A38-B11213B215E9}">
                  <a14:cameraTool cellRange="Dashboard!$B$30:$H$41" spid="_x0000_s5317"/>
                </a:ext>
              </a:extLst>
            </xdr:cNvPicPr>
          </xdr:nvPicPr>
          <xdr:blipFill>
            <a:blip xmlns:r="http://schemas.openxmlformats.org/officeDocument/2006/relationships" r:embed="rId5"/>
            <a:srcRect/>
            <a:stretch>
              <a:fillRect/>
            </a:stretch>
          </xdr:blipFill>
          <xdr:spPr bwMode="auto">
            <a:xfrm>
              <a:off x="7064587" y="18120360"/>
              <a:ext cx="3600000" cy="1897741"/>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154941</xdr:colOff>
          <xdr:row>46</xdr:row>
          <xdr:rowOff>52493</xdr:rowOff>
        </xdr:from>
        <xdr:to>
          <xdr:col>12</xdr:col>
          <xdr:colOff>173076</xdr:colOff>
          <xdr:row>48</xdr:row>
          <xdr:rowOff>332560</xdr:rowOff>
        </xdr:to>
        <xdr:pic>
          <xdr:nvPicPr>
            <xdr:cNvPr id="26" name="Picture 25">
              <a:extLst>
                <a:ext uri="{FF2B5EF4-FFF2-40B4-BE49-F238E27FC236}">
                  <a16:creationId xmlns:a16="http://schemas.microsoft.com/office/drawing/2014/main" id="{8256C983-72FB-B7F5-16C3-DBBA6F847FBA}"/>
                </a:ext>
              </a:extLst>
            </xdr:cNvPr>
            <xdr:cNvPicPr>
              <a:picLocks noChangeAspect="1" noChangeArrowheads="1"/>
              <a:extLst>
                <a:ext uri="{84589F7E-364E-4C9E-8A38-B11213B215E9}">
                  <a14:cameraTool cellRange="Dashboard!$B$43:$H$54" spid="_x0000_s5318"/>
                </a:ext>
              </a:extLst>
            </xdr:cNvPicPr>
          </xdr:nvPicPr>
          <xdr:blipFill>
            <a:blip xmlns:r="http://schemas.openxmlformats.org/officeDocument/2006/relationships" r:embed="rId6"/>
            <a:srcRect/>
            <a:stretch>
              <a:fillRect/>
            </a:stretch>
          </xdr:blipFill>
          <xdr:spPr bwMode="auto">
            <a:xfrm>
              <a:off x="10687474" y="18111893"/>
              <a:ext cx="3675735" cy="189720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33866</xdr:colOff>
          <xdr:row>49</xdr:row>
          <xdr:rowOff>369147</xdr:rowOff>
        </xdr:from>
        <xdr:to>
          <xdr:col>7</xdr:col>
          <xdr:colOff>216746</xdr:colOff>
          <xdr:row>55</xdr:row>
          <xdr:rowOff>285327</xdr:rowOff>
        </xdr:to>
        <xdr:pic>
          <xdr:nvPicPr>
            <xdr:cNvPr id="27" name="Picture 26">
              <a:extLst>
                <a:ext uri="{FF2B5EF4-FFF2-40B4-BE49-F238E27FC236}">
                  <a16:creationId xmlns:a16="http://schemas.microsoft.com/office/drawing/2014/main" id="{ED0339D2-9F17-6702-ADA1-E4917113195D}"/>
                </a:ext>
              </a:extLst>
            </xdr:cNvPr>
            <xdr:cNvPicPr>
              <a:picLocks noChangeAspect="1" noChangeArrowheads="1"/>
              <a:extLst>
                <a:ext uri="{84589F7E-364E-4C9E-8A38-B11213B215E9}">
                  <a14:cameraTool cellRange="Dashboard!$J$43:$P$54" spid="_x0000_s5319"/>
                </a:ext>
              </a:extLst>
            </xdr:cNvPicPr>
          </xdr:nvPicPr>
          <xdr:blipFill>
            <a:blip xmlns:r="http://schemas.openxmlformats.org/officeDocument/2006/relationships" r:embed="rId7"/>
            <a:srcRect/>
            <a:stretch>
              <a:fillRect/>
            </a:stretch>
          </xdr:blipFill>
          <xdr:spPr bwMode="auto">
            <a:xfrm>
              <a:off x="7086599" y="25261147"/>
              <a:ext cx="4272280" cy="220218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35560</xdr:colOff>
          <xdr:row>57</xdr:row>
          <xdr:rowOff>55880</xdr:rowOff>
        </xdr:from>
        <xdr:to>
          <xdr:col>7</xdr:col>
          <xdr:colOff>218440</xdr:colOff>
          <xdr:row>65</xdr:row>
          <xdr:rowOff>223520</xdr:rowOff>
        </xdr:to>
        <xdr:pic>
          <xdr:nvPicPr>
            <xdr:cNvPr id="28" name="Picture 27">
              <a:extLst>
                <a:ext uri="{FF2B5EF4-FFF2-40B4-BE49-F238E27FC236}">
                  <a16:creationId xmlns:a16="http://schemas.microsoft.com/office/drawing/2014/main" id="{00D5A6B5-0C6A-D1CD-1F91-F3A453F5FDC6}"/>
                </a:ext>
              </a:extLst>
            </xdr:cNvPr>
            <xdr:cNvPicPr>
              <a:picLocks noChangeAspect="1" noChangeArrowheads="1"/>
              <a:extLst>
                <a:ext uri="{84589F7E-364E-4C9E-8A38-B11213B215E9}">
                  <a14:cameraTool cellRange="Dashboard!$J$30:$P$41" spid="_x0000_s5320"/>
                </a:ext>
              </a:extLst>
            </xdr:cNvPicPr>
          </xdr:nvPicPr>
          <xdr:blipFill>
            <a:blip xmlns:r="http://schemas.openxmlformats.org/officeDocument/2006/relationships" r:embed="rId8"/>
            <a:srcRect/>
            <a:stretch>
              <a:fillRect/>
            </a:stretch>
          </xdr:blipFill>
          <xdr:spPr bwMode="auto">
            <a:xfrm>
              <a:off x="7088293" y="23161413"/>
              <a:ext cx="4272280" cy="2233507"/>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365760</xdr:colOff>
          <xdr:row>97</xdr:row>
          <xdr:rowOff>99060</xdr:rowOff>
        </xdr:from>
        <xdr:to>
          <xdr:col>14</xdr:col>
          <xdr:colOff>373380</xdr:colOff>
          <xdr:row>98</xdr:row>
          <xdr:rowOff>106680</xdr:rowOff>
        </xdr:to>
        <xdr:pic>
          <xdr:nvPicPr>
            <xdr:cNvPr id="29" name="Picture 28">
              <a:extLst>
                <a:ext uri="{FF2B5EF4-FFF2-40B4-BE49-F238E27FC236}">
                  <a16:creationId xmlns:a16="http://schemas.microsoft.com/office/drawing/2014/main" id="{9059C89B-ED94-B07C-D41D-6436C43A46A9}"/>
                </a:ext>
              </a:extLst>
            </xdr:cNvPr>
            <xdr:cNvPicPr>
              <a:picLocks noChangeAspect="1" noChangeArrowheads="1"/>
              <a:extLst>
                <a:ext uri="{84589F7E-364E-4C9E-8A38-B11213B215E9}">
                  <a14:cameraTool cellRange="$A$95" spid="_x0000_s5321"/>
                </a:ext>
              </a:extLst>
            </xdr:cNvPicPr>
          </xdr:nvPicPr>
          <xdr:blipFill>
            <a:blip xmlns:r="http://schemas.openxmlformats.org/officeDocument/2006/relationships" r:embed="rId9"/>
            <a:srcRect/>
            <a:stretch>
              <a:fillRect/>
            </a:stretch>
          </xdr:blipFill>
          <xdr:spPr bwMode="auto">
            <a:xfrm>
              <a:off x="15163800" y="33947100"/>
              <a:ext cx="617220" cy="20574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10886</xdr:colOff>
      <xdr:row>11</xdr:row>
      <xdr:rowOff>1634</xdr:rowOff>
    </xdr:from>
    <xdr:to>
      <xdr:col>3</xdr:col>
      <xdr:colOff>522514</xdr:colOff>
      <xdr:row>21</xdr:row>
      <xdr:rowOff>65314</xdr:rowOff>
    </xdr:to>
    <xdr:graphicFrame macro="">
      <xdr:nvGraphicFramePr>
        <xdr:cNvPr id="3" name="Chart 2">
          <a:extLst>
            <a:ext uri="{FF2B5EF4-FFF2-40B4-BE49-F238E27FC236}">
              <a16:creationId xmlns:a16="http://schemas.microsoft.com/office/drawing/2014/main" id="{5CDCAD4B-78F1-2C95-3503-734A6554661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8708</xdr:colOff>
      <xdr:row>0</xdr:row>
      <xdr:rowOff>0</xdr:rowOff>
    </xdr:from>
    <xdr:to>
      <xdr:col>3</xdr:col>
      <xdr:colOff>526868</xdr:colOff>
      <xdr:row>9</xdr:row>
      <xdr:rowOff>156258</xdr:rowOff>
    </xdr:to>
    <xdr:graphicFrame macro="">
      <xdr:nvGraphicFramePr>
        <xdr:cNvPr id="7" name="Chart 6">
          <a:extLst>
            <a:ext uri="{FF2B5EF4-FFF2-40B4-BE49-F238E27FC236}">
              <a16:creationId xmlns:a16="http://schemas.microsoft.com/office/drawing/2014/main" id="{AF99E587-14DF-1883-83AE-90FA422034F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17418</xdr:colOff>
      <xdr:row>0</xdr:row>
      <xdr:rowOff>0</xdr:rowOff>
    </xdr:from>
    <xdr:to>
      <xdr:col>7</xdr:col>
      <xdr:colOff>173675</xdr:colOff>
      <xdr:row>9</xdr:row>
      <xdr:rowOff>154080</xdr:rowOff>
    </xdr:to>
    <xdr:graphicFrame macro="">
      <xdr:nvGraphicFramePr>
        <xdr:cNvPr id="10" name="Chart 9">
          <a:extLst>
            <a:ext uri="{FF2B5EF4-FFF2-40B4-BE49-F238E27FC236}">
              <a16:creationId xmlns:a16="http://schemas.microsoft.com/office/drawing/2014/main" id="{F8C2F9D0-4D1C-E2A8-69CA-6E9F58AC332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1686197</xdr:colOff>
      <xdr:row>10</xdr:row>
      <xdr:rowOff>171450</xdr:rowOff>
    </xdr:from>
    <xdr:to>
      <xdr:col>7</xdr:col>
      <xdr:colOff>304799</xdr:colOff>
      <xdr:row>21</xdr:row>
      <xdr:rowOff>130629</xdr:rowOff>
    </xdr:to>
    <xdr:graphicFrame macro="">
      <xdr:nvGraphicFramePr>
        <xdr:cNvPr id="11" name="Chart 10">
          <a:extLst>
            <a:ext uri="{FF2B5EF4-FFF2-40B4-BE49-F238E27FC236}">
              <a16:creationId xmlns:a16="http://schemas.microsoft.com/office/drawing/2014/main" id="{1CA4025D-6035-B19F-BC4E-5810191B9DA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xdr:col>
      <xdr:colOff>28303</xdr:colOff>
      <xdr:row>23</xdr:row>
      <xdr:rowOff>176348</xdr:rowOff>
    </xdr:from>
    <xdr:to>
      <xdr:col>6</xdr:col>
      <xdr:colOff>1428206</xdr:colOff>
      <xdr:row>38</xdr:row>
      <xdr:rowOff>176349</xdr:rowOff>
    </xdr:to>
    <xdr:graphicFrame macro="">
      <xdr:nvGraphicFramePr>
        <xdr:cNvPr id="12" name="Chart 11">
          <a:extLst>
            <a:ext uri="{FF2B5EF4-FFF2-40B4-BE49-F238E27FC236}">
              <a16:creationId xmlns:a16="http://schemas.microsoft.com/office/drawing/2014/main" id="{D1BF7C20-34D2-C19D-5207-9299980DB17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3</xdr:col>
      <xdr:colOff>16328</xdr:colOff>
      <xdr:row>39</xdr:row>
      <xdr:rowOff>34835</xdr:rowOff>
    </xdr:from>
    <xdr:to>
      <xdr:col>4</xdr:col>
      <xdr:colOff>1088</xdr:colOff>
      <xdr:row>52</xdr:row>
      <xdr:rowOff>124371</xdr:rowOff>
    </xdr:to>
    <mc:AlternateContent xmlns:mc="http://schemas.openxmlformats.org/markup-compatibility/2006" xmlns:a14="http://schemas.microsoft.com/office/drawing/2010/main">
      <mc:Choice Requires="a14">
        <xdr:graphicFrame macro="">
          <xdr:nvGraphicFramePr>
            <xdr:cNvPr id="13" name="Product">
              <a:extLst>
                <a:ext uri="{FF2B5EF4-FFF2-40B4-BE49-F238E27FC236}">
                  <a16:creationId xmlns:a16="http://schemas.microsoft.com/office/drawing/2014/main" id="{6BD39B22-8343-A9E0-1CAE-C1A683C2C0B7}"/>
                </a:ext>
              </a:extLst>
            </xdr:cNvPr>
            <xdr:cNvGraphicFramePr/>
          </xdr:nvGraphicFramePr>
          <xdr:xfrm>
            <a:off x="0" y="0"/>
            <a:ext cx="0" cy="0"/>
          </xdr:xfrm>
          <a:graphic>
            <a:graphicData uri="http://schemas.microsoft.com/office/drawing/2010/slicer">
              <sle:slicer xmlns:sle="http://schemas.microsoft.com/office/drawing/2010/slicer" name="Product"/>
            </a:graphicData>
          </a:graphic>
        </xdr:graphicFrame>
      </mc:Choice>
      <mc:Fallback xmlns="">
        <xdr:sp macro="" textlink="">
          <xdr:nvSpPr>
            <xdr:cNvPr id="0" name=""/>
            <xdr:cNvSpPr>
              <a:spLocks noTextEdit="1"/>
            </xdr:cNvSpPr>
          </xdr:nvSpPr>
          <xdr:spPr>
            <a:xfrm>
              <a:off x="4098471" y="7252064"/>
              <a:ext cx="1824446" cy="249527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xdr:col>
      <xdr:colOff>16329</xdr:colOff>
      <xdr:row>74</xdr:row>
      <xdr:rowOff>21771</xdr:rowOff>
    </xdr:from>
    <xdr:to>
      <xdr:col>4</xdr:col>
      <xdr:colOff>1089</xdr:colOff>
      <xdr:row>87</xdr:row>
      <xdr:rowOff>111307</xdr:rowOff>
    </xdr:to>
    <mc:AlternateContent xmlns:mc="http://schemas.openxmlformats.org/markup-compatibility/2006" xmlns:a14="http://schemas.microsoft.com/office/drawing/2010/main">
      <mc:Choice Requires="a14">
        <xdr:graphicFrame macro="">
          <xdr:nvGraphicFramePr>
            <xdr:cNvPr id="14" name="Product 1">
              <a:extLst>
                <a:ext uri="{FF2B5EF4-FFF2-40B4-BE49-F238E27FC236}">
                  <a16:creationId xmlns:a16="http://schemas.microsoft.com/office/drawing/2014/main" id="{62A0D1C4-848A-495F-B8A8-5BDD2D745A38}"/>
                </a:ext>
              </a:extLst>
            </xdr:cNvPr>
            <xdr:cNvGraphicFramePr/>
          </xdr:nvGraphicFramePr>
          <xdr:xfrm>
            <a:off x="0" y="0"/>
            <a:ext cx="0" cy="0"/>
          </xdr:xfrm>
          <a:graphic>
            <a:graphicData uri="http://schemas.microsoft.com/office/drawing/2010/slicer">
              <sle:slicer xmlns:sle="http://schemas.microsoft.com/office/drawing/2010/slicer" name="Product 1"/>
            </a:graphicData>
          </a:graphic>
        </xdr:graphicFrame>
      </mc:Choice>
      <mc:Fallback xmlns="">
        <xdr:sp macro="" textlink="">
          <xdr:nvSpPr>
            <xdr:cNvPr id="0" name=""/>
            <xdr:cNvSpPr>
              <a:spLocks noTextEdit="1"/>
            </xdr:cNvSpPr>
          </xdr:nvSpPr>
          <xdr:spPr>
            <a:xfrm>
              <a:off x="4098472" y="13716000"/>
              <a:ext cx="1824446" cy="249527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xdr:col>
      <xdr:colOff>1705792</xdr:colOff>
      <xdr:row>59</xdr:row>
      <xdr:rowOff>14697</xdr:rowOff>
    </xdr:from>
    <xdr:to>
      <xdr:col>7</xdr:col>
      <xdr:colOff>286295</xdr:colOff>
      <xdr:row>74</xdr:row>
      <xdr:rowOff>14697</xdr:rowOff>
    </xdr:to>
    <xdr:graphicFrame macro="">
      <xdr:nvGraphicFramePr>
        <xdr:cNvPr id="15" name="Chart 14">
          <a:extLst>
            <a:ext uri="{FF2B5EF4-FFF2-40B4-BE49-F238E27FC236}">
              <a16:creationId xmlns:a16="http://schemas.microsoft.com/office/drawing/2014/main" id="{1BF4F7C5-0BA8-ABF2-9357-3CA215BA8EE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3</xdr:col>
      <xdr:colOff>22860</xdr:colOff>
      <xdr:row>13</xdr:row>
      <xdr:rowOff>149860</xdr:rowOff>
    </xdr:from>
    <xdr:to>
      <xdr:col>9</xdr:col>
      <xdr:colOff>439420</xdr:colOff>
      <xdr:row>25</xdr:row>
      <xdr:rowOff>67310</xdr:rowOff>
    </xdr:to>
    <xdr:graphicFrame macro="">
      <xdr:nvGraphicFramePr>
        <xdr:cNvPr id="8" name="Chart 7">
          <a:extLst>
            <a:ext uri="{FF2B5EF4-FFF2-40B4-BE49-F238E27FC236}">
              <a16:creationId xmlns:a16="http://schemas.microsoft.com/office/drawing/2014/main" id="{B8264E95-9F18-09E4-9CA2-B73596D403D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10160</xdr:colOff>
      <xdr:row>0</xdr:row>
      <xdr:rowOff>176530</xdr:rowOff>
    </xdr:from>
    <xdr:to>
      <xdr:col>6</xdr:col>
      <xdr:colOff>193040</xdr:colOff>
      <xdr:row>11</xdr:row>
      <xdr:rowOff>139700</xdr:rowOff>
    </xdr:to>
    <xdr:graphicFrame macro="">
      <xdr:nvGraphicFramePr>
        <xdr:cNvPr id="3" name="Chart 2">
          <a:extLst>
            <a:ext uri="{FF2B5EF4-FFF2-40B4-BE49-F238E27FC236}">
              <a16:creationId xmlns:a16="http://schemas.microsoft.com/office/drawing/2014/main" id="{80B5FDB9-1119-5F32-7857-9492C23486C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6</xdr:col>
      <xdr:colOff>6350</xdr:colOff>
      <xdr:row>0</xdr:row>
      <xdr:rowOff>0</xdr:rowOff>
    </xdr:from>
    <xdr:to>
      <xdr:col>7</xdr:col>
      <xdr:colOff>647700</xdr:colOff>
      <xdr:row>10</xdr:row>
      <xdr:rowOff>57150</xdr:rowOff>
    </xdr:to>
    <xdr:graphicFrame macro="">
      <xdr:nvGraphicFramePr>
        <xdr:cNvPr id="4" name="Chart 3">
          <a:extLst>
            <a:ext uri="{FF2B5EF4-FFF2-40B4-BE49-F238E27FC236}">
              <a16:creationId xmlns:a16="http://schemas.microsoft.com/office/drawing/2014/main" id="{0814F203-10AF-E35C-06BB-9C2587F0B97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li Can" refreshedDate="46091.037007638886" createdVersion="8" refreshedVersion="8" minRefreshableVersion="3" recordCount="496" xr:uid="{8AE140ED-383B-43B1-957B-F237F9FC1A8E}">
  <cacheSource type="worksheet">
    <worksheetSource name="tbl_data"/>
  </cacheSource>
  <cacheFields count="7">
    <cacheField name="Product" numFmtId="0">
      <sharedItems count="4">
        <s v="Books"/>
        <s v="Clothing"/>
        <s v="Music"/>
        <s v="Games"/>
      </sharedItems>
    </cacheField>
    <cacheField name="Sales Person" numFmtId="0">
      <sharedItems count="4">
        <s v="Alice"/>
        <s v="Barney"/>
        <s v="Carol"/>
        <s v="David"/>
      </sharedItems>
    </cacheField>
    <cacheField name="Sales Amount ($)" numFmtId="0">
      <sharedItems containsSemiMixedTypes="0" containsString="0" containsNumber="1" containsInteger="1" minValue="0" maxValue="2500"/>
    </cacheField>
    <cacheField name="Date" numFmtId="165">
      <sharedItems containsSemiMixedTypes="0" containsNonDate="0" containsDate="1" containsString="0" minDate="2017-10-01T00:00:00" maxDate="2017-11-01T00:00:00" count="31">
        <d v="2017-10-01T00:00:00"/>
        <d v="2017-10-02T00:00:00"/>
        <d v="2017-10-03T00:00:00"/>
        <d v="2017-10-04T00:00:00"/>
        <d v="2017-10-05T00:00:00"/>
        <d v="2017-10-06T00:00:00"/>
        <d v="2017-10-07T00:00:00"/>
        <d v="2017-10-08T00:00:00"/>
        <d v="2017-10-09T00:00:00"/>
        <d v="2017-10-10T00:00:00"/>
        <d v="2017-10-11T00:00:00"/>
        <d v="2017-10-12T00:00:00"/>
        <d v="2017-10-13T00:00:00"/>
        <d v="2017-10-14T00:00:00"/>
        <d v="2017-10-15T00:00:00"/>
        <d v="2017-10-16T00:00:00"/>
        <d v="2017-10-17T00:00:00"/>
        <d v="2017-10-18T00:00:00"/>
        <d v="2017-10-19T00:00:00"/>
        <d v="2017-10-20T00:00:00"/>
        <d v="2017-10-21T00:00:00"/>
        <d v="2017-10-22T00:00:00"/>
        <d v="2017-10-23T00:00:00"/>
        <d v="2017-10-24T00:00:00"/>
        <d v="2017-10-25T00:00:00"/>
        <d v="2017-10-26T00:00:00"/>
        <d v="2017-10-27T00:00:00"/>
        <d v="2017-10-28T00:00:00"/>
        <d v="2017-10-29T00:00:00"/>
        <d v="2017-10-30T00:00:00"/>
        <d v="2017-10-31T00:00:00"/>
      </sharedItems>
    </cacheField>
    <cacheField name="Day" numFmtId="0">
      <sharedItems containsSemiMixedTypes="0" containsString="0" containsNumber="1" containsInteger="1" minValue="1" maxValue="31" count="31">
        <n v="1"/>
        <n v="2"/>
        <n v="3"/>
        <n v="4"/>
        <n v="5"/>
        <n v="6"/>
        <n v="7"/>
        <n v="8"/>
        <n v="9"/>
        <n v="10"/>
        <n v="11"/>
        <n v="12"/>
        <n v="13"/>
        <n v="14"/>
        <n v="15"/>
        <n v="16"/>
        <n v="17"/>
        <n v="18"/>
        <n v="19"/>
        <n v="20"/>
        <n v="21"/>
        <n v="22"/>
        <n v="23"/>
        <n v="24"/>
        <n v="25"/>
        <n v="26"/>
        <n v="27"/>
        <n v="28"/>
        <n v="29"/>
        <n v="30"/>
        <n v="31"/>
      </sharedItems>
    </cacheField>
    <cacheField name="If Sales Amount &gt; 0" numFmtId="0">
      <sharedItems containsSemiMixedTypes="0" containsString="0" containsNumber="1" containsInteger="1" minValue="0" maxValue="1"/>
    </cacheField>
    <cacheField name="Transaction Amount" numFmtId="1">
      <sharedItems containsSemiMixedTypes="0" containsString="0" containsNumber="1" minValue="0" maxValue="519.60784313725492"/>
    </cacheField>
  </cacheFields>
  <extLst>
    <ext xmlns:x14="http://schemas.microsoft.com/office/spreadsheetml/2009/9/main" uri="{725AE2AE-9491-48be-B2B4-4EB974FC3084}">
      <x14:pivotCacheDefinition pivotCacheId="860445204"/>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96">
  <r>
    <x v="0"/>
    <x v="0"/>
    <n v="597"/>
    <x v="0"/>
    <x v="0"/>
    <n v="1"/>
    <n v="62.1875"/>
  </r>
  <r>
    <x v="1"/>
    <x v="0"/>
    <n v="0"/>
    <x v="0"/>
    <x v="0"/>
    <n v="0"/>
    <n v="0"/>
  </r>
  <r>
    <x v="2"/>
    <x v="0"/>
    <n v="0"/>
    <x v="0"/>
    <x v="0"/>
    <n v="0"/>
    <n v="0"/>
  </r>
  <r>
    <x v="3"/>
    <x v="0"/>
    <n v="2292"/>
    <x v="0"/>
    <x v="0"/>
    <n v="1"/>
    <n v="63.666666666666664"/>
  </r>
  <r>
    <x v="2"/>
    <x v="1"/>
    <n v="1272"/>
    <x v="0"/>
    <x v="0"/>
    <n v="1"/>
    <n v="267.78947368421052"/>
  </r>
  <r>
    <x v="1"/>
    <x v="1"/>
    <n v="732"/>
    <x v="0"/>
    <x v="0"/>
    <n v="1"/>
    <n v="24.646464646464647"/>
  </r>
  <r>
    <x v="0"/>
    <x v="1"/>
    <n v="686"/>
    <x v="0"/>
    <x v="0"/>
    <n v="1"/>
    <n v="55.77235772357723"/>
  </r>
  <r>
    <x v="3"/>
    <x v="1"/>
    <n v="1477"/>
    <x v="0"/>
    <x v="0"/>
    <n v="1"/>
    <n v="32.46153846153846"/>
  </r>
  <r>
    <x v="3"/>
    <x v="2"/>
    <n v="1451"/>
    <x v="0"/>
    <x v="0"/>
    <n v="1"/>
    <n v="53.74074074074074"/>
  </r>
  <r>
    <x v="0"/>
    <x v="2"/>
    <n v="670"/>
    <x v="0"/>
    <x v="0"/>
    <n v="1"/>
    <n v="46.206896551724135"/>
  </r>
  <r>
    <x v="2"/>
    <x v="2"/>
    <n v="902"/>
    <x v="0"/>
    <x v="0"/>
    <n v="1"/>
    <n v="156.86956521739131"/>
  </r>
  <r>
    <x v="1"/>
    <x v="2"/>
    <n v="988"/>
    <x v="0"/>
    <x v="0"/>
    <n v="1"/>
    <n v="41.166666666666664"/>
  </r>
  <r>
    <x v="1"/>
    <x v="3"/>
    <n v="610"/>
    <x v="0"/>
    <x v="0"/>
    <n v="1"/>
    <n v="16.137566137566139"/>
  </r>
  <r>
    <x v="3"/>
    <x v="3"/>
    <n v="1810"/>
    <x v="0"/>
    <x v="0"/>
    <n v="1"/>
    <n v="47.631578947368418"/>
  </r>
  <r>
    <x v="2"/>
    <x v="3"/>
    <n v="1396"/>
    <x v="0"/>
    <x v="0"/>
    <n v="1"/>
    <n v="205.29411764705887"/>
  </r>
  <r>
    <x v="0"/>
    <x v="3"/>
    <n v="0"/>
    <x v="0"/>
    <x v="0"/>
    <n v="0"/>
    <n v="0"/>
  </r>
  <r>
    <x v="1"/>
    <x v="0"/>
    <n v="1657"/>
    <x v="1"/>
    <x v="1"/>
    <n v="1"/>
    <n v="42.162849872773535"/>
  </r>
  <r>
    <x v="2"/>
    <x v="0"/>
    <n v="975"/>
    <x v="1"/>
    <x v="1"/>
    <n v="1"/>
    <n v="224.13793103448279"/>
  </r>
  <r>
    <x v="0"/>
    <x v="0"/>
    <n v="547"/>
    <x v="1"/>
    <x v="1"/>
    <n v="1"/>
    <n v="53.627450980392162"/>
  </r>
  <r>
    <x v="3"/>
    <x v="0"/>
    <n v="0"/>
    <x v="1"/>
    <x v="1"/>
    <n v="0"/>
    <n v="0"/>
  </r>
  <r>
    <x v="2"/>
    <x v="1"/>
    <n v="927"/>
    <x v="1"/>
    <x v="1"/>
    <n v="1"/>
    <n v="126.12244897959184"/>
  </r>
  <r>
    <x v="3"/>
    <x v="1"/>
    <n v="2368"/>
    <x v="1"/>
    <x v="1"/>
    <n v="1"/>
    <n v="78.933333333333337"/>
  </r>
  <r>
    <x v="0"/>
    <x v="1"/>
    <n v="885"/>
    <x v="1"/>
    <x v="1"/>
    <n v="1"/>
    <n v="73.140495867768593"/>
  </r>
  <r>
    <x v="1"/>
    <x v="1"/>
    <n v="1988"/>
    <x v="1"/>
    <x v="1"/>
    <n v="1"/>
    <n v="55.68627450980393"/>
  </r>
  <r>
    <x v="0"/>
    <x v="2"/>
    <n v="0"/>
    <x v="1"/>
    <x v="1"/>
    <n v="0"/>
    <n v="0"/>
  </r>
  <r>
    <x v="1"/>
    <x v="2"/>
    <n v="0"/>
    <x v="1"/>
    <x v="1"/>
    <n v="0"/>
    <n v="0"/>
  </r>
  <r>
    <x v="3"/>
    <x v="2"/>
    <n v="827"/>
    <x v="1"/>
    <x v="1"/>
    <n v="1"/>
    <n v="28.517241379310342"/>
  </r>
  <r>
    <x v="2"/>
    <x v="2"/>
    <n v="1007"/>
    <x v="1"/>
    <x v="1"/>
    <n v="1"/>
    <n v="287.71428571428572"/>
  </r>
  <r>
    <x v="3"/>
    <x v="3"/>
    <n v="2153"/>
    <x v="1"/>
    <x v="1"/>
    <n v="1"/>
    <n v="34.725806451612904"/>
  </r>
  <r>
    <x v="1"/>
    <x v="3"/>
    <n v="0"/>
    <x v="1"/>
    <x v="1"/>
    <n v="0"/>
    <n v="0"/>
  </r>
  <r>
    <x v="2"/>
    <x v="3"/>
    <n v="1315"/>
    <x v="1"/>
    <x v="1"/>
    <n v="1"/>
    <n v="217.35537190082644"/>
  </r>
  <r>
    <x v="0"/>
    <x v="3"/>
    <n v="890"/>
    <x v="1"/>
    <x v="1"/>
    <n v="1"/>
    <n v="153.44827586206895"/>
  </r>
  <r>
    <x v="0"/>
    <x v="0"/>
    <n v="0"/>
    <x v="2"/>
    <x v="2"/>
    <n v="0"/>
    <n v="0"/>
  </r>
  <r>
    <x v="1"/>
    <x v="0"/>
    <n v="1121"/>
    <x v="2"/>
    <x v="2"/>
    <n v="1"/>
    <n v="27.274939172749392"/>
  </r>
  <r>
    <x v="2"/>
    <x v="0"/>
    <n v="0"/>
    <x v="2"/>
    <x v="2"/>
    <n v="0"/>
    <n v="0"/>
  </r>
  <r>
    <x v="3"/>
    <x v="0"/>
    <n v="0"/>
    <x v="2"/>
    <x v="2"/>
    <n v="0"/>
    <n v="0"/>
  </r>
  <r>
    <x v="2"/>
    <x v="1"/>
    <n v="1170"/>
    <x v="2"/>
    <x v="2"/>
    <n v="1"/>
    <n v="160.27397260273972"/>
  </r>
  <r>
    <x v="1"/>
    <x v="1"/>
    <n v="0"/>
    <x v="2"/>
    <x v="2"/>
    <n v="0"/>
    <n v="0"/>
  </r>
  <r>
    <x v="0"/>
    <x v="1"/>
    <n v="0"/>
    <x v="2"/>
    <x v="2"/>
    <n v="0"/>
    <n v="0"/>
  </r>
  <r>
    <x v="3"/>
    <x v="1"/>
    <n v="1957"/>
    <x v="2"/>
    <x v="2"/>
    <n v="1"/>
    <n v="48.320987654320987"/>
  </r>
  <r>
    <x v="0"/>
    <x v="2"/>
    <n v="721"/>
    <x v="2"/>
    <x v="2"/>
    <n v="1"/>
    <n v="65.545454545454547"/>
  </r>
  <r>
    <x v="2"/>
    <x v="2"/>
    <n v="1061"/>
    <x v="2"/>
    <x v="2"/>
    <n v="1"/>
    <n v="208.03921568627453"/>
  </r>
  <r>
    <x v="3"/>
    <x v="2"/>
    <n v="2228"/>
    <x v="2"/>
    <x v="2"/>
    <n v="1"/>
    <n v="38.413793103448278"/>
  </r>
  <r>
    <x v="1"/>
    <x v="2"/>
    <n v="1069"/>
    <x v="2"/>
    <x v="2"/>
    <n v="1"/>
    <n v="29.694444444444443"/>
  </r>
  <r>
    <x v="3"/>
    <x v="3"/>
    <n v="944"/>
    <x v="2"/>
    <x v="2"/>
    <n v="1"/>
    <n v="13.882352941176471"/>
  </r>
  <r>
    <x v="0"/>
    <x v="3"/>
    <n v="765"/>
    <x v="2"/>
    <x v="2"/>
    <n v="1"/>
    <n v="62.195121951219505"/>
  </r>
  <r>
    <x v="2"/>
    <x v="3"/>
    <n v="0"/>
    <x v="2"/>
    <x v="2"/>
    <n v="0"/>
    <n v="0"/>
  </r>
  <r>
    <x v="1"/>
    <x v="3"/>
    <n v="1671"/>
    <x v="2"/>
    <x v="2"/>
    <n v="1"/>
    <n v="70.506329113924039"/>
  </r>
  <r>
    <x v="2"/>
    <x v="0"/>
    <n v="1461"/>
    <x v="3"/>
    <x v="3"/>
    <n v="1"/>
    <n v="365.25"/>
  </r>
  <r>
    <x v="1"/>
    <x v="0"/>
    <n v="1616"/>
    <x v="3"/>
    <x v="3"/>
    <n v="1"/>
    <n v="67.333333333333329"/>
  </r>
  <r>
    <x v="0"/>
    <x v="0"/>
    <n v="716"/>
    <x v="3"/>
    <x v="3"/>
    <n v="1"/>
    <n v="47.733333333333334"/>
  </r>
  <r>
    <x v="3"/>
    <x v="0"/>
    <n v="2364"/>
    <x v="3"/>
    <x v="3"/>
    <n v="1"/>
    <n v="33.531914893617021"/>
  </r>
  <r>
    <x v="0"/>
    <x v="1"/>
    <n v="818"/>
    <x v="3"/>
    <x v="3"/>
    <n v="1"/>
    <n v="84.329896907216508"/>
  </r>
  <r>
    <x v="2"/>
    <x v="1"/>
    <n v="1242"/>
    <x v="3"/>
    <x v="3"/>
    <n v="1"/>
    <n v="195.59055118110237"/>
  </r>
  <r>
    <x v="3"/>
    <x v="1"/>
    <n v="0"/>
    <x v="3"/>
    <x v="3"/>
    <n v="0"/>
    <n v="0"/>
  </r>
  <r>
    <x v="1"/>
    <x v="1"/>
    <n v="1992"/>
    <x v="3"/>
    <x v="3"/>
    <n v="1"/>
    <n v="59.285714285714285"/>
  </r>
  <r>
    <x v="0"/>
    <x v="2"/>
    <n v="718"/>
    <x v="3"/>
    <x v="3"/>
    <n v="1"/>
    <n v="52.028985507246382"/>
  </r>
  <r>
    <x v="1"/>
    <x v="2"/>
    <n v="819"/>
    <x v="3"/>
    <x v="3"/>
    <n v="1"/>
    <n v="37.397260273972606"/>
  </r>
  <r>
    <x v="2"/>
    <x v="2"/>
    <n v="1025"/>
    <x v="3"/>
    <x v="3"/>
    <n v="1"/>
    <n v="178.2608695652174"/>
  </r>
  <r>
    <x v="3"/>
    <x v="2"/>
    <n v="0"/>
    <x v="3"/>
    <x v="3"/>
    <n v="0"/>
    <n v="0"/>
  </r>
  <r>
    <x v="1"/>
    <x v="3"/>
    <n v="1574"/>
    <x v="3"/>
    <x v="3"/>
    <n v="1"/>
    <n v="45.623188405797102"/>
  </r>
  <r>
    <x v="3"/>
    <x v="3"/>
    <n v="0"/>
    <x v="3"/>
    <x v="3"/>
    <n v="0"/>
    <n v="0"/>
  </r>
  <r>
    <x v="0"/>
    <x v="3"/>
    <n v="729"/>
    <x v="3"/>
    <x v="3"/>
    <n v="1"/>
    <n v="117.58064516129032"/>
  </r>
  <r>
    <x v="2"/>
    <x v="3"/>
    <n v="0"/>
    <x v="3"/>
    <x v="3"/>
    <n v="0"/>
    <n v="0"/>
  </r>
  <r>
    <x v="1"/>
    <x v="0"/>
    <n v="1991"/>
    <x v="4"/>
    <x v="4"/>
    <n v="1"/>
    <n v="51.447028423772608"/>
  </r>
  <r>
    <x v="2"/>
    <x v="0"/>
    <n v="1047"/>
    <x v="4"/>
    <x v="4"/>
    <n v="1"/>
    <n v="218.125"/>
  </r>
  <r>
    <x v="0"/>
    <x v="0"/>
    <n v="508"/>
    <x v="4"/>
    <x v="4"/>
    <n v="1"/>
    <n v="46.18181818181818"/>
  </r>
  <r>
    <x v="3"/>
    <x v="0"/>
    <n v="2369"/>
    <x v="4"/>
    <x v="4"/>
    <n v="1"/>
    <n v="64.027027027027032"/>
  </r>
  <r>
    <x v="2"/>
    <x v="1"/>
    <n v="1492"/>
    <x v="4"/>
    <x v="4"/>
    <n v="1"/>
    <n v="252.88135593220341"/>
  </r>
  <r>
    <x v="0"/>
    <x v="1"/>
    <n v="844"/>
    <x v="4"/>
    <x v="4"/>
    <n v="1"/>
    <n v="129.84615384615384"/>
  </r>
  <r>
    <x v="3"/>
    <x v="1"/>
    <n v="0"/>
    <x v="4"/>
    <x v="4"/>
    <n v="0"/>
    <n v="0"/>
  </r>
  <r>
    <x v="1"/>
    <x v="1"/>
    <n v="999"/>
    <x v="4"/>
    <x v="4"/>
    <n v="1"/>
    <n v="24.850746268656714"/>
  </r>
  <r>
    <x v="1"/>
    <x v="2"/>
    <n v="0"/>
    <x v="4"/>
    <x v="4"/>
    <n v="0"/>
    <n v="0"/>
  </r>
  <r>
    <x v="3"/>
    <x v="2"/>
    <n v="2347"/>
    <x v="4"/>
    <x v="4"/>
    <n v="1"/>
    <n v="44.283018867924525"/>
  </r>
  <r>
    <x v="2"/>
    <x v="2"/>
    <n v="1428"/>
    <x v="4"/>
    <x v="4"/>
    <n v="1"/>
    <n v="274.61538461538458"/>
  </r>
  <r>
    <x v="0"/>
    <x v="2"/>
    <n v="619"/>
    <x v="4"/>
    <x v="4"/>
    <n v="1"/>
    <n v="68.021978021978029"/>
  </r>
  <r>
    <x v="2"/>
    <x v="3"/>
    <n v="1136"/>
    <x v="4"/>
    <x v="4"/>
    <n v="1"/>
    <n v="160"/>
  </r>
  <r>
    <x v="1"/>
    <x v="3"/>
    <n v="0"/>
    <x v="4"/>
    <x v="4"/>
    <n v="0"/>
    <n v="0"/>
  </r>
  <r>
    <x v="3"/>
    <x v="3"/>
    <n v="1878"/>
    <x v="4"/>
    <x v="4"/>
    <n v="1"/>
    <n v="28.892307692307693"/>
  </r>
  <r>
    <x v="0"/>
    <x v="3"/>
    <n v="540"/>
    <x v="4"/>
    <x v="4"/>
    <n v="1"/>
    <n v="41.53846153846154"/>
  </r>
  <r>
    <x v="3"/>
    <x v="0"/>
    <n v="2406"/>
    <x v="5"/>
    <x v="5"/>
    <n v="1"/>
    <n v="41.843478260869567"/>
  </r>
  <r>
    <x v="1"/>
    <x v="0"/>
    <n v="680"/>
    <x v="5"/>
    <x v="5"/>
    <n v="1"/>
    <n v="38.41807909604519"/>
  </r>
  <r>
    <x v="0"/>
    <x v="0"/>
    <n v="750"/>
    <x v="5"/>
    <x v="5"/>
    <n v="1"/>
    <n v="131.57894736842104"/>
  </r>
  <r>
    <x v="2"/>
    <x v="0"/>
    <n v="1010"/>
    <x v="5"/>
    <x v="5"/>
    <n v="1"/>
    <n v="177.19298245614033"/>
  </r>
  <r>
    <x v="1"/>
    <x v="1"/>
    <n v="883"/>
    <x v="5"/>
    <x v="5"/>
    <n v="1"/>
    <n v="45.989583333333336"/>
  </r>
  <r>
    <x v="0"/>
    <x v="1"/>
    <n v="0"/>
    <x v="5"/>
    <x v="5"/>
    <n v="0"/>
    <n v="0"/>
  </r>
  <r>
    <x v="3"/>
    <x v="1"/>
    <n v="0"/>
    <x v="5"/>
    <x v="5"/>
    <n v="0"/>
    <n v="0"/>
  </r>
  <r>
    <x v="2"/>
    <x v="1"/>
    <n v="973"/>
    <x v="5"/>
    <x v="5"/>
    <n v="1"/>
    <n v="282.02898550724638"/>
  </r>
  <r>
    <x v="2"/>
    <x v="2"/>
    <n v="1256"/>
    <x v="5"/>
    <x v="5"/>
    <n v="1"/>
    <n v="191.75572519083968"/>
  </r>
  <r>
    <x v="0"/>
    <x v="2"/>
    <n v="0"/>
    <x v="5"/>
    <x v="5"/>
    <n v="0"/>
    <n v="0"/>
  </r>
  <r>
    <x v="1"/>
    <x v="2"/>
    <n v="0"/>
    <x v="5"/>
    <x v="5"/>
    <n v="0"/>
    <n v="0"/>
  </r>
  <r>
    <x v="3"/>
    <x v="2"/>
    <n v="1733"/>
    <x v="5"/>
    <x v="5"/>
    <n v="1"/>
    <n v="30.946428571428566"/>
  </r>
  <r>
    <x v="2"/>
    <x v="3"/>
    <n v="0"/>
    <x v="5"/>
    <x v="5"/>
    <n v="0"/>
    <n v="0"/>
  </r>
  <r>
    <x v="3"/>
    <x v="3"/>
    <n v="1248"/>
    <x v="5"/>
    <x v="5"/>
    <n v="1"/>
    <n v="48.941176470588232"/>
  </r>
  <r>
    <x v="1"/>
    <x v="3"/>
    <n v="1106"/>
    <x v="5"/>
    <x v="5"/>
    <n v="1"/>
    <n v="54.215686274509807"/>
  </r>
  <r>
    <x v="0"/>
    <x v="3"/>
    <n v="523"/>
    <x v="5"/>
    <x v="5"/>
    <n v="1"/>
    <n v="37.898550724637687"/>
  </r>
  <r>
    <x v="2"/>
    <x v="0"/>
    <n v="924"/>
    <x v="6"/>
    <x v="6"/>
    <n v="1"/>
    <n v="141.06870229007632"/>
  </r>
  <r>
    <x v="1"/>
    <x v="0"/>
    <n v="1182"/>
    <x v="6"/>
    <x v="6"/>
    <n v="1"/>
    <n v="38.627450980392155"/>
  </r>
  <r>
    <x v="3"/>
    <x v="0"/>
    <n v="0"/>
    <x v="6"/>
    <x v="6"/>
    <n v="0"/>
    <n v="0"/>
  </r>
  <r>
    <x v="0"/>
    <x v="0"/>
    <n v="0"/>
    <x v="6"/>
    <x v="6"/>
    <n v="0"/>
    <n v="0"/>
  </r>
  <r>
    <x v="1"/>
    <x v="1"/>
    <n v="1419"/>
    <x v="6"/>
    <x v="6"/>
    <n v="1"/>
    <n v="45.480769230769226"/>
  </r>
  <r>
    <x v="3"/>
    <x v="1"/>
    <n v="1117"/>
    <x v="6"/>
    <x v="6"/>
    <n v="1"/>
    <n v="29.786666666666665"/>
  </r>
  <r>
    <x v="2"/>
    <x v="1"/>
    <n v="984"/>
    <x v="6"/>
    <x v="6"/>
    <n v="1"/>
    <n v="385.88235294117652"/>
  </r>
  <r>
    <x v="0"/>
    <x v="1"/>
    <n v="765"/>
    <x v="6"/>
    <x v="6"/>
    <n v="1"/>
    <n v="131.89655172413791"/>
  </r>
  <r>
    <x v="3"/>
    <x v="2"/>
    <n v="0"/>
    <x v="6"/>
    <x v="6"/>
    <n v="0"/>
    <n v="0"/>
  </r>
  <r>
    <x v="1"/>
    <x v="2"/>
    <n v="1535"/>
    <x v="6"/>
    <x v="6"/>
    <n v="1"/>
    <n v="34.340044742729305"/>
  </r>
  <r>
    <x v="2"/>
    <x v="2"/>
    <n v="0"/>
    <x v="6"/>
    <x v="6"/>
    <n v="0"/>
    <n v="0"/>
  </r>
  <r>
    <x v="0"/>
    <x v="2"/>
    <n v="0"/>
    <x v="6"/>
    <x v="6"/>
    <n v="0"/>
    <n v="0"/>
  </r>
  <r>
    <x v="3"/>
    <x v="3"/>
    <n v="1489"/>
    <x v="6"/>
    <x v="6"/>
    <n v="1"/>
    <n v="22.732824427480917"/>
  </r>
  <r>
    <x v="1"/>
    <x v="3"/>
    <n v="1564"/>
    <x v="6"/>
    <x v="6"/>
    <n v="1"/>
    <n v="45.333333333333336"/>
  </r>
  <r>
    <x v="2"/>
    <x v="3"/>
    <n v="1424"/>
    <x v="6"/>
    <x v="6"/>
    <n v="1"/>
    <n v="266.1682242990654"/>
  </r>
  <r>
    <x v="0"/>
    <x v="3"/>
    <n v="978"/>
    <x v="6"/>
    <x v="6"/>
    <n v="1"/>
    <n v="67.916666666666671"/>
  </r>
  <r>
    <x v="0"/>
    <x v="0"/>
    <n v="763"/>
    <x v="7"/>
    <x v="7"/>
    <n v="1"/>
    <n v="63.583333333333336"/>
  </r>
  <r>
    <x v="2"/>
    <x v="0"/>
    <n v="0"/>
    <x v="7"/>
    <x v="7"/>
    <n v="0"/>
    <n v="0"/>
  </r>
  <r>
    <x v="3"/>
    <x v="0"/>
    <n v="1218"/>
    <x v="7"/>
    <x v="7"/>
    <n v="1"/>
    <n v="18.044444444444444"/>
  </r>
  <r>
    <x v="1"/>
    <x v="0"/>
    <n v="859"/>
    <x v="7"/>
    <x v="7"/>
    <n v="1"/>
    <n v="26.269113149847094"/>
  </r>
  <r>
    <x v="2"/>
    <x v="1"/>
    <n v="0"/>
    <x v="7"/>
    <x v="7"/>
    <n v="0"/>
    <n v="0"/>
  </r>
  <r>
    <x v="1"/>
    <x v="1"/>
    <n v="718"/>
    <x v="7"/>
    <x v="7"/>
    <n v="1"/>
    <n v="24.930555555555557"/>
  </r>
  <r>
    <x v="3"/>
    <x v="1"/>
    <n v="1478"/>
    <x v="7"/>
    <x v="7"/>
    <n v="1"/>
    <n v="44.787878787878796"/>
  </r>
  <r>
    <x v="0"/>
    <x v="1"/>
    <n v="981"/>
    <x v="7"/>
    <x v="7"/>
    <n v="1"/>
    <n v="160.81967213114754"/>
  </r>
  <r>
    <x v="0"/>
    <x v="2"/>
    <n v="591"/>
    <x v="7"/>
    <x v="7"/>
    <n v="1"/>
    <n v="49.663865546218496"/>
  </r>
  <r>
    <x v="1"/>
    <x v="2"/>
    <n v="772"/>
    <x v="7"/>
    <x v="7"/>
    <n v="1"/>
    <n v="36.244131455399064"/>
  </r>
  <r>
    <x v="2"/>
    <x v="2"/>
    <n v="1003"/>
    <x v="7"/>
    <x v="7"/>
    <n v="1"/>
    <n v="206.80412371134022"/>
  </r>
  <r>
    <x v="3"/>
    <x v="2"/>
    <n v="2008"/>
    <x v="7"/>
    <x v="7"/>
    <n v="1"/>
    <n v="56.563380281690144"/>
  </r>
  <r>
    <x v="2"/>
    <x v="3"/>
    <n v="1355"/>
    <x v="7"/>
    <x v="7"/>
    <n v="1"/>
    <n v="398.52941176470597"/>
  </r>
  <r>
    <x v="3"/>
    <x v="3"/>
    <n v="2271"/>
    <x v="7"/>
    <x v="7"/>
    <n v="1"/>
    <n v="87.34615384615384"/>
  </r>
  <r>
    <x v="1"/>
    <x v="3"/>
    <n v="1631"/>
    <x v="7"/>
    <x v="7"/>
    <n v="1"/>
    <n v="39.975490196078432"/>
  </r>
  <r>
    <x v="0"/>
    <x v="3"/>
    <n v="501"/>
    <x v="7"/>
    <x v="7"/>
    <n v="1"/>
    <n v="72.608695652173921"/>
  </r>
  <r>
    <x v="0"/>
    <x v="0"/>
    <n v="640"/>
    <x v="8"/>
    <x v="8"/>
    <n v="1"/>
    <n v="91.428571428571431"/>
  </r>
  <r>
    <x v="2"/>
    <x v="0"/>
    <n v="1347"/>
    <x v="8"/>
    <x v="8"/>
    <n v="1"/>
    <n v="180.80536912751677"/>
  </r>
  <r>
    <x v="3"/>
    <x v="0"/>
    <n v="0"/>
    <x v="8"/>
    <x v="8"/>
    <n v="0"/>
    <n v="0"/>
  </r>
  <r>
    <x v="1"/>
    <x v="0"/>
    <n v="989"/>
    <x v="8"/>
    <x v="8"/>
    <n v="1"/>
    <n v="34.340277777777779"/>
  </r>
  <r>
    <x v="1"/>
    <x v="1"/>
    <n v="1944"/>
    <x v="8"/>
    <x v="8"/>
    <n v="1"/>
    <n v="68.21052631578948"/>
  </r>
  <r>
    <x v="2"/>
    <x v="1"/>
    <n v="0"/>
    <x v="8"/>
    <x v="8"/>
    <n v="0"/>
    <n v="0"/>
  </r>
  <r>
    <x v="3"/>
    <x v="1"/>
    <n v="0"/>
    <x v="8"/>
    <x v="8"/>
    <n v="0"/>
    <n v="0"/>
  </r>
  <r>
    <x v="0"/>
    <x v="1"/>
    <n v="0"/>
    <x v="8"/>
    <x v="8"/>
    <n v="0"/>
    <n v="0"/>
  </r>
  <r>
    <x v="3"/>
    <x v="2"/>
    <n v="893"/>
    <x v="8"/>
    <x v="8"/>
    <n v="1"/>
    <n v="14.760330578512397"/>
  </r>
  <r>
    <x v="0"/>
    <x v="2"/>
    <n v="970"/>
    <x v="8"/>
    <x v="8"/>
    <n v="1"/>
    <n v="105.43478260869564"/>
  </r>
  <r>
    <x v="1"/>
    <x v="2"/>
    <n v="987"/>
    <x v="8"/>
    <x v="8"/>
    <n v="1"/>
    <n v="33.232323232323232"/>
  </r>
  <r>
    <x v="2"/>
    <x v="2"/>
    <n v="1368"/>
    <x v="8"/>
    <x v="8"/>
    <n v="1"/>
    <n v="195.42857142857142"/>
  </r>
  <r>
    <x v="0"/>
    <x v="3"/>
    <n v="866"/>
    <x v="8"/>
    <x v="8"/>
    <n v="1"/>
    <n v="64.148148148148152"/>
  </r>
  <r>
    <x v="3"/>
    <x v="3"/>
    <n v="1960"/>
    <x v="8"/>
    <x v="8"/>
    <n v="1"/>
    <n v="73.962264150943398"/>
  </r>
  <r>
    <x v="1"/>
    <x v="3"/>
    <n v="1703"/>
    <x v="8"/>
    <x v="8"/>
    <n v="1"/>
    <n v="38.098434004474271"/>
  </r>
  <r>
    <x v="2"/>
    <x v="3"/>
    <n v="1345"/>
    <x v="8"/>
    <x v="8"/>
    <n v="1"/>
    <n v="378.87323943661971"/>
  </r>
  <r>
    <x v="3"/>
    <x v="0"/>
    <n v="2259"/>
    <x v="9"/>
    <x v="9"/>
    <n v="1"/>
    <n v="45.18"/>
  </r>
  <r>
    <x v="0"/>
    <x v="0"/>
    <n v="0"/>
    <x v="9"/>
    <x v="9"/>
    <n v="0"/>
    <n v="0"/>
  </r>
  <r>
    <x v="1"/>
    <x v="0"/>
    <n v="1069"/>
    <x v="9"/>
    <x v="9"/>
    <n v="1"/>
    <n v="63.63095238095238"/>
  </r>
  <r>
    <x v="2"/>
    <x v="0"/>
    <n v="1098"/>
    <x v="9"/>
    <x v="9"/>
    <n v="1"/>
    <n v="217.42574257425744"/>
  </r>
  <r>
    <x v="0"/>
    <x v="1"/>
    <n v="725"/>
    <x v="9"/>
    <x v="9"/>
    <n v="1"/>
    <n v="73.232323232323225"/>
  </r>
  <r>
    <x v="3"/>
    <x v="1"/>
    <n v="1954"/>
    <x v="9"/>
    <x v="9"/>
    <n v="1"/>
    <n v="31.015873015873016"/>
  </r>
  <r>
    <x v="1"/>
    <x v="1"/>
    <n v="667"/>
    <x v="9"/>
    <x v="9"/>
    <n v="1"/>
    <n v="30.045045045045047"/>
  </r>
  <r>
    <x v="2"/>
    <x v="1"/>
    <n v="1140"/>
    <x v="9"/>
    <x v="9"/>
    <n v="1"/>
    <n v="172.72727272727272"/>
  </r>
  <r>
    <x v="1"/>
    <x v="2"/>
    <n v="1732"/>
    <x v="9"/>
    <x v="9"/>
    <n v="1"/>
    <n v="46.937669376693769"/>
  </r>
  <r>
    <x v="3"/>
    <x v="2"/>
    <n v="0"/>
    <x v="9"/>
    <x v="9"/>
    <n v="0"/>
    <n v="0"/>
  </r>
  <r>
    <x v="0"/>
    <x v="2"/>
    <n v="725"/>
    <x v="9"/>
    <x v="9"/>
    <n v="1"/>
    <n v="53.308823529411775"/>
  </r>
  <r>
    <x v="2"/>
    <x v="2"/>
    <n v="951"/>
    <x v="9"/>
    <x v="9"/>
    <n v="1"/>
    <n v="311.80327868852459"/>
  </r>
  <r>
    <x v="0"/>
    <x v="3"/>
    <n v="987"/>
    <x v="9"/>
    <x v="9"/>
    <n v="1"/>
    <n v="71.521739130434781"/>
  </r>
  <r>
    <x v="1"/>
    <x v="3"/>
    <n v="1545"/>
    <x v="9"/>
    <x v="9"/>
    <n v="1"/>
    <n v="59.883720930232556"/>
  </r>
  <r>
    <x v="2"/>
    <x v="3"/>
    <n v="1040"/>
    <x v="9"/>
    <x v="9"/>
    <n v="1"/>
    <n v="200"/>
  </r>
  <r>
    <x v="3"/>
    <x v="3"/>
    <n v="1870"/>
    <x v="9"/>
    <x v="9"/>
    <n v="1"/>
    <n v="63.389830508474567"/>
  </r>
  <r>
    <x v="3"/>
    <x v="0"/>
    <n v="1326"/>
    <x v="10"/>
    <x v="10"/>
    <n v="1"/>
    <n v="18.676056338028168"/>
  </r>
  <r>
    <x v="2"/>
    <x v="0"/>
    <n v="0"/>
    <x v="10"/>
    <x v="10"/>
    <n v="0"/>
    <n v="0"/>
  </r>
  <r>
    <x v="0"/>
    <x v="0"/>
    <n v="675"/>
    <x v="10"/>
    <x v="10"/>
    <n v="1"/>
    <n v="100.74626865671642"/>
  </r>
  <r>
    <x v="1"/>
    <x v="0"/>
    <n v="1375"/>
    <x v="10"/>
    <x v="10"/>
    <n v="1"/>
    <n v="49.283154121863802"/>
  </r>
  <r>
    <x v="0"/>
    <x v="1"/>
    <n v="999"/>
    <x v="10"/>
    <x v="10"/>
    <n v="1"/>
    <n v="86.120689655172413"/>
  </r>
  <r>
    <x v="1"/>
    <x v="1"/>
    <n v="1419"/>
    <x v="10"/>
    <x v="10"/>
    <n v="1"/>
    <n v="46.372549019607838"/>
  </r>
  <r>
    <x v="3"/>
    <x v="1"/>
    <n v="1198"/>
    <x v="10"/>
    <x v="10"/>
    <n v="1"/>
    <n v="26.043478260869566"/>
  </r>
  <r>
    <x v="2"/>
    <x v="1"/>
    <n v="1382"/>
    <x v="10"/>
    <x v="10"/>
    <n v="1"/>
    <n v="453.11475409836066"/>
  </r>
  <r>
    <x v="2"/>
    <x v="2"/>
    <n v="0"/>
    <x v="10"/>
    <x v="10"/>
    <n v="0"/>
    <n v="0"/>
  </r>
  <r>
    <x v="0"/>
    <x v="2"/>
    <n v="776"/>
    <x v="10"/>
    <x v="10"/>
    <n v="1"/>
    <n v="61.102362204724415"/>
  </r>
  <r>
    <x v="3"/>
    <x v="2"/>
    <n v="0"/>
    <x v="10"/>
    <x v="10"/>
    <n v="0"/>
    <n v="0"/>
  </r>
  <r>
    <x v="1"/>
    <x v="2"/>
    <n v="1635"/>
    <x v="10"/>
    <x v="10"/>
    <n v="1"/>
    <n v="46.186440677966104"/>
  </r>
  <r>
    <x v="1"/>
    <x v="3"/>
    <n v="811"/>
    <x v="10"/>
    <x v="10"/>
    <n v="1"/>
    <n v="22.527777777777779"/>
  </r>
  <r>
    <x v="2"/>
    <x v="3"/>
    <n v="1306"/>
    <x v="10"/>
    <x v="10"/>
    <n v="1"/>
    <n v="182.65734265734267"/>
  </r>
  <r>
    <x v="3"/>
    <x v="3"/>
    <n v="1930"/>
    <x v="10"/>
    <x v="10"/>
    <n v="1"/>
    <n v="28.382352941176471"/>
  </r>
  <r>
    <x v="0"/>
    <x v="3"/>
    <n v="842"/>
    <x v="10"/>
    <x v="10"/>
    <n v="1"/>
    <n v="145.17241379310343"/>
  </r>
  <r>
    <x v="2"/>
    <x v="0"/>
    <n v="1447"/>
    <x v="11"/>
    <x v="11"/>
    <n v="1"/>
    <n v="209.71014492753625"/>
  </r>
  <r>
    <x v="0"/>
    <x v="0"/>
    <n v="743"/>
    <x v="11"/>
    <x v="11"/>
    <n v="1"/>
    <n v="132.67857142857142"/>
  </r>
  <r>
    <x v="1"/>
    <x v="0"/>
    <n v="0"/>
    <x v="11"/>
    <x v="11"/>
    <n v="0"/>
    <n v="0"/>
  </r>
  <r>
    <x v="3"/>
    <x v="0"/>
    <n v="2500"/>
    <x v="11"/>
    <x v="11"/>
    <n v="1"/>
    <n v="35.714285714285715"/>
  </r>
  <r>
    <x v="2"/>
    <x v="1"/>
    <n v="914"/>
    <x v="11"/>
    <x v="11"/>
    <n v="1"/>
    <n v="136.41791044776119"/>
  </r>
  <r>
    <x v="1"/>
    <x v="1"/>
    <n v="925"/>
    <x v="11"/>
    <x v="11"/>
    <n v="1"/>
    <n v="20.693512304250557"/>
  </r>
  <r>
    <x v="0"/>
    <x v="1"/>
    <n v="789"/>
    <x v="11"/>
    <x v="11"/>
    <n v="1"/>
    <n v="96.219512195121936"/>
  </r>
  <r>
    <x v="3"/>
    <x v="1"/>
    <n v="1700"/>
    <x v="11"/>
    <x v="11"/>
    <n v="1"/>
    <n v="34"/>
  </r>
  <r>
    <x v="2"/>
    <x v="2"/>
    <n v="0"/>
    <x v="11"/>
    <x v="11"/>
    <n v="0"/>
    <n v="0"/>
  </r>
  <r>
    <x v="1"/>
    <x v="2"/>
    <n v="1973"/>
    <x v="11"/>
    <x v="11"/>
    <n v="1"/>
    <n v="83.248945147679308"/>
  </r>
  <r>
    <x v="0"/>
    <x v="2"/>
    <n v="500"/>
    <x v="11"/>
    <x v="11"/>
    <n v="1"/>
    <n v="39.370078740157481"/>
  </r>
  <r>
    <x v="3"/>
    <x v="2"/>
    <n v="1878"/>
    <x v="11"/>
    <x v="11"/>
    <n v="1"/>
    <n v="26.265734265734267"/>
  </r>
  <r>
    <x v="3"/>
    <x v="3"/>
    <n v="0"/>
    <x v="11"/>
    <x v="11"/>
    <n v="0"/>
    <n v="0"/>
  </r>
  <r>
    <x v="2"/>
    <x v="3"/>
    <n v="1445"/>
    <x v="11"/>
    <x v="11"/>
    <n v="1"/>
    <n v="262.72727272727275"/>
  </r>
  <r>
    <x v="0"/>
    <x v="3"/>
    <n v="688"/>
    <x v="11"/>
    <x v="11"/>
    <n v="1"/>
    <n v="83.902439024390233"/>
  </r>
  <r>
    <x v="1"/>
    <x v="3"/>
    <n v="1066"/>
    <x v="11"/>
    <x v="11"/>
    <n v="1"/>
    <n v="34.83660130718954"/>
  </r>
  <r>
    <x v="0"/>
    <x v="0"/>
    <n v="586"/>
    <x v="12"/>
    <x v="12"/>
    <n v="1"/>
    <n v="40.97902097902098"/>
  </r>
  <r>
    <x v="2"/>
    <x v="0"/>
    <n v="1103"/>
    <x v="12"/>
    <x v="12"/>
    <n v="1"/>
    <n v="232.21052631578948"/>
  </r>
  <r>
    <x v="1"/>
    <x v="0"/>
    <n v="1693"/>
    <x v="12"/>
    <x v="12"/>
    <n v="1"/>
    <n v="100.77380952380952"/>
  </r>
  <r>
    <x v="3"/>
    <x v="0"/>
    <n v="1045"/>
    <x v="12"/>
    <x v="12"/>
    <n v="1"/>
    <n v="22.967032967032967"/>
  </r>
  <r>
    <x v="0"/>
    <x v="1"/>
    <n v="922"/>
    <x v="12"/>
    <x v="12"/>
    <n v="1"/>
    <n v="83.818181818181813"/>
  </r>
  <r>
    <x v="3"/>
    <x v="1"/>
    <n v="1349"/>
    <x v="12"/>
    <x v="12"/>
    <n v="1"/>
    <n v="24.089285714285712"/>
  </r>
  <r>
    <x v="2"/>
    <x v="1"/>
    <n v="0"/>
    <x v="12"/>
    <x v="12"/>
    <n v="0"/>
    <n v="0"/>
  </r>
  <r>
    <x v="1"/>
    <x v="1"/>
    <n v="0"/>
    <x v="12"/>
    <x v="12"/>
    <n v="0"/>
    <n v="0"/>
  </r>
  <r>
    <x v="1"/>
    <x v="2"/>
    <n v="0"/>
    <x v="12"/>
    <x v="12"/>
    <n v="0"/>
    <n v="0"/>
  </r>
  <r>
    <x v="0"/>
    <x v="2"/>
    <n v="0"/>
    <x v="12"/>
    <x v="12"/>
    <n v="0"/>
    <n v="0"/>
  </r>
  <r>
    <x v="2"/>
    <x v="2"/>
    <n v="1143"/>
    <x v="12"/>
    <x v="12"/>
    <n v="1"/>
    <n v="374.75409836065575"/>
  </r>
  <r>
    <x v="3"/>
    <x v="2"/>
    <n v="1546"/>
    <x v="12"/>
    <x v="12"/>
    <n v="1"/>
    <n v="29.73076923076923"/>
  </r>
  <r>
    <x v="1"/>
    <x v="3"/>
    <n v="0"/>
    <x v="12"/>
    <x v="12"/>
    <n v="0"/>
    <n v="0"/>
  </r>
  <r>
    <x v="0"/>
    <x v="3"/>
    <n v="0"/>
    <x v="12"/>
    <x v="12"/>
    <n v="0"/>
    <n v="0"/>
  </r>
  <r>
    <x v="2"/>
    <x v="3"/>
    <n v="1454"/>
    <x v="12"/>
    <x v="12"/>
    <n v="1"/>
    <n v="266.78899082568807"/>
  </r>
  <r>
    <x v="3"/>
    <x v="3"/>
    <n v="1573"/>
    <x v="12"/>
    <x v="12"/>
    <n v="1"/>
    <n v="30.25"/>
  </r>
  <r>
    <x v="1"/>
    <x v="0"/>
    <n v="1671"/>
    <x v="13"/>
    <x v="13"/>
    <n v="1"/>
    <n v="70.506329113924039"/>
  </r>
  <r>
    <x v="0"/>
    <x v="0"/>
    <n v="552"/>
    <x v="13"/>
    <x v="13"/>
    <n v="1"/>
    <n v="43.80952380952381"/>
  </r>
  <r>
    <x v="2"/>
    <x v="0"/>
    <n v="1236"/>
    <x v="13"/>
    <x v="13"/>
    <n v="1"/>
    <n v="185.86466165413532"/>
  </r>
  <r>
    <x v="3"/>
    <x v="0"/>
    <n v="2209"/>
    <x v="13"/>
    <x v="13"/>
    <n v="1"/>
    <n v="73.63333333333334"/>
  </r>
  <r>
    <x v="3"/>
    <x v="1"/>
    <n v="1771"/>
    <x v="13"/>
    <x v="13"/>
    <n v="1"/>
    <n v="39.355555555555554"/>
  </r>
  <r>
    <x v="0"/>
    <x v="1"/>
    <n v="621"/>
    <x v="13"/>
    <x v="13"/>
    <n v="1"/>
    <n v="74.819277108433738"/>
  </r>
  <r>
    <x v="2"/>
    <x v="1"/>
    <n v="1144"/>
    <x v="13"/>
    <x v="13"/>
    <n v="1"/>
    <n v="457.6"/>
  </r>
  <r>
    <x v="1"/>
    <x v="1"/>
    <n v="0"/>
    <x v="13"/>
    <x v="13"/>
    <n v="0"/>
    <n v="0"/>
  </r>
  <r>
    <x v="1"/>
    <x v="2"/>
    <n v="808"/>
    <x v="13"/>
    <x v="13"/>
    <n v="1"/>
    <n v="22.076502732240435"/>
  </r>
  <r>
    <x v="0"/>
    <x v="2"/>
    <n v="0"/>
    <x v="13"/>
    <x v="13"/>
    <n v="0"/>
    <n v="0"/>
  </r>
  <r>
    <x v="2"/>
    <x v="2"/>
    <n v="0"/>
    <x v="13"/>
    <x v="13"/>
    <n v="0"/>
    <n v="0"/>
  </r>
  <r>
    <x v="3"/>
    <x v="2"/>
    <n v="2331"/>
    <x v="13"/>
    <x v="13"/>
    <n v="1"/>
    <n v="31.931506849315067"/>
  </r>
  <r>
    <x v="3"/>
    <x v="3"/>
    <n v="1110"/>
    <x v="13"/>
    <x v="13"/>
    <n v="1"/>
    <n v="15.205479452054794"/>
  </r>
  <r>
    <x v="1"/>
    <x v="3"/>
    <n v="962"/>
    <x v="13"/>
    <x v="13"/>
    <n v="1"/>
    <n v="24.292929292929291"/>
  </r>
  <r>
    <x v="0"/>
    <x v="3"/>
    <n v="0"/>
    <x v="13"/>
    <x v="13"/>
    <n v="0"/>
    <n v="0"/>
  </r>
  <r>
    <x v="2"/>
    <x v="3"/>
    <n v="1203"/>
    <x v="13"/>
    <x v="13"/>
    <n v="1"/>
    <n v="189.44881889763781"/>
  </r>
  <r>
    <x v="1"/>
    <x v="0"/>
    <n v="1986"/>
    <x v="14"/>
    <x v="14"/>
    <n v="1"/>
    <n v="78.80952380952381"/>
  </r>
  <r>
    <x v="2"/>
    <x v="0"/>
    <n v="1499"/>
    <x v="14"/>
    <x v="14"/>
    <n v="1"/>
    <n v="394.47368421052636"/>
  </r>
  <r>
    <x v="0"/>
    <x v="0"/>
    <n v="952"/>
    <x v="14"/>
    <x v="14"/>
    <n v="1"/>
    <n v="63.892617449664428"/>
  </r>
  <r>
    <x v="3"/>
    <x v="0"/>
    <n v="0"/>
    <x v="14"/>
    <x v="14"/>
    <n v="0"/>
    <n v="0"/>
  </r>
  <r>
    <x v="0"/>
    <x v="1"/>
    <n v="0"/>
    <x v="14"/>
    <x v="14"/>
    <n v="0"/>
    <n v="0"/>
  </r>
  <r>
    <x v="1"/>
    <x v="1"/>
    <n v="1743"/>
    <x v="14"/>
    <x v="14"/>
    <n v="1"/>
    <n v="111.73076923076923"/>
  </r>
  <r>
    <x v="2"/>
    <x v="1"/>
    <n v="1291"/>
    <x v="14"/>
    <x v="14"/>
    <n v="1"/>
    <n v="409.84126984126988"/>
  </r>
  <r>
    <x v="3"/>
    <x v="1"/>
    <n v="0"/>
    <x v="14"/>
    <x v="14"/>
    <n v="0"/>
    <n v="0"/>
  </r>
  <r>
    <x v="0"/>
    <x v="2"/>
    <n v="754"/>
    <x v="14"/>
    <x v="14"/>
    <n v="1"/>
    <n v="65.565217391304344"/>
  </r>
  <r>
    <x v="1"/>
    <x v="2"/>
    <n v="1304"/>
    <x v="14"/>
    <x v="14"/>
    <n v="1"/>
    <n v="31.727493917274938"/>
  </r>
  <r>
    <x v="3"/>
    <x v="2"/>
    <n v="1500"/>
    <x v="14"/>
    <x v="14"/>
    <n v="1"/>
    <n v="28.571428571428573"/>
  </r>
  <r>
    <x v="2"/>
    <x v="2"/>
    <n v="1360"/>
    <x v="14"/>
    <x v="14"/>
    <n v="1"/>
    <n v="190.20979020979021"/>
  </r>
  <r>
    <x v="2"/>
    <x v="3"/>
    <n v="1202"/>
    <x v="14"/>
    <x v="14"/>
    <n v="1"/>
    <n v="437.09090909090907"/>
  </r>
  <r>
    <x v="3"/>
    <x v="3"/>
    <n v="0"/>
    <x v="14"/>
    <x v="14"/>
    <n v="0"/>
    <n v="0"/>
  </r>
  <r>
    <x v="0"/>
    <x v="3"/>
    <n v="852"/>
    <x v="14"/>
    <x v="14"/>
    <n v="1"/>
    <n v="83.529411764705884"/>
  </r>
  <r>
    <x v="1"/>
    <x v="3"/>
    <n v="1281"/>
    <x v="14"/>
    <x v="14"/>
    <n v="1"/>
    <n v="74.912280701754383"/>
  </r>
  <r>
    <x v="3"/>
    <x v="0"/>
    <n v="1101"/>
    <x v="15"/>
    <x v="15"/>
    <n v="1"/>
    <n v="16.072992700729927"/>
  </r>
  <r>
    <x v="1"/>
    <x v="0"/>
    <n v="0"/>
    <x v="15"/>
    <x v="15"/>
    <n v="0"/>
    <n v="0"/>
  </r>
  <r>
    <x v="0"/>
    <x v="0"/>
    <n v="735"/>
    <x v="15"/>
    <x v="15"/>
    <n v="1"/>
    <n v="76.5625"/>
  </r>
  <r>
    <x v="2"/>
    <x v="0"/>
    <n v="0"/>
    <x v="15"/>
    <x v="15"/>
    <n v="0"/>
    <n v="0"/>
  </r>
  <r>
    <x v="1"/>
    <x v="1"/>
    <n v="945"/>
    <x v="15"/>
    <x v="15"/>
    <n v="1"/>
    <n v="32.474226804123717"/>
  </r>
  <r>
    <x v="0"/>
    <x v="1"/>
    <n v="0"/>
    <x v="15"/>
    <x v="15"/>
    <n v="0"/>
    <n v="0"/>
  </r>
  <r>
    <x v="3"/>
    <x v="1"/>
    <n v="1522"/>
    <x v="15"/>
    <x v="15"/>
    <n v="1"/>
    <n v="22.887218045112782"/>
  </r>
  <r>
    <x v="2"/>
    <x v="1"/>
    <n v="0"/>
    <x v="15"/>
    <x v="15"/>
    <n v="0"/>
    <n v="0"/>
  </r>
  <r>
    <x v="2"/>
    <x v="2"/>
    <n v="1412"/>
    <x v="15"/>
    <x v="15"/>
    <n v="1"/>
    <n v="504.28571428571422"/>
  </r>
  <r>
    <x v="3"/>
    <x v="2"/>
    <n v="1900"/>
    <x v="15"/>
    <x v="15"/>
    <n v="1"/>
    <n v="35.514018691588788"/>
  </r>
  <r>
    <x v="0"/>
    <x v="2"/>
    <n v="618"/>
    <x v="15"/>
    <x v="15"/>
    <n v="1"/>
    <n v="59.42307692307692"/>
  </r>
  <r>
    <x v="1"/>
    <x v="2"/>
    <n v="1602"/>
    <x v="15"/>
    <x v="15"/>
    <n v="1"/>
    <n v="41.07692307692308"/>
  </r>
  <r>
    <x v="0"/>
    <x v="3"/>
    <n v="598"/>
    <x v="15"/>
    <x v="15"/>
    <n v="1"/>
    <n v="84.225352112676063"/>
  </r>
  <r>
    <x v="1"/>
    <x v="3"/>
    <n v="1414"/>
    <x v="15"/>
    <x v="15"/>
    <n v="1"/>
    <n v="87.283950617283935"/>
  </r>
  <r>
    <x v="3"/>
    <x v="3"/>
    <n v="0"/>
    <x v="15"/>
    <x v="15"/>
    <n v="0"/>
    <n v="0"/>
  </r>
  <r>
    <x v="2"/>
    <x v="3"/>
    <n v="1330"/>
    <x v="15"/>
    <x v="15"/>
    <n v="1"/>
    <n v="188.65248226950354"/>
  </r>
  <r>
    <x v="0"/>
    <x v="0"/>
    <n v="820"/>
    <x v="16"/>
    <x v="16"/>
    <n v="1"/>
    <n v="160.78431372549019"/>
  </r>
  <r>
    <x v="3"/>
    <x v="0"/>
    <n v="892"/>
    <x v="16"/>
    <x v="16"/>
    <n v="1"/>
    <n v="12.303448275862069"/>
  </r>
  <r>
    <x v="2"/>
    <x v="0"/>
    <n v="0"/>
    <x v="16"/>
    <x v="16"/>
    <n v="0"/>
    <n v="0"/>
  </r>
  <r>
    <x v="1"/>
    <x v="0"/>
    <n v="650"/>
    <x v="16"/>
    <x v="16"/>
    <n v="1"/>
    <n v="16.169154228855721"/>
  </r>
  <r>
    <x v="1"/>
    <x v="1"/>
    <n v="1740"/>
    <x v="16"/>
    <x v="16"/>
    <n v="1"/>
    <n v="51.785714285714285"/>
  </r>
  <r>
    <x v="3"/>
    <x v="1"/>
    <n v="1489"/>
    <x v="16"/>
    <x v="16"/>
    <n v="1"/>
    <n v="40.794520547945204"/>
  </r>
  <r>
    <x v="2"/>
    <x v="1"/>
    <n v="1294"/>
    <x v="16"/>
    <x v="16"/>
    <n v="1"/>
    <n v="187.536231884058"/>
  </r>
  <r>
    <x v="0"/>
    <x v="1"/>
    <n v="726"/>
    <x v="16"/>
    <x v="16"/>
    <n v="1"/>
    <n v="95.526315789473685"/>
  </r>
  <r>
    <x v="1"/>
    <x v="2"/>
    <n v="794"/>
    <x v="16"/>
    <x v="16"/>
    <n v="1"/>
    <n v="18.508158508158509"/>
  </r>
  <r>
    <x v="2"/>
    <x v="2"/>
    <n v="1223"/>
    <x v="16"/>
    <x v="16"/>
    <n v="1"/>
    <n v="163.06666666666666"/>
  </r>
  <r>
    <x v="0"/>
    <x v="2"/>
    <n v="825"/>
    <x v="16"/>
    <x v="16"/>
    <n v="1"/>
    <n v="68.181818181818187"/>
  </r>
  <r>
    <x v="3"/>
    <x v="2"/>
    <n v="2487"/>
    <x v="16"/>
    <x v="16"/>
    <n v="1"/>
    <n v="48.291262135922331"/>
  </r>
  <r>
    <x v="0"/>
    <x v="3"/>
    <n v="0"/>
    <x v="16"/>
    <x v="16"/>
    <n v="0"/>
    <n v="0"/>
  </r>
  <r>
    <x v="3"/>
    <x v="3"/>
    <n v="963"/>
    <x v="16"/>
    <x v="16"/>
    <n v="1"/>
    <n v="38.520000000000003"/>
  </r>
  <r>
    <x v="1"/>
    <x v="3"/>
    <n v="1475"/>
    <x v="16"/>
    <x v="16"/>
    <n v="1"/>
    <n v="53.442028985507243"/>
  </r>
  <r>
    <x v="2"/>
    <x v="3"/>
    <n v="0"/>
    <x v="16"/>
    <x v="16"/>
    <n v="0"/>
    <n v="0"/>
  </r>
  <r>
    <x v="1"/>
    <x v="0"/>
    <n v="1757"/>
    <x v="17"/>
    <x v="17"/>
    <n v="1"/>
    <n v="92.962962962962976"/>
  </r>
  <r>
    <x v="2"/>
    <x v="0"/>
    <n v="1071"/>
    <x v="17"/>
    <x v="17"/>
    <n v="1"/>
    <n v="214.2"/>
  </r>
  <r>
    <x v="3"/>
    <x v="0"/>
    <n v="2109"/>
    <x v="17"/>
    <x v="17"/>
    <n v="1"/>
    <n v="60.25714285714286"/>
  </r>
  <r>
    <x v="0"/>
    <x v="0"/>
    <n v="523"/>
    <x v="17"/>
    <x v="17"/>
    <n v="1"/>
    <n v="50.776699029126213"/>
  </r>
  <r>
    <x v="3"/>
    <x v="1"/>
    <n v="2493"/>
    <x v="17"/>
    <x v="17"/>
    <n v="1"/>
    <n v="35.112676056338032"/>
  </r>
  <r>
    <x v="1"/>
    <x v="1"/>
    <n v="615"/>
    <x v="17"/>
    <x v="17"/>
    <n v="1"/>
    <n v="28.082191780821919"/>
  </r>
  <r>
    <x v="0"/>
    <x v="1"/>
    <n v="669"/>
    <x v="17"/>
    <x v="17"/>
    <n v="1"/>
    <n v="88.026315789473685"/>
  </r>
  <r>
    <x v="2"/>
    <x v="1"/>
    <n v="1347"/>
    <x v="17"/>
    <x v="17"/>
    <n v="1"/>
    <n v="191.06382978723406"/>
  </r>
  <r>
    <x v="2"/>
    <x v="2"/>
    <n v="1232"/>
    <x v="17"/>
    <x v="17"/>
    <n v="1"/>
    <n v="167.61904761904762"/>
  </r>
  <r>
    <x v="3"/>
    <x v="2"/>
    <n v="1616"/>
    <x v="17"/>
    <x v="17"/>
    <n v="1"/>
    <n v="57.714285714285708"/>
  </r>
  <r>
    <x v="1"/>
    <x v="2"/>
    <n v="905"/>
    <x v="17"/>
    <x v="17"/>
    <n v="1"/>
    <n v="33.150183150183146"/>
  </r>
  <r>
    <x v="0"/>
    <x v="2"/>
    <n v="529"/>
    <x v="17"/>
    <x v="17"/>
    <n v="1"/>
    <n v="37.253521126760567"/>
  </r>
  <r>
    <x v="1"/>
    <x v="3"/>
    <n v="0"/>
    <x v="17"/>
    <x v="17"/>
    <n v="0"/>
    <n v="0"/>
  </r>
  <r>
    <x v="0"/>
    <x v="3"/>
    <n v="0"/>
    <x v="17"/>
    <x v="17"/>
    <n v="0"/>
    <n v="0"/>
  </r>
  <r>
    <x v="2"/>
    <x v="3"/>
    <n v="0"/>
    <x v="17"/>
    <x v="17"/>
    <n v="0"/>
    <n v="0"/>
  </r>
  <r>
    <x v="3"/>
    <x v="3"/>
    <n v="1893"/>
    <x v="17"/>
    <x v="17"/>
    <n v="1"/>
    <n v="28.681818181818183"/>
  </r>
  <r>
    <x v="3"/>
    <x v="0"/>
    <n v="1388"/>
    <x v="18"/>
    <x v="18"/>
    <n v="1"/>
    <n v="22.387096774193548"/>
  </r>
  <r>
    <x v="2"/>
    <x v="0"/>
    <n v="0"/>
    <x v="18"/>
    <x v="18"/>
    <n v="0"/>
    <n v="0"/>
  </r>
  <r>
    <x v="1"/>
    <x v="0"/>
    <n v="877"/>
    <x v="18"/>
    <x v="18"/>
    <n v="1"/>
    <n v="32.481481481481481"/>
  </r>
  <r>
    <x v="0"/>
    <x v="0"/>
    <n v="0"/>
    <x v="18"/>
    <x v="18"/>
    <n v="0"/>
    <n v="0"/>
  </r>
  <r>
    <x v="1"/>
    <x v="1"/>
    <n v="0"/>
    <x v="18"/>
    <x v="18"/>
    <n v="0"/>
    <n v="0"/>
  </r>
  <r>
    <x v="0"/>
    <x v="1"/>
    <n v="604"/>
    <x v="18"/>
    <x v="18"/>
    <n v="1"/>
    <n v="49.917355371900825"/>
  </r>
  <r>
    <x v="2"/>
    <x v="1"/>
    <n v="1500"/>
    <x v="18"/>
    <x v="18"/>
    <n v="1"/>
    <n v="204.08163265306123"/>
  </r>
  <r>
    <x v="3"/>
    <x v="1"/>
    <n v="0"/>
    <x v="18"/>
    <x v="18"/>
    <n v="0"/>
    <n v="0"/>
  </r>
  <r>
    <x v="0"/>
    <x v="2"/>
    <n v="0"/>
    <x v="18"/>
    <x v="18"/>
    <n v="0"/>
    <n v="0"/>
  </r>
  <r>
    <x v="1"/>
    <x v="2"/>
    <n v="0"/>
    <x v="18"/>
    <x v="18"/>
    <n v="0"/>
    <n v="0"/>
  </r>
  <r>
    <x v="3"/>
    <x v="2"/>
    <n v="1289"/>
    <x v="18"/>
    <x v="18"/>
    <n v="1"/>
    <n v="20.299212598425196"/>
  </r>
  <r>
    <x v="2"/>
    <x v="2"/>
    <n v="0"/>
    <x v="18"/>
    <x v="18"/>
    <n v="0"/>
    <n v="0"/>
  </r>
  <r>
    <x v="0"/>
    <x v="3"/>
    <n v="564"/>
    <x v="18"/>
    <x v="18"/>
    <n v="1"/>
    <n v="74.21052631578948"/>
  </r>
  <r>
    <x v="3"/>
    <x v="3"/>
    <n v="0"/>
    <x v="18"/>
    <x v="18"/>
    <n v="0"/>
    <n v="0"/>
  </r>
  <r>
    <x v="1"/>
    <x v="3"/>
    <n v="0"/>
    <x v="18"/>
    <x v="18"/>
    <n v="0"/>
    <n v="0"/>
  </r>
  <r>
    <x v="2"/>
    <x v="3"/>
    <n v="0"/>
    <x v="18"/>
    <x v="18"/>
    <n v="0"/>
    <n v="0"/>
  </r>
  <r>
    <x v="2"/>
    <x v="0"/>
    <n v="0"/>
    <x v="19"/>
    <x v="19"/>
    <n v="0"/>
    <n v="0"/>
  </r>
  <r>
    <x v="3"/>
    <x v="0"/>
    <n v="2087"/>
    <x v="19"/>
    <x v="19"/>
    <n v="1"/>
    <n v="61.382352941176471"/>
  </r>
  <r>
    <x v="0"/>
    <x v="0"/>
    <n v="940"/>
    <x v="19"/>
    <x v="19"/>
    <n v="1"/>
    <n v="67.142857142857139"/>
  </r>
  <r>
    <x v="1"/>
    <x v="0"/>
    <n v="688"/>
    <x v="19"/>
    <x v="19"/>
    <n v="1"/>
    <n v="19.435028248587571"/>
  </r>
  <r>
    <x v="1"/>
    <x v="1"/>
    <n v="1875"/>
    <x v="19"/>
    <x v="19"/>
    <n v="1"/>
    <n v="79.113924050632903"/>
  </r>
  <r>
    <x v="2"/>
    <x v="1"/>
    <n v="0"/>
    <x v="19"/>
    <x v="19"/>
    <n v="0"/>
    <n v="0"/>
  </r>
  <r>
    <x v="3"/>
    <x v="1"/>
    <n v="2380"/>
    <x v="19"/>
    <x v="19"/>
    <n v="1"/>
    <n v="58.76543209876543"/>
  </r>
  <r>
    <x v="0"/>
    <x v="1"/>
    <n v="0"/>
    <x v="19"/>
    <x v="19"/>
    <n v="0"/>
    <n v="0"/>
  </r>
  <r>
    <x v="3"/>
    <x v="2"/>
    <n v="1107"/>
    <x v="19"/>
    <x v="19"/>
    <n v="1"/>
    <n v="21.28846153846154"/>
  </r>
  <r>
    <x v="0"/>
    <x v="2"/>
    <n v="713"/>
    <x v="19"/>
    <x v="19"/>
    <n v="1"/>
    <n v="52.426470588235304"/>
  </r>
  <r>
    <x v="1"/>
    <x v="2"/>
    <n v="0"/>
    <x v="19"/>
    <x v="19"/>
    <n v="0"/>
    <n v="0"/>
  </r>
  <r>
    <x v="2"/>
    <x v="2"/>
    <n v="0"/>
    <x v="19"/>
    <x v="19"/>
    <n v="0"/>
    <n v="0"/>
  </r>
  <r>
    <x v="2"/>
    <x v="3"/>
    <n v="1054"/>
    <x v="19"/>
    <x v="19"/>
    <n v="1"/>
    <n v="234.22222222222223"/>
  </r>
  <r>
    <x v="0"/>
    <x v="3"/>
    <n v="825"/>
    <x v="19"/>
    <x v="19"/>
    <n v="1"/>
    <n v="77.830188679245268"/>
  </r>
  <r>
    <x v="3"/>
    <x v="3"/>
    <n v="869"/>
    <x v="19"/>
    <x v="19"/>
    <n v="1"/>
    <n v="12.069444444444445"/>
  </r>
  <r>
    <x v="1"/>
    <x v="3"/>
    <n v="1172"/>
    <x v="19"/>
    <x v="19"/>
    <n v="1"/>
    <n v="48.230452674897116"/>
  </r>
  <r>
    <x v="3"/>
    <x v="0"/>
    <n v="0"/>
    <x v="20"/>
    <x v="20"/>
    <n v="0"/>
    <n v="0"/>
  </r>
  <r>
    <x v="2"/>
    <x v="0"/>
    <n v="1342"/>
    <x v="20"/>
    <x v="20"/>
    <n v="1"/>
    <n v="183.83561643835617"/>
  </r>
  <r>
    <x v="0"/>
    <x v="0"/>
    <n v="875"/>
    <x v="20"/>
    <x v="20"/>
    <n v="1"/>
    <n v="73.529411764705898"/>
  </r>
  <r>
    <x v="1"/>
    <x v="0"/>
    <n v="834"/>
    <x v="20"/>
    <x v="20"/>
    <n v="1"/>
    <n v="51.481481481481474"/>
  </r>
  <r>
    <x v="3"/>
    <x v="1"/>
    <n v="0"/>
    <x v="20"/>
    <x v="20"/>
    <n v="0"/>
    <n v="0"/>
  </r>
  <r>
    <x v="2"/>
    <x v="1"/>
    <n v="1139"/>
    <x v="20"/>
    <x v="20"/>
    <n v="1"/>
    <n v="172.57575757575756"/>
  </r>
  <r>
    <x v="0"/>
    <x v="1"/>
    <n v="808"/>
    <x v="20"/>
    <x v="20"/>
    <n v="1"/>
    <n v="76.952380952380949"/>
  </r>
  <r>
    <x v="1"/>
    <x v="1"/>
    <n v="0"/>
    <x v="20"/>
    <x v="20"/>
    <n v="0"/>
    <n v="0"/>
  </r>
  <r>
    <x v="0"/>
    <x v="2"/>
    <n v="582"/>
    <x v="20"/>
    <x v="20"/>
    <n v="1"/>
    <n v="103.92857142857142"/>
  </r>
  <r>
    <x v="1"/>
    <x v="2"/>
    <n v="1864"/>
    <x v="20"/>
    <x v="20"/>
    <n v="1"/>
    <n v="50.928961748633881"/>
  </r>
  <r>
    <x v="3"/>
    <x v="2"/>
    <n v="1037"/>
    <x v="20"/>
    <x v="20"/>
    <n v="1"/>
    <n v="15.712121212121213"/>
  </r>
  <r>
    <x v="2"/>
    <x v="2"/>
    <n v="0"/>
    <x v="20"/>
    <x v="20"/>
    <n v="0"/>
    <n v="0"/>
  </r>
  <r>
    <x v="0"/>
    <x v="3"/>
    <n v="960"/>
    <x v="20"/>
    <x v="20"/>
    <n v="1"/>
    <n v="69.064748201438832"/>
  </r>
  <r>
    <x v="3"/>
    <x v="3"/>
    <n v="1916"/>
    <x v="20"/>
    <x v="20"/>
    <n v="1"/>
    <n v="32.201680672268907"/>
  </r>
  <r>
    <x v="2"/>
    <x v="3"/>
    <n v="1038"/>
    <x v="20"/>
    <x v="20"/>
    <n v="1"/>
    <n v="151.53284671532845"/>
  </r>
  <r>
    <x v="1"/>
    <x v="3"/>
    <n v="847"/>
    <x v="20"/>
    <x v="20"/>
    <n v="1"/>
    <n v="29.106529209621996"/>
  </r>
  <r>
    <x v="3"/>
    <x v="0"/>
    <n v="0"/>
    <x v="21"/>
    <x v="21"/>
    <n v="0"/>
    <n v="0"/>
  </r>
  <r>
    <x v="2"/>
    <x v="0"/>
    <n v="1348"/>
    <x v="21"/>
    <x v="21"/>
    <n v="1"/>
    <n v="247.33944954128441"/>
  </r>
  <r>
    <x v="0"/>
    <x v="0"/>
    <n v="699"/>
    <x v="21"/>
    <x v="21"/>
    <n v="1"/>
    <n v="69.900000000000006"/>
  </r>
  <r>
    <x v="1"/>
    <x v="0"/>
    <n v="1619"/>
    <x v="21"/>
    <x v="21"/>
    <n v="1"/>
    <n v="36.712018140589571"/>
  </r>
  <r>
    <x v="3"/>
    <x v="1"/>
    <n v="2167"/>
    <x v="21"/>
    <x v="21"/>
    <n v="1"/>
    <n v="33.338461538461537"/>
  </r>
  <r>
    <x v="0"/>
    <x v="1"/>
    <n v="510"/>
    <x v="21"/>
    <x v="21"/>
    <n v="1"/>
    <n v="49.514563106796111"/>
  </r>
  <r>
    <x v="1"/>
    <x v="1"/>
    <n v="845"/>
    <x v="21"/>
    <x v="21"/>
    <n v="1"/>
    <n v="40.238095238095241"/>
  </r>
  <r>
    <x v="2"/>
    <x v="1"/>
    <n v="1291"/>
    <x v="21"/>
    <x v="21"/>
    <n v="1"/>
    <n v="248.26923076923077"/>
  </r>
  <r>
    <x v="3"/>
    <x v="2"/>
    <n v="1616"/>
    <x v="21"/>
    <x v="21"/>
    <n v="1"/>
    <n v="38.023529411764706"/>
  </r>
  <r>
    <x v="2"/>
    <x v="2"/>
    <n v="952"/>
    <x v="21"/>
    <x v="21"/>
    <n v="1"/>
    <n v="317.33333333333331"/>
  </r>
  <r>
    <x v="1"/>
    <x v="2"/>
    <n v="1334"/>
    <x v="21"/>
    <x v="21"/>
    <n v="1"/>
    <n v="32.457420924574208"/>
  </r>
  <r>
    <x v="0"/>
    <x v="2"/>
    <n v="505"/>
    <x v="21"/>
    <x v="21"/>
    <n v="1"/>
    <n v="90.178571428571416"/>
  </r>
  <r>
    <x v="3"/>
    <x v="3"/>
    <n v="0"/>
    <x v="21"/>
    <x v="21"/>
    <n v="0"/>
    <n v="0"/>
  </r>
  <r>
    <x v="2"/>
    <x v="3"/>
    <n v="1437"/>
    <x v="21"/>
    <x v="21"/>
    <n v="1"/>
    <n v="273.71428571428572"/>
  </r>
  <r>
    <x v="0"/>
    <x v="3"/>
    <n v="996"/>
    <x v="21"/>
    <x v="21"/>
    <n v="1"/>
    <n v="184.44444444444443"/>
  </r>
  <r>
    <x v="1"/>
    <x v="3"/>
    <n v="0"/>
    <x v="21"/>
    <x v="21"/>
    <n v="0"/>
    <n v="0"/>
  </r>
  <r>
    <x v="3"/>
    <x v="0"/>
    <n v="1747"/>
    <x v="22"/>
    <x v="22"/>
    <n v="1"/>
    <n v="28.639344262295083"/>
  </r>
  <r>
    <x v="0"/>
    <x v="0"/>
    <n v="0"/>
    <x v="22"/>
    <x v="22"/>
    <n v="0"/>
    <n v="0"/>
  </r>
  <r>
    <x v="1"/>
    <x v="0"/>
    <n v="1099"/>
    <x v="22"/>
    <x v="22"/>
    <n v="1"/>
    <n v="35.224358974358971"/>
  </r>
  <r>
    <x v="2"/>
    <x v="0"/>
    <n v="1212"/>
    <x v="22"/>
    <x v="22"/>
    <n v="1"/>
    <n v="179.55555555555554"/>
  </r>
  <r>
    <x v="0"/>
    <x v="1"/>
    <n v="881"/>
    <x v="22"/>
    <x v="22"/>
    <n v="1"/>
    <n v="127.68115942028986"/>
  </r>
  <r>
    <x v="1"/>
    <x v="1"/>
    <n v="0"/>
    <x v="22"/>
    <x v="22"/>
    <n v="0"/>
    <n v="0"/>
  </r>
  <r>
    <x v="2"/>
    <x v="1"/>
    <n v="984"/>
    <x v="22"/>
    <x v="22"/>
    <n v="1"/>
    <n v="172.63157894736838"/>
  </r>
  <r>
    <x v="3"/>
    <x v="1"/>
    <n v="2144"/>
    <x v="22"/>
    <x v="22"/>
    <n v="1"/>
    <n v="51.662650602409641"/>
  </r>
  <r>
    <x v="0"/>
    <x v="2"/>
    <n v="0"/>
    <x v="22"/>
    <x v="22"/>
    <n v="0"/>
    <n v="0"/>
  </r>
  <r>
    <x v="1"/>
    <x v="2"/>
    <n v="1234"/>
    <x v="22"/>
    <x v="22"/>
    <n v="1"/>
    <n v="79.102564102564102"/>
  </r>
  <r>
    <x v="2"/>
    <x v="2"/>
    <n v="968"/>
    <x v="22"/>
    <x v="22"/>
    <n v="1"/>
    <n v="217.52808988764045"/>
  </r>
  <r>
    <x v="3"/>
    <x v="2"/>
    <n v="2447"/>
    <x v="22"/>
    <x v="22"/>
    <n v="1"/>
    <n v="75.292307692307688"/>
  </r>
  <r>
    <x v="0"/>
    <x v="3"/>
    <n v="804"/>
    <x v="22"/>
    <x v="22"/>
    <n v="1"/>
    <n v="75.140186915887838"/>
  </r>
  <r>
    <x v="1"/>
    <x v="3"/>
    <n v="1176"/>
    <x v="22"/>
    <x v="22"/>
    <n v="1"/>
    <n v="63.225806451612897"/>
  </r>
  <r>
    <x v="2"/>
    <x v="3"/>
    <n v="0"/>
    <x v="22"/>
    <x v="22"/>
    <n v="0"/>
    <n v="0"/>
  </r>
  <r>
    <x v="3"/>
    <x v="3"/>
    <n v="0"/>
    <x v="22"/>
    <x v="22"/>
    <n v="0"/>
    <n v="0"/>
  </r>
  <r>
    <x v="3"/>
    <x v="0"/>
    <n v="1035"/>
    <x v="23"/>
    <x v="23"/>
    <n v="1"/>
    <n v="22.5"/>
  </r>
  <r>
    <x v="0"/>
    <x v="0"/>
    <n v="762"/>
    <x v="23"/>
    <x v="23"/>
    <n v="1"/>
    <n v="138.54545454545453"/>
  </r>
  <r>
    <x v="1"/>
    <x v="0"/>
    <n v="681"/>
    <x v="23"/>
    <x v="23"/>
    <n v="1"/>
    <n v="17.067669172932327"/>
  </r>
  <r>
    <x v="2"/>
    <x v="0"/>
    <n v="0"/>
    <x v="23"/>
    <x v="23"/>
    <n v="0"/>
    <n v="0"/>
  </r>
  <r>
    <x v="3"/>
    <x v="1"/>
    <n v="0"/>
    <x v="23"/>
    <x v="23"/>
    <n v="0"/>
    <n v="0"/>
  </r>
  <r>
    <x v="1"/>
    <x v="1"/>
    <n v="1395"/>
    <x v="23"/>
    <x v="23"/>
    <n v="1"/>
    <n v="33.214285714285715"/>
  </r>
  <r>
    <x v="2"/>
    <x v="1"/>
    <n v="1157"/>
    <x v="23"/>
    <x v="23"/>
    <n v="1"/>
    <n v="325.91549295774649"/>
  </r>
  <r>
    <x v="0"/>
    <x v="1"/>
    <n v="743"/>
    <x v="23"/>
    <x v="23"/>
    <n v="1"/>
    <n v="82.555555555555557"/>
  </r>
  <r>
    <x v="1"/>
    <x v="2"/>
    <n v="681"/>
    <x v="23"/>
    <x v="23"/>
    <n v="1"/>
    <n v="36.612903225806448"/>
  </r>
  <r>
    <x v="3"/>
    <x v="2"/>
    <n v="1893"/>
    <x v="23"/>
    <x v="23"/>
    <n v="1"/>
    <n v="32.637931034482762"/>
  </r>
  <r>
    <x v="2"/>
    <x v="2"/>
    <n v="0"/>
    <x v="23"/>
    <x v="23"/>
    <n v="0"/>
    <n v="0"/>
  </r>
  <r>
    <x v="0"/>
    <x v="2"/>
    <n v="767"/>
    <x v="23"/>
    <x v="23"/>
    <n v="1"/>
    <n v="73.047619047619051"/>
  </r>
  <r>
    <x v="1"/>
    <x v="3"/>
    <n v="0"/>
    <x v="23"/>
    <x v="23"/>
    <n v="0"/>
    <n v="0"/>
  </r>
  <r>
    <x v="0"/>
    <x v="3"/>
    <n v="528"/>
    <x v="23"/>
    <x v="23"/>
    <n v="1"/>
    <n v="45.913043478260867"/>
  </r>
  <r>
    <x v="2"/>
    <x v="3"/>
    <n v="965"/>
    <x v="23"/>
    <x v="23"/>
    <n v="1"/>
    <n v="288.05970149253733"/>
  </r>
  <r>
    <x v="3"/>
    <x v="3"/>
    <n v="0"/>
    <x v="23"/>
    <x v="23"/>
    <n v="0"/>
    <n v="0"/>
  </r>
  <r>
    <x v="3"/>
    <x v="0"/>
    <n v="2406"/>
    <x v="24"/>
    <x v="24"/>
    <n v="1"/>
    <n v="74.030769230769238"/>
  </r>
  <r>
    <x v="1"/>
    <x v="0"/>
    <n v="729"/>
    <x v="24"/>
    <x v="24"/>
    <n v="1"/>
    <n v="25.851063829787236"/>
  </r>
  <r>
    <x v="2"/>
    <x v="0"/>
    <n v="1069"/>
    <x v="24"/>
    <x v="24"/>
    <n v="1"/>
    <n v="344.83870967741933"/>
  </r>
  <r>
    <x v="0"/>
    <x v="0"/>
    <n v="0"/>
    <x v="24"/>
    <x v="24"/>
    <n v="0"/>
    <n v="0"/>
  </r>
  <r>
    <x v="1"/>
    <x v="1"/>
    <n v="801"/>
    <x v="24"/>
    <x v="24"/>
    <n v="1"/>
    <n v="31.046511627906977"/>
  </r>
  <r>
    <x v="3"/>
    <x v="1"/>
    <n v="0"/>
    <x v="24"/>
    <x v="24"/>
    <n v="0"/>
    <n v="0"/>
  </r>
  <r>
    <x v="2"/>
    <x v="1"/>
    <n v="981"/>
    <x v="24"/>
    <x v="24"/>
    <n v="1"/>
    <n v="145.33333333333334"/>
  </r>
  <r>
    <x v="0"/>
    <x v="1"/>
    <n v="838"/>
    <x v="24"/>
    <x v="24"/>
    <n v="1"/>
    <n v="108.83116883116882"/>
  </r>
  <r>
    <x v="1"/>
    <x v="2"/>
    <n v="1213"/>
    <x v="24"/>
    <x v="24"/>
    <n v="1"/>
    <n v="50.541666666666664"/>
  </r>
  <r>
    <x v="3"/>
    <x v="2"/>
    <n v="2083"/>
    <x v="24"/>
    <x v="24"/>
    <n v="1"/>
    <n v="69.433333333333337"/>
  </r>
  <r>
    <x v="2"/>
    <x v="2"/>
    <n v="1496"/>
    <x v="24"/>
    <x v="24"/>
    <n v="1"/>
    <n v="230.15384615384616"/>
  </r>
  <r>
    <x v="0"/>
    <x v="2"/>
    <n v="515"/>
    <x v="24"/>
    <x v="24"/>
    <n v="1"/>
    <n v="41.2"/>
  </r>
  <r>
    <x v="3"/>
    <x v="3"/>
    <n v="1409"/>
    <x v="24"/>
    <x v="24"/>
    <n v="1"/>
    <n v="26.838095238095239"/>
  </r>
  <r>
    <x v="2"/>
    <x v="3"/>
    <n v="1179"/>
    <x v="24"/>
    <x v="24"/>
    <n v="1"/>
    <n v="177.29323308270676"/>
  </r>
  <r>
    <x v="1"/>
    <x v="3"/>
    <n v="0"/>
    <x v="24"/>
    <x v="24"/>
    <n v="0"/>
    <n v="0"/>
  </r>
  <r>
    <x v="0"/>
    <x v="3"/>
    <n v="749"/>
    <x v="24"/>
    <x v="24"/>
    <n v="1"/>
    <n v="83.222222222222229"/>
  </r>
  <r>
    <x v="1"/>
    <x v="0"/>
    <n v="1243"/>
    <x v="25"/>
    <x v="25"/>
    <n v="1"/>
    <n v="48.178294573643413"/>
  </r>
  <r>
    <x v="2"/>
    <x v="0"/>
    <n v="1330"/>
    <x v="25"/>
    <x v="25"/>
    <n v="1"/>
    <n v="450.84745762711862"/>
  </r>
  <r>
    <x v="0"/>
    <x v="0"/>
    <n v="950"/>
    <x v="25"/>
    <x v="25"/>
    <n v="1"/>
    <n v="68.840579710144937"/>
  </r>
  <r>
    <x v="3"/>
    <x v="0"/>
    <n v="0"/>
    <x v="25"/>
    <x v="25"/>
    <n v="0"/>
    <n v="0"/>
  </r>
  <r>
    <x v="0"/>
    <x v="1"/>
    <n v="740"/>
    <x v="25"/>
    <x v="25"/>
    <n v="1"/>
    <n v="59.2"/>
  </r>
  <r>
    <x v="3"/>
    <x v="1"/>
    <n v="1752"/>
    <x v="25"/>
    <x v="25"/>
    <n v="1"/>
    <n v="23.675675675675677"/>
  </r>
  <r>
    <x v="2"/>
    <x v="1"/>
    <n v="1404"/>
    <x v="25"/>
    <x v="25"/>
    <n v="1"/>
    <n v="192.32876712328766"/>
  </r>
  <r>
    <x v="1"/>
    <x v="1"/>
    <n v="1793"/>
    <x v="25"/>
    <x v="25"/>
    <n v="1"/>
    <n v="44.937343358395985"/>
  </r>
  <r>
    <x v="1"/>
    <x v="2"/>
    <n v="0"/>
    <x v="25"/>
    <x v="25"/>
    <n v="0"/>
    <n v="0"/>
  </r>
  <r>
    <x v="3"/>
    <x v="2"/>
    <n v="1050"/>
    <x v="25"/>
    <x v="25"/>
    <n v="1"/>
    <n v="14.685314685314685"/>
  </r>
  <r>
    <x v="2"/>
    <x v="2"/>
    <n v="0"/>
    <x v="25"/>
    <x v="25"/>
    <n v="0"/>
    <n v="0"/>
  </r>
  <r>
    <x v="0"/>
    <x v="2"/>
    <n v="686"/>
    <x v="25"/>
    <x v="25"/>
    <n v="1"/>
    <n v="54.88"/>
  </r>
  <r>
    <x v="1"/>
    <x v="3"/>
    <n v="1044"/>
    <x v="25"/>
    <x v="25"/>
    <n v="1"/>
    <n v="31.351351351351347"/>
  </r>
  <r>
    <x v="2"/>
    <x v="3"/>
    <n v="1288"/>
    <x v="25"/>
    <x v="25"/>
    <n v="1"/>
    <n v="444.13793103448268"/>
  </r>
  <r>
    <x v="3"/>
    <x v="3"/>
    <n v="1466"/>
    <x v="25"/>
    <x v="25"/>
    <n v="1"/>
    <n v="24.032786885245901"/>
  </r>
  <r>
    <x v="0"/>
    <x v="3"/>
    <n v="837"/>
    <x v="25"/>
    <x v="25"/>
    <n v="1"/>
    <n v="77.5"/>
  </r>
  <r>
    <x v="3"/>
    <x v="0"/>
    <n v="1683"/>
    <x v="26"/>
    <x v="26"/>
    <n v="1"/>
    <n v="27.365853658536587"/>
  </r>
  <r>
    <x v="2"/>
    <x v="0"/>
    <n v="1325"/>
    <x v="26"/>
    <x v="26"/>
    <n v="1"/>
    <n v="519.60784313725492"/>
  </r>
  <r>
    <x v="1"/>
    <x v="0"/>
    <n v="0"/>
    <x v="26"/>
    <x v="26"/>
    <n v="0"/>
    <n v="0"/>
  </r>
  <r>
    <x v="0"/>
    <x v="0"/>
    <n v="0"/>
    <x v="26"/>
    <x v="26"/>
    <n v="0"/>
    <n v="0"/>
  </r>
  <r>
    <x v="3"/>
    <x v="1"/>
    <n v="1250"/>
    <x v="26"/>
    <x v="26"/>
    <n v="1"/>
    <n v="22.321428571428569"/>
  </r>
  <r>
    <x v="0"/>
    <x v="1"/>
    <n v="699"/>
    <x v="26"/>
    <x v="26"/>
    <n v="1"/>
    <n v="68.529411764705884"/>
  </r>
  <r>
    <x v="2"/>
    <x v="1"/>
    <n v="0"/>
    <x v="26"/>
    <x v="26"/>
    <n v="0"/>
    <n v="0"/>
  </r>
  <r>
    <x v="1"/>
    <x v="1"/>
    <n v="1105"/>
    <x v="26"/>
    <x v="26"/>
    <n v="1"/>
    <n v="47.835497835497833"/>
  </r>
  <r>
    <x v="0"/>
    <x v="2"/>
    <n v="528"/>
    <x v="26"/>
    <x v="26"/>
    <n v="1"/>
    <n v="36.666666666666671"/>
  </r>
  <r>
    <x v="3"/>
    <x v="2"/>
    <n v="2326"/>
    <x v="26"/>
    <x v="26"/>
    <n v="1"/>
    <n v="64.611111111111114"/>
  </r>
  <r>
    <x v="2"/>
    <x v="2"/>
    <n v="1060"/>
    <x v="26"/>
    <x v="26"/>
    <n v="1"/>
    <n v="321.21212121212125"/>
  </r>
  <r>
    <x v="1"/>
    <x v="2"/>
    <n v="0"/>
    <x v="26"/>
    <x v="26"/>
    <n v="0"/>
    <n v="0"/>
  </r>
  <r>
    <x v="3"/>
    <x v="3"/>
    <n v="0"/>
    <x v="26"/>
    <x v="26"/>
    <n v="0"/>
    <n v="0"/>
  </r>
  <r>
    <x v="2"/>
    <x v="3"/>
    <n v="1303"/>
    <x v="26"/>
    <x v="26"/>
    <n v="1"/>
    <n v="413.65079365079367"/>
  </r>
  <r>
    <x v="1"/>
    <x v="3"/>
    <n v="1154"/>
    <x v="26"/>
    <x v="26"/>
    <n v="1"/>
    <n v="26.712962962962965"/>
  </r>
  <r>
    <x v="0"/>
    <x v="3"/>
    <n v="0"/>
    <x v="26"/>
    <x v="26"/>
    <n v="0"/>
    <n v="0"/>
  </r>
  <r>
    <x v="2"/>
    <x v="0"/>
    <n v="0"/>
    <x v="27"/>
    <x v="27"/>
    <n v="0"/>
    <n v="0"/>
  </r>
  <r>
    <x v="0"/>
    <x v="0"/>
    <n v="543"/>
    <x v="27"/>
    <x v="27"/>
    <n v="1"/>
    <n v="48.053097345132748"/>
  </r>
  <r>
    <x v="1"/>
    <x v="0"/>
    <n v="1021"/>
    <x v="27"/>
    <x v="27"/>
    <n v="1"/>
    <n v="36.992753623188406"/>
  </r>
  <r>
    <x v="3"/>
    <x v="0"/>
    <n v="1887"/>
    <x v="27"/>
    <x v="27"/>
    <n v="1"/>
    <n v="65.068965517241367"/>
  </r>
  <r>
    <x v="2"/>
    <x v="1"/>
    <n v="925"/>
    <x v="27"/>
    <x v="27"/>
    <n v="1"/>
    <n v="154.16666666666666"/>
  </r>
  <r>
    <x v="0"/>
    <x v="1"/>
    <n v="905"/>
    <x v="27"/>
    <x v="27"/>
    <n v="1"/>
    <n v="73.577235772357724"/>
  </r>
  <r>
    <x v="3"/>
    <x v="1"/>
    <n v="1261"/>
    <x v="27"/>
    <x v="27"/>
    <n v="1"/>
    <n v="40.677419354838712"/>
  </r>
  <r>
    <x v="1"/>
    <x v="1"/>
    <n v="1976"/>
    <x v="27"/>
    <x v="27"/>
    <n v="1"/>
    <n v="48.077858880778585"/>
  </r>
  <r>
    <x v="0"/>
    <x v="2"/>
    <n v="671"/>
    <x v="27"/>
    <x v="27"/>
    <n v="1"/>
    <n v="69.175257731958766"/>
  </r>
  <r>
    <x v="1"/>
    <x v="2"/>
    <n v="1774"/>
    <x v="27"/>
    <x v="27"/>
    <n v="1"/>
    <n v="100.22598870056495"/>
  </r>
  <r>
    <x v="3"/>
    <x v="2"/>
    <n v="1298"/>
    <x v="27"/>
    <x v="27"/>
    <n v="1"/>
    <n v="33.282051282051285"/>
  </r>
  <r>
    <x v="2"/>
    <x v="2"/>
    <n v="1137"/>
    <x v="27"/>
    <x v="27"/>
    <n v="1"/>
    <n v="264.41860465116281"/>
  </r>
  <r>
    <x v="3"/>
    <x v="3"/>
    <n v="1628"/>
    <x v="27"/>
    <x v="27"/>
    <n v="1"/>
    <n v="27.133333333333333"/>
  </r>
  <r>
    <x v="2"/>
    <x v="3"/>
    <n v="941"/>
    <x v="27"/>
    <x v="27"/>
    <n v="1"/>
    <n v="226.74698795180726"/>
  </r>
  <r>
    <x v="1"/>
    <x v="3"/>
    <n v="850"/>
    <x v="27"/>
    <x v="27"/>
    <n v="1"/>
    <n v="27.508090614886729"/>
  </r>
  <r>
    <x v="0"/>
    <x v="3"/>
    <n v="904"/>
    <x v="27"/>
    <x v="27"/>
    <n v="1"/>
    <n v="180.8"/>
  </r>
  <r>
    <x v="0"/>
    <x v="0"/>
    <n v="933"/>
    <x v="28"/>
    <x v="28"/>
    <n v="1"/>
    <n v="133.28571428571428"/>
  </r>
  <r>
    <x v="3"/>
    <x v="0"/>
    <n v="1164"/>
    <x v="28"/>
    <x v="28"/>
    <n v="1"/>
    <n v="35.27272727272728"/>
  </r>
  <r>
    <x v="1"/>
    <x v="0"/>
    <n v="1950"/>
    <x v="28"/>
    <x v="28"/>
    <n v="1"/>
    <n v="58.558558558558552"/>
  </r>
  <r>
    <x v="2"/>
    <x v="0"/>
    <n v="1338"/>
    <x v="28"/>
    <x v="28"/>
    <n v="1"/>
    <n v="191.14285714285714"/>
  </r>
  <r>
    <x v="1"/>
    <x v="1"/>
    <n v="754"/>
    <x v="28"/>
    <x v="28"/>
    <n v="1"/>
    <n v="19.040404040404038"/>
  </r>
  <r>
    <x v="2"/>
    <x v="1"/>
    <n v="0"/>
    <x v="28"/>
    <x v="28"/>
    <n v="0"/>
    <n v="0"/>
  </r>
  <r>
    <x v="3"/>
    <x v="1"/>
    <n v="0"/>
    <x v="28"/>
    <x v="28"/>
    <n v="0"/>
    <n v="0"/>
  </r>
  <r>
    <x v="0"/>
    <x v="1"/>
    <n v="764"/>
    <x v="28"/>
    <x v="28"/>
    <n v="1"/>
    <n v="104.65753424657534"/>
  </r>
  <r>
    <x v="0"/>
    <x v="2"/>
    <n v="697"/>
    <x v="28"/>
    <x v="28"/>
    <n v="1"/>
    <n v="51.250000000000007"/>
  </r>
  <r>
    <x v="1"/>
    <x v="2"/>
    <n v="1227"/>
    <x v="28"/>
    <x v="28"/>
    <n v="1"/>
    <n v="56.027397260273979"/>
  </r>
  <r>
    <x v="3"/>
    <x v="2"/>
    <n v="0"/>
    <x v="28"/>
    <x v="28"/>
    <n v="0"/>
    <n v="0"/>
  </r>
  <r>
    <x v="2"/>
    <x v="2"/>
    <n v="1464"/>
    <x v="28"/>
    <x v="28"/>
    <n v="1"/>
    <n v="232.38095238095238"/>
  </r>
  <r>
    <x v="1"/>
    <x v="3"/>
    <n v="1175"/>
    <x v="28"/>
    <x v="28"/>
    <n v="1"/>
    <n v="52.222222222222221"/>
  </r>
  <r>
    <x v="3"/>
    <x v="3"/>
    <n v="0"/>
    <x v="28"/>
    <x v="28"/>
    <n v="0"/>
    <n v="0"/>
  </r>
  <r>
    <x v="2"/>
    <x v="3"/>
    <n v="0"/>
    <x v="28"/>
    <x v="28"/>
    <n v="0"/>
    <n v="0"/>
  </r>
  <r>
    <x v="0"/>
    <x v="3"/>
    <n v="0"/>
    <x v="28"/>
    <x v="28"/>
    <n v="0"/>
    <n v="0"/>
  </r>
  <r>
    <x v="3"/>
    <x v="0"/>
    <n v="1228"/>
    <x v="29"/>
    <x v="29"/>
    <n v="1"/>
    <n v="42.34482758620689"/>
  </r>
  <r>
    <x v="1"/>
    <x v="0"/>
    <n v="1305"/>
    <x v="29"/>
    <x v="29"/>
    <n v="1"/>
    <n v="51.176470588235297"/>
  </r>
  <r>
    <x v="0"/>
    <x v="0"/>
    <n v="0"/>
    <x v="29"/>
    <x v="29"/>
    <n v="0"/>
    <n v="0"/>
  </r>
  <r>
    <x v="2"/>
    <x v="0"/>
    <n v="0"/>
    <x v="29"/>
    <x v="29"/>
    <n v="0"/>
    <n v="0"/>
  </r>
  <r>
    <x v="1"/>
    <x v="1"/>
    <n v="0"/>
    <x v="29"/>
    <x v="29"/>
    <n v="0"/>
    <n v="0"/>
  </r>
  <r>
    <x v="2"/>
    <x v="1"/>
    <n v="1227"/>
    <x v="29"/>
    <x v="29"/>
    <n v="1"/>
    <n v="371.81818181818181"/>
  </r>
  <r>
    <x v="3"/>
    <x v="1"/>
    <n v="0"/>
    <x v="29"/>
    <x v="29"/>
    <n v="0"/>
    <n v="0"/>
  </r>
  <r>
    <x v="0"/>
    <x v="1"/>
    <n v="695"/>
    <x v="29"/>
    <x v="29"/>
    <n v="1"/>
    <n v="131.1320754716981"/>
  </r>
  <r>
    <x v="1"/>
    <x v="2"/>
    <n v="0"/>
    <x v="29"/>
    <x v="29"/>
    <n v="0"/>
    <n v="0"/>
  </r>
  <r>
    <x v="0"/>
    <x v="2"/>
    <n v="731"/>
    <x v="29"/>
    <x v="29"/>
    <n v="1"/>
    <n v="53.750000000000007"/>
  </r>
  <r>
    <x v="2"/>
    <x v="2"/>
    <n v="1133"/>
    <x v="29"/>
    <x v="29"/>
    <n v="1"/>
    <n v="283.25"/>
  </r>
  <r>
    <x v="3"/>
    <x v="2"/>
    <n v="803"/>
    <x v="29"/>
    <x v="29"/>
    <n v="1"/>
    <n v="20.074999999999999"/>
  </r>
  <r>
    <x v="2"/>
    <x v="3"/>
    <n v="0"/>
    <x v="29"/>
    <x v="29"/>
    <n v="0"/>
    <n v="0"/>
  </r>
  <r>
    <x v="0"/>
    <x v="3"/>
    <n v="553"/>
    <x v="29"/>
    <x v="29"/>
    <n v="1"/>
    <n v="37.61904761904762"/>
  </r>
  <r>
    <x v="3"/>
    <x v="3"/>
    <n v="1281"/>
    <x v="29"/>
    <x v="29"/>
    <n v="1"/>
    <n v="29.790697674418606"/>
  </r>
  <r>
    <x v="1"/>
    <x v="3"/>
    <n v="660"/>
    <x v="29"/>
    <x v="29"/>
    <n v="1"/>
    <n v="26.19047619047619"/>
  </r>
  <r>
    <x v="2"/>
    <x v="0"/>
    <n v="1142"/>
    <x v="30"/>
    <x v="30"/>
    <n v="1"/>
    <n v="262.52873563218395"/>
  </r>
  <r>
    <x v="0"/>
    <x v="0"/>
    <n v="906"/>
    <x v="30"/>
    <x v="30"/>
    <n v="1"/>
    <n v="69.692307692307693"/>
  </r>
  <r>
    <x v="1"/>
    <x v="0"/>
    <n v="874"/>
    <x v="30"/>
    <x v="30"/>
    <n v="1"/>
    <n v="41.032863849765263"/>
  </r>
  <r>
    <x v="3"/>
    <x v="0"/>
    <n v="1364"/>
    <x v="30"/>
    <x v="30"/>
    <n v="1"/>
    <n v="26.23076923076923"/>
  </r>
  <r>
    <x v="2"/>
    <x v="1"/>
    <n v="1155"/>
    <x v="30"/>
    <x v="30"/>
    <n v="1"/>
    <n v="316.43835616438355"/>
  </r>
  <r>
    <x v="0"/>
    <x v="1"/>
    <n v="0"/>
    <x v="30"/>
    <x v="30"/>
    <n v="0"/>
    <n v="0"/>
  </r>
  <r>
    <x v="1"/>
    <x v="1"/>
    <n v="0"/>
    <x v="30"/>
    <x v="30"/>
    <n v="0"/>
    <n v="0"/>
  </r>
  <r>
    <x v="3"/>
    <x v="1"/>
    <n v="1381"/>
    <x v="30"/>
    <x v="30"/>
    <n v="1"/>
    <n v="20.766917293233082"/>
  </r>
  <r>
    <x v="2"/>
    <x v="2"/>
    <n v="1305"/>
    <x v="30"/>
    <x v="30"/>
    <n v="1"/>
    <n v="212.19512195121951"/>
  </r>
  <r>
    <x v="1"/>
    <x v="2"/>
    <n v="0"/>
    <x v="30"/>
    <x v="30"/>
    <n v="0"/>
    <n v="0"/>
  </r>
  <r>
    <x v="0"/>
    <x v="2"/>
    <n v="900"/>
    <x v="30"/>
    <x v="30"/>
    <n v="1"/>
    <n v="125.00000000000001"/>
  </r>
  <r>
    <x v="3"/>
    <x v="2"/>
    <n v="0"/>
    <x v="30"/>
    <x v="30"/>
    <n v="0"/>
    <n v="0"/>
  </r>
  <r>
    <x v="3"/>
    <x v="3"/>
    <n v="1562"/>
    <x v="30"/>
    <x v="30"/>
    <n v="1"/>
    <n v="44"/>
  </r>
  <r>
    <x v="2"/>
    <x v="3"/>
    <n v="1247"/>
    <x v="30"/>
    <x v="30"/>
    <n v="1"/>
    <n v="196.37795275590551"/>
  </r>
  <r>
    <x v="0"/>
    <x v="3"/>
    <n v="629"/>
    <x v="30"/>
    <x v="30"/>
    <n v="1"/>
    <n v="47.293233082706763"/>
  </r>
  <r>
    <x v="1"/>
    <x v="3"/>
    <n v="1389"/>
    <x v="30"/>
    <x v="30"/>
    <n v="1"/>
    <n v="32.37762237762238"/>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BC12AA9-7AC3-4900-A5B5-B4B1545DDE2E}" name="PivotTable8"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65">
  <location ref="A60:C93" firstHeaderRow="1" firstDataRow="2" firstDataCol="1"/>
  <pivotFields count="7">
    <pivotField axis="axisCol" showAll="0">
      <items count="5">
        <item h="1" x="0"/>
        <item h="1" x="1"/>
        <item x="3"/>
        <item h="1" x="2"/>
        <item t="default"/>
      </items>
    </pivotField>
    <pivotField showAll="0"/>
    <pivotField showAll="0"/>
    <pivotField numFmtId="165" showAll="0"/>
    <pivotField axis="axisRow" showAll="0">
      <items count="32">
        <item x="0"/>
        <item x="1"/>
        <item x="2"/>
        <item x="3"/>
        <item x="4"/>
        <item x="5"/>
        <item x="6"/>
        <item x="7"/>
        <item x="8"/>
        <item x="9"/>
        <item x="10"/>
        <item x="11"/>
        <item x="12"/>
        <item x="13"/>
        <item x="14"/>
        <item x="15"/>
        <item x="16"/>
        <item x="17"/>
        <item x="18"/>
        <item x="19"/>
        <item x="20"/>
        <item x="21"/>
        <item x="22"/>
        <item x="23"/>
        <item x="24"/>
        <item x="25"/>
        <item x="26"/>
        <item x="27"/>
        <item x="28"/>
        <item x="29"/>
        <item x="30"/>
        <item t="default"/>
      </items>
    </pivotField>
    <pivotField showAll="0"/>
    <pivotField dataField="1" numFmtId="1" showAll="0"/>
  </pivotFields>
  <rowFields count="1">
    <field x="4"/>
  </rowFields>
  <rowItems count="32">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t="grand">
      <x/>
    </i>
  </rowItems>
  <colFields count="1">
    <field x="0"/>
  </colFields>
  <colItems count="2">
    <i>
      <x v="2"/>
    </i>
    <i t="grand">
      <x/>
    </i>
  </colItems>
  <dataFields count="1">
    <dataField name="Sum of Transaction Amount" fld="6" baseField="0" baseItem="0" numFmtId="1"/>
  </dataFields>
  <chartFormats count="3">
    <chartFormat chart="12" format="5" series="1">
      <pivotArea type="data" outline="0" fieldPosition="0">
        <references count="2">
          <reference field="4294967294" count="1" selected="0">
            <x v="0"/>
          </reference>
          <reference field="0" count="1" selected="0">
            <x v="2"/>
          </reference>
        </references>
      </pivotArea>
    </chartFormat>
    <chartFormat chart="4" format="3" series="1">
      <pivotArea type="data" outline="0" fieldPosition="0">
        <references count="2">
          <reference field="4294967294" count="1" selected="0">
            <x v="0"/>
          </reference>
          <reference field="0" count="1" selected="0">
            <x v="2"/>
          </reference>
        </references>
      </pivotArea>
    </chartFormat>
    <chartFormat chart="16" format="7" series="1">
      <pivotArea type="data" outline="0" fieldPosition="0">
        <references count="2">
          <reference field="4294967294" count="1" selected="0">
            <x v="0"/>
          </reference>
          <reference field="0"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BB75F9E-FE53-4C08-A27D-3238537CC6E1}" name="PivotTable7"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2">
  <location ref="E12:F17" firstHeaderRow="1" firstDataRow="1" firstDataCol="1"/>
  <pivotFields count="7">
    <pivotField showAll="0"/>
    <pivotField axis="axisRow" showAll="0">
      <items count="5">
        <item x="0"/>
        <item x="1"/>
        <item x="2"/>
        <item x="3"/>
        <item t="default"/>
      </items>
    </pivotField>
    <pivotField showAll="0"/>
    <pivotField numFmtId="165" showAll="0"/>
    <pivotField showAll="0"/>
    <pivotField showAll="0"/>
    <pivotField dataField="1" numFmtId="1" showAll="0"/>
  </pivotFields>
  <rowFields count="1">
    <field x="1"/>
  </rowFields>
  <rowItems count="5">
    <i>
      <x/>
    </i>
    <i>
      <x v="1"/>
    </i>
    <i>
      <x v="2"/>
    </i>
    <i>
      <x v="3"/>
    </i>
    <i t="grand">
      <x/>
    </i>
  </rowItems>
  <colItems count="1">
    <i/>
  </colItems>
  <dataFields count="1">
    <dataField name="Sum of Transaction Amount" fld="6" showDataAs="percentOfTotal" baseField="1" baseItem="0" numFmtId="10"/>
  </dataFields>
  <chartFormats count="15">
    <chartFormat chart="1" format="0" series="1">
      <pivotArea type="data" outline="0" fieldPosition="0">
        <references count="1">
          <reference field="4294967294" count="1" selected="0">
            <x v="0"/>
          </reference>
        </references>
      </pivotArea>
    </chartFormat>
    <chartFormat chart="1" format="1">
      <pivotArea type="data" outline="0" fieldPosition="0">
        <references count="2">
          <reference field="4294967294" count="1" selected="0">
            <x v="0"/>
          </reference>
          <reference field="1" count="1" selected="0">
            <x v="1"/>
          </reference>
        </references>
      </pivotArea>
    </chartFormat>
    <chartFormat chart="5" format="7" series="1">
      <pivotArea type="data" outline="0" fieldPosition="0">
        <references count="1">
          <reference field="4294967294" count="1" selected="0">
            <x v="0"/>
          </reference>
        </references>
      </pivotArea>
    </chartFormat>
    <chartFormat chart="5" format="8">
      <pivotArea type="data" outline="0" fieldPosition="0">
        <references count="2">
          <reference field="4294967294" count="1" selected="0">
            <x v="0"/>
          </reference>
          <reference field="1" count="1" selected="0">
            <x v="0"/>
          </reference>
        </references>
      </pivotArea>
    </chartFormat>
    <chartFormat chart="5" format="9">
      <pivotArea type="data" outline="0" fieldPosition="0">
        <references count="2">
          <reference field="4294967294" count="1" selected="0">
            <x v="0"/>
          </reference>
          <reference field="1" count="1" selected="0">
            <x v="1"/>
          </reference>
        </references>
      </pivotArea>
    </chartFormat>
    <chartFormat chart="5" format="10">
      <pivotArea type="data" outline="0" fieldPosition="0">
        <references count="2">
          <reference field="4294967294" count="1" selected="0">
            <x v="0"/>
          </reference>
          <reference field="1" count="1" selected="0">
            <x v="2"/>
          </reference>
        </references>
      </pivotArea>
    </chartFormat>
    <chartFormat chart="5" format="11">
      <pivotArea type="data" outline="0" fieldPosition="0">
        <references count="2">
          <reference field="4294967294" count="1" selected="0">
            <x v="0"/>
          </reference>
          <reference field="1" count="1" selected="0">
            <x v="3"/>
          </reference>
        </references>
      </pivotArea>
    </chartFormat>
    <chartFormat chart="1" format="2">
      <pivotArea type="data" outline="0" fieldPosition="0">
        <references count="2">
          <reference field="4294967294" count="1" selected="0">
            <x v="0"/>
          </reference>
          <reference field="1" count="1" selected="0">
            <x v="0"/>
          </reference>
        </references>
      </pivotArea>
    </chartFormat>
    <chartFormat chart="1" format="3">
      <pivotArea type="data" outline="0" fieldPosition="0">
        <references count="2">
          <reference field="4294967294" count="1" selected="0">
            <x v="0"/>
          </reference>
          <reference field="1" count="1" selected="0">
            <x v="2"/>
          </reference>
        </references>
      </pivotArea>
    </chartFormat>
    <chartFormat chart="1" format="4">
      <pivotArea type="data" outline="0" fieldPosition="0">
        <references count="2">
          <reference field="4294967294" count="1" selected="0">
            <x v="0"/>
          </reference>
          <reference field="1" count="1" selected="0">
            <x v="3"/>
          </reference>
        </references>
      </pivotArea>
    </chartFormat>
    <chartFormat chart="13" format="17" series="1">
      <pivotArea type="data" outline="0" fieldPosition="0">
        <references count="1">
          <reference field="4294967294" count="1" selected="0">
            <x v="0"/>
          </reference>
        </references>
      </pivotArea>
    </chartFormat>
    <chartFormat chart="13" format="18">
      <pivotArea type="data" outline="0" fieldPosition="0">
        <references count="2">
          <reference field="4294967294" count="1" selected="0">
            <x v="0"/>
          </reference>
          <reference field="1" count="1" selected="0">
            <x v="0"/>
          </reference>
        </references>
      </pivotArea>
    </chartFormat>
    <chartFormat chart="13" format="19">
      <pivotArea type="data" outline="0" fieldPosition="0">
        <references count="2">
          <reference field="4294967294" count="1" selected="0">
            <x v="0"/>
          </reference>
          <reference field="1" count="1" selected="0">
            <x v="1"/>
          </reference>
        </references>
      </pivotArea>
    </chartFormat>
    <chartFormat chart="13" format="20">
      <pivotArea type="data" outline="0" fieldPosition="0">
        <references count="2">
          <reference field="4294967294" count="1" selected="0">
            <x v="0"/>
          </reference>
          <reference field="1" count="1" selected="0">
            <x v="2"/>
          </reference>
        </references>
      </pivotArea>
    </chartFormat>
    <chartFormat chart="13" format="21">
      <pivotArea type="data" outline="0" fieldPosition="0">
        <references count="2">
          <reference field="4294967294" count="1" selected="0">
            <x v="0"/>
          </reference>
          <reference field="1"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4B70E926-68B8-47AF-8AA5-A8CB843E7F17}" name="PivotTable6"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1">
  <location ref="E1:F6" firstHeaderRow="1" firstDataRow="1" firstDataCol="1"/>
  <pivotFields count="7">
    <pivotField showAll="0"/>
    <pivotField axis="axisRow" showAll="0">
      <items count="5">
        <item x="0"/>
        <item x="1"/>
        <item x="2"/>
        <item x="3"/>
        <item t="default"/>
      </items>
    </pivotField>
    <pivotField showAll="0"/>
    <pivotField numFmtId="165" showAll="0"/>
    <pivotField showAll="0"/>
    <pivotField dataField="1" showAll="0"/>
    <pivotField numFmtId="1" showAll="0"/>
  </pivotFields>
  <rowFields count="1">
    <field x="1"/>
  </rowFields>
  <rowItems count="5">
    <i>
      <x/>
    </i>
    <i>
      <x v="1"/>
    </i>
    <i>
      <x v="2"/>
    </i>
    <i>
      <x v="3"/>
    </i>
    <i t="grand">
      <x/>
    </i>
  </rowItems>
  <colItems count="1">
    <i/>
  </colItems>
  <dataFields count="1">
    <dataField name="Sum of If Sales Amount &gt; 0" fld="5" baseField="0" baseItem="0"/>
  </dataFields>
  <chartFormats count="15">
    <chartFormat chart="1" format="0" series="1">
      <pivotArea type="data" outline="0" fieldPosition="0">
        <references count="1">
          <reference field="4294967294" count="1" selected="0">
            <x v="0"/>
          </reference>
        </references>
      </pivotArea>
    </chartFormat>
    <chartFormat chart="1" format="1">
      <pivotArea type="data" outline="0" fieldPosition="0">
        <references count="2">
          <reference field="4294967294" count="1" selected="0">
            <x v="0"/>
          </reference>
          <reference field="1" count="1" selected="0">
            <x v="1"/>
          </reference>
        </references>
      </pivotArea>
    </chartFormat>
    <chartFormat chart="5" format="7" series="1">
      <pivotArea type="data" outline="0" fieldPosition="0">
        <references count="1">
          <reference field="4294967294" count="1" selected="0">
            <x v="0"/>
          </reference>
        </references>
      </pivotArea>
    </chartFormat>
    <chartFormat chart="5" format="8">
      <pivotArea type="data" outline="0" fieldPosition="0">
        <references count="2">
          <reference field="4294967294" count="1" selected="0">
            <x v="0"/>
          </reference>
          <reference field="1" count="1" selected="0">
            <x v="0"/>
          </reference>
        </references>
      </pivotArea>
    </chartFormat>
    <chartFormat chart="5" format="9">
      <pivotArea type="data" outline="0" fieldPosition="0">
        <references count="2">
          <reference field="4294967294" count="1" selected="0">
            <x v="0"/>
          </reference>
          <reference field="1" count="1" selected="0">
            <x v="1"/>
          </reference>
        </references>
      </pivotArea>
    </chartFormat>
    <chartFormat chart="5" format="10">
      <pivotArea type="data" outline="0" fieldPosition="0">
        <references count="2">
          <reference field="4294967294" count="1" selected="0">
            <x v="0"/>
          </reference>
          <reference field="1" count="1" selected="0">
            <x v="2"/>
          </reference>
        </references>
      </pivotArea>
    </chartFormat>
    <chartFormat chart="5" format="11">
      <pivotArea type="data" outline="0" fieldPosition="0">
        <references count="2">
          <reference field="4294967294" count="1" selected="0">
            <x v="0"/>
          </reference>
          <reference field="1" count="1" selected="0">
            <x v="3"/>
          </reference>
        </references>
      </pivotArea>
    </chartFormat>
    <chartFormat chart="1" format="2">
      <pivotArea type="data" outline="0" fieldPosition="0">
        <references count="2">
          <reference field="4294967294" count="1" selected="0">
            <x v="0"/>
          </reference>
          <reference field="1" count="1" selected="0">
            <x v="0"/>
          </reference>
        </references>
      </pivotArea>
    </chartFormat>
    <chartFormat chart="1" format="3">
      <pivotArea type="data" outline="0" fieldPosition="0">
        <references count="2">
          <reference field="4294967294" count="1" selected="0">
            <x v="0"/>
          </reference>
          <reference field="1" count="1" selected="0">
            <x v="2"/>
          </reference>
        </references>
      </pivotArea>
    </chartFormat>
    <chartFormat chart="1" format="4">
      <pivotArea type="data" outline="0" fieldPosition="0">
        <references count="2">
          <reference field="4294967294" count="1" selected="0">
            <x v="0"/>
          </reference>
          <reference field="1" count="1" selected="0">
            <x v="3"/>
          </reference>
        </references>
      </pivotArea>
    </chartFormat>
    <chartFormat chart="12" format="17" series="1">
      <pivotArea type="data" outline="0" fieldPosition="0">
        <references count="1">
          <reference field="4294967294" count="1" selected="0">
            <x v="0"/>
          </reference>
        </references>
      </pivotArea>
    </chartFormat>
    <chartFormat chart="12" format="18">
      <pivotArea type="data" outline="0" fieldPosition="0">
        <references count="2">
          <reference field="4294967294" count="1" selected="0">
            <x v="0"/>
          </reference>
          <reference field="1" count="1" selected="0">
            <x v="0"/>
          </reference>
        </references>
      </pivotArea>
    </chartFormat>
    <chartFormat chart="12" format="19">
      <pivotArea type="data" outline="0" fieldPosition="0">
        <references count="2">
          <reference field="4294967294" count="1" selected="0">
            <x v="0"/>
          </reference>
          <reference field="1" count="1" selected="0">
            <x v="1"/>
          </reference>
        </references>
      </pivotArea>
    </chartFormat>
    <chartFormat chart="12" format="20">
      <pivotArea type="data" outline="0" fieldPosition="0">
        <references count="2">
          <reference field="4294967294" count="1" selected="0">
            <x v="0"/>
          </reference>
          <reference field="1" count="1" selected="0">
            <x v="2"/>
          </reference>
        </references>
      </pivotArea>
    </chartFormat>
    <chartFormat chart="12" format="21">
      <pivotArea type="data" outline="0" fieldPosition="0">
        <references count="2">
          <reference field="4294967294" count="1" selected="0">
            <x v="0"/>
          </reference>
          <reference field="1"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B0179247-72C1-4D4E-8E14-4C9D58121897}" name="PivotTable3"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3">
  <location ref="A25:C57" firstHeaderRow="0" firstDataRow="1" firstDataCol="1"/>
  <pivotFields count="7">
    <pivotField showAll="0">
      <items count="5">
        <item x="0"/>
        <item x="1"/>
        <item x="3"/>
        <item x="2"/>
        <item t="default"/>
      </items>
    </pivotField>
    <pivotField showAll="0"/>
    <pivotField dataField="1" showAll="0"/>
    <pivotField numFmtId="165" showAll="0"/>
    <pivotField axis="axisRow" showAll="0">
      <items count="32">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t="default" sd="0"/>
      </items>
    </pivotField>
    <pivotField showAll="0"/>
    <pivotField dataField="1" numFmtId="1" showAll="0"/>
  </pivotFields>
  <rowFields count="1">
    <field x="4"/>
  </rowFields>
  <rowItems count="32">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t="grand">
      <x/>
    </i>
  </rowItems>
  <colFields count="1">
    <field x="-2"/>
  </colFields>
  <colItems count="2">
    <i>
      <x/>
    </i>
    <i i="1">
      <x v="1"/>
    </i>
  </colItems>
  <dataFields count="2">
    <dataField name="Sum of Sales Amount ($)" fld="2" baseField="0" baseItem="0"/>
    <dataField name="Sum of Transaction Amount" fld="6" baseField="0" baseItem="0" numFmtId="1"/>
  </dataFields>
  <chartFormats count="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4" format="4" series="1">
      <pivotArea type="data" outline="0" fieldPosition="0">
        <references count="1">
          <reference field="4294967294" count="1" selected="0">
            <x v="0"/>
          </reference>
        </references>
      </pivotArea>
    </chartFormat>
    <chartFormat chart="4" format="5" series="1">
      <pivotArea type="data" outline="0" fieldPosition="0">
        <references count="1">
          <reference field="4294967294" count="1" selected="0">
            <x v="1"/>
          </reference>
        </references>
      </pivotArea>
    </chartFormat>
    <chartFormat chart="9" format="8" series="1">
      <pivotArea type="data" outline="0" fieldPosition="0">
        <references count="1">
          <reference field="4294967294" count="1" selected="0">
            <x v="0"/>
          </reference>
        </references>
      </pivotArea>
    </chartFormat>
    <chartFormat chart="9" format="9"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6D303CA5-D11E-4147-ABD3-8FE82DAA05F5}" name="PivotTable2"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5">
  <location ref="A12:B17" firstHeaderRow="1" firstDataRow="1" firstDataCol="1"/>
  <pivotFields count="7">
    <pivotField showAll="0"/>
    <pivotField axis="axisRow" showAll="0">
      <items count="5">
        <item x="0"/>
        <item x="1"/>
        <item x="2"/>
        <item x="3"/>
        <item t="default"/>
      </items>
    </pivotField>
    <pivotField dataField="1" showAll="0"/>
    <pivotField numFmtId="165" showAll="0"/>
    <pivotField showAll="0"/>
    <pivotField showAll="0"/>
    <pivotField numFmtId="1" showAll="0"/>
  </pivotFields>
  <rowFields count="1">
    <field x="1"/>
  </rowFields>
  <rowItems count="5">
    <i>
      <x/>
    </i>
    <i>
      <x v="1"/>
    </i>
    <i>
      <x v="2"/>
    </i>
    <i>
      <x v="3"/>
    </i>
    <i t="grand">
      <x/>
    </i>
  </rowItems>
  <colItems count="1">
    <i/>
  </colItems>
  <dataFields count="1">
    <dataField name="Sum of Sales Amount ($)" fld="2" baseField="0" baseItem="0"/>
  </dataFields>
  <chartFormats count="15">
    <chartFormat chart="0" format="0" series="1">
      <pivotArea type="data" outline="0" fieldPosition="0">
        <references count="1">
          <reference field="4294967294" count="1" selected="0">
            <x v="0"/>
          </reference>
        </references>
      </pivotArea>
    </chartFormat>
    <chartFormat chart="8" format="6" series="1">
      <pivotArea type="data" outline="0" fieldPosition="0">
        <references count="1">
          <reference field="4294967294" count="1" selected="0">
            <x v="0"/>
          </reference>
        </references>
      </pivotArea>
    </chartFormat>
    <chartFormat chart="8" format="7">
      <pivotArea type="data" outline="0" fieldPosition="0">
        <references count="2">
          <reference field="4294967294" count="1" selected="0">
            <x v="0"/>
          </reference>
          <reference field="1" count="1" selected="0">
            <x v="0"/>
          </reference>
        </references>
      </pivotArea>
    </chartFormat>
    <chartFormat chart="8" format="8">
      <pivotArea type="data" outline="0" fieldPosition="0">
        <references count="2">
          <reference field="4294967294" count="1" selected="0">
            <x v="0"/>
          </reference>
          <reference field="1" count="1" selected="0">
            <x v="1"/>
          </reference>
        </references>
      </pivotArea>
    </chartFormat>
    <chartFormat chart="8" format="9">
      <pivotArea type="data" outline="0" fieldPosition="0">
        <references count="2">
          <reference field="4294967294" count="1" selected="0">
            <x v="0"/>
          </reference>
          <reference field="1" count="1" selected="0">
            <x v="2"/>
          </reference>
        </references>
      </pivotArea>
    </chartFormat>
    <chartFormat chart="8" format="10">
      <pivotArea type="data" outline="0" fieldPosition="0">
        <references count="2">
          <reference field="4294967294" count="1" selected="0">
            <x v="0"/>
          </reference>
          <reference field="1" count="1" selected="0">
            <x v="3"/>
          </reference>
        </references>
      </pivotArea>
    </chartFormat>
    <chartFormat chart="0" format="1">
      <pivotArea type="data" outline="0" fieldPosition="0">
        <references count="2">
          <reference field="4294967294" count="1" selected="0">
            <x v="0"/>
          </reference>
          <reference field="1" count="1" selected="0">
            <x v="0"/>
          </reference>
        </references>
      </pivotArea>
    </chartFormat>
    <chartFormat chart="0" format="2">
      <pivotArea type="data" outline="0" fieldPosition="0">
        <references count="2">
          <reference field="4294967294" count="1" selected="0">
            <x v="0"/>
          </reference>
          <reference field="1" count="1" selected="0">
            <x v="1"/>
          </reference>
        </references>
      </pivotArea>
    </chartFormat>
    <chartFormat chart="0" format="3">
      <pivotArea type="data" outline="0" fieldPosition="0">
        <references count="2">
          <reference field="4294967294" count="1" selected="0">
            <x v="0"/>
          </reference>
          <reference field="1" count="1" selected="0">
            <x v="2"/>
          </reference>
        </references>
      </pivotArea>
    </chartFormat>
    <chartFormat chart="0" format="4">
      <pivotArea type="data" outline="0" fieldPosition="0">
        <references count="2">
          <reference field="4294967294" count="1" selected="0">
            <x v="0"/>
          </reference>
          <reference field="1" count="1" selected="0">
            <x v="3"/>
          </reference>
        </references>
      </pivotArea>
    </chartFormat>
    <chartFormat chart="16" format="16" series="1">
      <pivotArea type="data" outline="0" fieldPosition="0">
        <references count="1">
          <reference field="4294967294" count="1" selected="0">
            <x v="0"/>
          </reference>
        </references>
      </pivotArea>
    </chartFormat>
    <chartFormat chart="16" format="17">
      <pivotArea type="data" outline="0" fieldPosition="0">
        <references count="2">
          <reference field="4294967294" count="1" selected="0">
            <x v="0"/>
          </reference>
          <reference field="1" count="1" selected="0">
            <x v="0"/>
          </reference>
        </references>
      </pivotArea>
    </chartFormat>
    <chartFormat chart="16" format="18">
      <pivotArea type="data" outline="0" fieldPosition="0">
        <references count="2">
          <reference field="4294967294" count="1" selected="0">
            <x v="0"/>
          </reference>
          <reference field="1" count="1" selected="0">
            <x v="1"/>
          </reference>
        </references>
      </pivotArea>
    </chartFormat>
    <chartFormat chart="16" format="19">
      <pivotArea type="data" outline="0" fieldPosition="0">
        <references count="2">
          <reference field="4294967294" count="1" selected="0">
            <x v="0"/>
          </reference>
          <reference field="1" count="1" selected="0">
            <x v="2"/>
          </reference>
        </references>
      </pivotArea>
    </chartFormat>
    <chartFormat chart="16" format="20">
      <pivotArea type="data" outline="0" fieldPosition="0">
        <references count="2">
          <reference field="4294967294" count="1" selected="0">
            <x v="0"/>
          </reference>
          <reference field="1"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D22C435E-2F77-46BF-8386-31C50D7E69A9}"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61">
  <location ref="A1:B6" firstHeaderRow="1" firstDataRow="1" firstDataCol="1"/>
  <pivotFields count="7">
    <pivotField axis="axisRow" showAll="0">
      <items count="5">
        <item x="0"/>
        <item x="1"/>
        <item x="3"/>
        <item x="2"/>
        <item t="default"/>
      </items>
    </pivotField>
    <pivotField showAll="0"/>
    <pivotField dataField="1" showAll="0"/>
    <pivotField numFmtId="165" showAll="0"/>
    <pivotField showAll="0"/>
    <pivotField showAll="0"/>
    <pivotField numFmtId="1" showAll="0"/>
  </pivotFields>
  <rowFields count="1">
    <field x="0"/>
  </rowFields>
  <rowItems count="5">
    <i>
      <x/>
    </i>
    <i>
      <x v="1"/>
    </i>
    <i>
      <x v="2"/>
    </i>
    <i>
      <x v="3"/>
    </i>
    <i t="grand">
      <x/>
    </i>
  </rowItems>
  <colItems count="1">
    <i/>
  </colItems>
  <dataFields count="1">
    <dataField name="Sum of Sales Amount ($)" fld="2" baseField="0" baseItem="0"/>
  </dataFields>
  <chartFormats count="15">
    <chartFormat chart="35" format="0" series="1">
      <pivotArea type="data" outline="0" fieldPosition="0">
        <references count="1">
          <reference field="4294967294" count="1" selected="0">
            <x v="0"/>
          </reference>
        </references>
      </pivotArea>
    </chartFormat>
    <chartFormat chart="35" format="1">
      <pivotArea type="data" outline="0" fieldPosition="0">
        <references count="2">
          <reference field="4294967294" count="1" selected="0">
            <x v="0"/>
          </reference>
          <reference field="0" count="1" selected="0">
            <x v="3"/>
          </reference>
        </references>
      </pivotArea>
    </chartFormat>
    <chartFormat chart="35" format="2">
      <pivotArea type="data" outline="0" fieldPosition="0">
        <references count="2">
          <reference field="4294967294" count="1" selected="0">
            <x v="0"/>
          </reference>
          <reference field="0" count="1" selected="0">
            <x v="0"/>
          </reference>
        </references>
      </pivotArea>
    </chartFormat>
    <chartFormat chart="35" format="3">
      <pivotArea type="data" outline="0" fieldPosition="0">
        <references count="2">
          <reference field="4294967294" count="1" selected="0">
            <x v="0"/>
          </reference>
          <reference field="0" count="1" selected="0">
            <x v="1"/>
          </reference>
        </references>
      </pivotArea>
    </chartFormat>
    <chartFormat chart="35" format="4">
      <pivotArea type="data" outline="0" fieldPosition="0">
        <references count="2">
          <reference field="4294967294" count="1" selected="0">
            <x v="0"/>
          </reference>
          <reference field="0" count="1" selected="0">
            <x v="2"/>
          </reference>
        </references>
      </pivotArea>
    </chartFormat>
    <chartFormat chart="39" format="10" series="1">
      <pivotArea type="data" outline="0" fieldPosition="0">
        <references count="1">
          <reference field="4294967294" count="1" selected="0">
            <x v="0"/>
          </reference>
        </references>
      </pivotArea>
    </chartFormat>
    <chartFormat chart="39" format="11">
      <pivotArea type="data" outline="0" fieldPosition="0">
        <references count="2">
          <reference field="4294967294" count="1" selected="0">
            <x v="0"/>
          </reference>
          <reference field="0" count="1" selected="0">
            <x v="0"/>
          </reference>
        </references>
      </pivotArea>
    </chartFormat>
    <chartFormat chart="39" format="12">
      <pivotArea type="data" outline="0" fieldPosition="0">
        <references count="2">
          <reference field="4294967294" count="1" selected="0">
            <x v="0"/>
          </reference>
          <reference field="0" count="1" selected="0">
            <x v="1"/>
          </reference>
        </references>
      </pivotArea>
    </chartFormat>
    <chartFormat chart="39" format="13">
      <pivotArea type="data" outline="0" fieldPosition="0">
        <references count="2">
          <reference field="4294967294" count="1" selected="0">
            <x v="0"/>
          </reference>
          <reference field="0" count="1" selected="0">
            <x v="2"/>
          </reference>
        </references>
      </pivotArea>
    </chartFormat>
    <chartFormat chart="39" format="14">
      <pivotArea type="data" outline="0" fieldPosition="0">
        <references count="2">
          <reference field="4294967294" count="1" selected="0">
            <x v="0"/>
          </reference>
          <reference field="0" count="1" selected="0">
            <x v="3"/>
          </reference>
        </references>
      </pivotArea>
    </chartFormat>
    <chartFormat chart="42" format="20" series="1">
      <pivotArea type="data" outline="0" fieldPosition="0">
        <references count="1">
          <reference field="4294967294" count="1" selected="0">
            <x v="0"/>
          </reference>
        </references>
      </pivotArea>
    </chartFormat>
    <chartFormat chart="42" format="21">
      <pivotArea type="data" outline="0" fieldPosition="0">
        <references count="2">
          <reference field="4294967294" count="1" selected="0">
            <x v="0"/>
          </reference>
          <reference field="0" count="1" selected="0">
            <x v="0"/>
          </reference>
        </references>
      </pivotArea>
    </chartFormat>
    <chartFormat chart="42" format="22">
      <pivotArea type="data" outline="0" fieldPosition="0">
        <references count="2">
          <reference field="4294967294" count="1" selected="0">
            <x v="0"/>
          </reference>
          <reference field="0" count="1" selected="0">
            <x v="1"/>
          </reference>
        </references>
      </pivotArea>
    </chartFormat>
    <chartFormat chart="42" format="23">
      <pivotArea type="data" outline="0" fieldPosition="0">
        <references count="2">
          <reference field="4294967294" count="1" selected="0">
            <x v="0"/>
          </reference>
          <reference field="0" count="1" selected="0">
            <x v="2"/>
          </reference>
        </references>
      </pivotArea>
    </chartFormat>
    <chartFormat chart="42" format="24">
      <pivotArea type="data" outline="0" fieldPosition="0">
        <references count="2">
          <reference field="4294967294" count="1" selected="0">
            <x v="0"/>
          </reference>
          <reference field="0"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85E0D346-1CB2-4854-B1A2-7896A9F02A6C}"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2:B7" firstHeaderRow="1" firstDataRow="1" firstDataCol="1"/>
  <pivotFields count="7">
    <pivotField axis="axisRow" showAll="0">
      <items count="5">
        <item x="0"/>
        <item x="1"/>
        <item x="3"/>
        <item x="2"/>
        <item t="default"/>
      </items>
    </pivotField>
    <pivotField showAll="0"/>
    <pivotField showAll="0"/>
    <pivotField numFmtId="165" showAll="0"/>
    <pivotField showAll="0"/>
    <pivotField showAll="0"/>
    <pivotField dataField="1" numFmtId="1" showAll="0"/>
  </pivotFields>
  <rowFields count="1">
    <field x="0"/>
  </rowFields>
  <rowItems count="5">
    <i>
      <x/>
    </i>
    <i>
      <x v="1"/>
    </i>
    <i>
      <x v="2"/>
    </i>
    <i>
      <x v="3"/>
    </i>
    <i t="grand">
      <x/>
    </i>
  </rowItems>
  <colItems count="1">
    <i/>
  </colItems>
  <dataFields count="1">
    <dataField name="Sum of Transaction Amount" fld="6"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EE9843E3-EC73-483B-859C-BF486FFD3CB3}" name="PivotTable9"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82">
  <location ref="A15:C20" firstHeaderRow="0" firstDataRow="1" firstDataCol="1"/>
  <pivotFields count="7">
    <pivotField axis="axisRow" showAll="0">
      <items count="5">
        <item x="0"/>
        <item x="1"/>
        <item x="3"/>
        <item x="2"/>
        <item t="default"/>
      </items>
    </pivotField>
    <pivotField showAll="0"/>
    <pivotField dataField="1" showAll="0"/>
    <pivotField numFmtId="165" showAll="0"/>
    <pivotField showAll="0"/>
    <pivotField showAll="0"/>
    <pivotField dataField="1" numFmtId="1" showAll="0"/>
  </pivotFields>
  <rowFields count="1">
    <field x="0"/>
  </rowFields>
  <rowItems count="5">
    <i>
      <x/>
    </i>
    <i>
      <x v="1"/>
    </i>
    <i>
      <x v="2"/>
    </i>
    <i>
      <x v="3"/>
    </i>
    <i t="grand">
      <x/>
    </i>
  </rowItems>
  <colFields count="1">
    <field x="-2"/>
  </colFields>
  <colItems count="2">
    <i>
      <x/>
    </i>
    <i i="1">
      <x v="1"/>
    </i>
  </colItems>
  <dataFields count="2">
    <dataField name="Sum of Transaction Amount" fld="6" showDataAs="percentOfTotal" baseField="0" baseItem="0" numFmtId="10"/>
    <dataField name="Sum of Sales Amount ($)" fld="2" showDataAs="percentOfTotal" baseField="0" baseItem="0" numFmtId="10"/>
  </dataFields>
  <chartFormats count="14">
    <chartFormat chart="8" format="2" series="1">
      <pivotArea type="data" outline="0" fieldPosition="0">
        <references count="1">
          <reference field="4294967294" count="1" selected="0">
            <x v="0"/>
          </reference>
        </references>
      </pivotArea>
    </chartFormat>
    <chartFormat chart="1" format="5" series="1">
      <pivotArea type="data" outline="0" fieldPosition="0">
        <references count="1">
          <reference field="4294967294" count="1" selected="0">
            <x v="0"/>
          </reference>
        </references>
      </pivotArea>
    </chartFormat>
    <chartFormat chart="10" format="0" series="1">
      <pivotArea type="data" outline="0" fieldPosition="0">
        <references count="1">
          <reference field="4294967294" count="1" selected="0">
            <x v="0"/>
          </reference>
        </references>
      </pivotArea>
    </chartFormat>
    <chartFormat chart="10" format="1" series="1">
      <pivotArea type="data" outline="0" fieldPosition="0">
        <references count="1">
          <reference field="4294967294" count="1" selected="0">
            <x v="1"/>
          </reference>
        </references>
      </pivotArea>
    </chartFormat>
    <chartFormat chart="8" format="3" series="1">
      <pivotArea type="data" outline="0" fieldPosition="0">
        <references count="1">
          <reference field="4294967294" count="1" selected="0">
            <x v="1"/>
          </reference>
        </references>
      </pivotArea>
    </chartFormat>
    <chartFormat chart="1" format="6" series="1">
      <pivotArea type="data" outline="0" fieldPosition="0">
        <references count="1">
          <reference field="4294967294" count="1" selected="0">
            <x v="1"/>
          </reference>
        </references>
      </pivotArea>
    </chartFormat>
    <chartFormat chart="30" format="4" series="1">
      <pivotArea type="data" outline="0" fieldPosition="0">
        <references count="1">
          <reference field="4294967294" count="1" selected="0">
            <x v="0"/>
          </reference>
        </references>
      </pivotArea>
    </chartFormat>
    <chartFormat chart="30" format="5" series="1">
      <pivotArea type="data" outline="0" fieldPosition="0">
        <references count="1">
          <reference field="4294967294" count="1" selected="0">
            <x v="1"/>
          </reference>
        </references>
      </pivotArea>
    </chartFormat>
    <chartFormat chart="30" format="6">
      <pivotArea type="data" outline="0" fieldPosition="0">
        <references count="2">
          <reference field="4294967294" count="1" selected="0">
            <x v="0"/>
          </reference>
          <reference field="0" count="1" selected="0">
            <x v="2"/>
          </reference>
        </references>
      </pivotArea>
    </chartFormat>
    <chartFormat chart="30" format="7">
      <pivotArea type="data" outline="0" fieldPosition="0">
        <references count="2">
          <reference field="4294967294" count="1" selected="0">
            <x v="1"/>
          </reference>
          <reference field="0" count="1" selected="0">
            <x v="2"/>
          </reference>
        </references>
      </pivotArea>
    </chartFormat>
    <chartFormat chart="36" format="12" series="1">
      <pivotArea type="data" outline="0" fieldPosition="0">
        <references count="1">
          <reference field="4294967294" count="1" selected="0">
            <x v="0"/>
          </reference>
        </references>
      </pivotArea>
    </chartFormat>
    <chartFormat chart="36" format="13">
      <pivotArea type="data" outline="0" fieldPosition="0">
        <references count="2">
          <reference field="4294967294" count="1" selected="0">
            <x v="0"/>
          </reference>
          <reference field="0" count="1" selected="0">
            <x v="2"/>
          </reference>
        </references>
      </pivotArea>
    </chartFormat>
    <chartFormat chart="36" format="14" series="1">
      <pivotArea type="data" outline="0" fieldPosition="0">
        <references count="1">
          <reference field="4294967294" count="1" selected="0">
            <x v="1"/>
          </reference>
        </references>
      </pivotArea>
    </chartFormat>
    <chartFormat chart="36" format="15">
      <pivotArea type="data" outline="0" fieldPosition="0">
        <references count="2">
          <reference field="4294967294" count="1" selected="0">
            <x v="1"/>
          </reference>
          <reference field="0"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duct" xr10:uid="{1414441C-7225-44FD-9CF4-275DE82E4CE2}" sourceName="Product">
  <pivotTables>
    <pivotTable tabId="17" name="PivotTable3"/>
  </pivotTables>
  <data>
    <tabular pivotCacheId="860445204">
      <items count="4">
        <i x="0" s="1"/>
        <i x="1" s="1"/>
        <i x="3" s="1"/>
        <i x="2"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duct1" xr10:uid="{BA6B8BD4-235B-4ED3-BE40-CA911203EBB8}" sourceName="Product">
  <pivotTables>
    <pivotTable tabId="17" name="PivotTable8"/>
  </pivotTables>
  <data>
    <tabular pivotCacheId="860445204">
      <items count="4">
        <i x="0"/>
        <i x="1"/>
        <i x="3" s="1"/>
        <i x="2"/>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roduct" xr10:uid="{341FC840-174B-4E96-9EF9-B8F80331302A}" cache="Slicer_Product" caption="Product" rowHeight="234950"/>
  <slicer name="Product 1" xr10:uid="{23111206-CC1D-4167-9BEA-3A5C02C33D8F}" cache="Slicer_Product1" caption="Product"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F28A51BC-05E8-42EA-BBF6-AC5366780FB3}" name="tbl_data" displayName="tbl_data" ref="A3:G499" totalsRowShown="0" headerRowDxfId="8" tableBorderDxfId="7">
  <autoFilter ref="A3:G499" xr:uid="{00000000-0001-0000-0200-000000000000}"/>
  <tableColumns count="7">
    <tableColumn id="1" xr3:uid="{B2A2E672-EF9A-4B19-837C-F63DA39C5437}" name="Product" dataDxfId="6"/>
    <tableColumn id="2" xr3:uid="{59654BD0-9097-4446-9197-26D58BACAF5F}" name="Sales Person" dataDxfId="5"/>
    <tableColumn id="3" xr3:uid="{210E25DA-0FEB-43E9-8768-0A8C19A2CB77}" name="Sales Amount ($)" dataDxfId="4"/>
    <tableColumn id="4" xr3:uid="{BB97AEC6-C1B4-44D8-98ED-01797986F786}" name="Date" dataDxfId="3"/>
    <tableColumn id="5" xr3:uid="{149962F4-C02E-481E-BA61-5B9F47BB952B}" name="Day" dataDxfId="2">
      <calculatedColumnFormula>DAY(D4)</calculatedColumnFormula>
    </tableColumn>
    <tableColumn id="6" xr3:uid="{9663F36A-0DE7-4B01-BC5C-65398567596D}" name="If Sales Amount &gt; 0" dataDxfId="1">
      <calculatedColumnFormula>IF(C4=0,0,1)</calculatedColumnFormula>
    </tableColumn>
    <tableColumn id="7" xr3:uid="{96FDE015-796B-464C-B046-FC5E8F047500}" name="Transaction Amount" dataDxfId="0"/>
  </tableColumns>
  <tableStyleInfo name="TableStyleLight8"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image" Target="../media/image1.emf"/></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1.xml"/></Relationships>
</file>

<file path=xl/worksheets/_rels/sheet5.xml.rels><?xml version="1.0" encoding="UTF-8" standalone="yes"?>
<Relationships xmlns="http://schemas.openxmlformats.org/package/2006/relationships"><Relationship Id="rId8" Type="http://schemas.microsoft.com/office/2007/relationships/slicer" Target="../slicers/slicer1.xml"/><Relationship Id="rId3" Type="http://schemas.openxmlformats.org/officeDocument/2006/relationships/pivotTable" Target="../pivotTables/pivotTable3.xml"/><Relationship Id="rId7" Type="http://schemas.openxmlformats.org/officeDocument/2006/relationships/drawing" Target="../drawings/drawing3.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ivotTable" Target="../pivotTables/pivotTable8.xml"/><Relationship Id="rId1" Type="http://schemas.openxmlformats.org/officeDocument/2006/relationships/pivotTable" Target="../pivotTables/pivotTable7.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FD67FD-0D1A-4815-B82D-92FEA15BB7CB}">
  <sheetPr codeName="Sheet1"/>
  <dimension ref="A1:R68"/>
  <sheetViews>
    <sheetView showGridLines="0" topLeftCell="A46" zoomScale="85" zoomScaleNormal="85" workbookViewId="0">
      <selection activeCell="U45" sqref="U45"/>
    </sheetView>
  </sheetViews>
  <sheetFormatPr defaultRowHeight="14.4"/>
  <cols>
    <col min="1" max="1" width="4.44140625" customWidth="1"/>
    <col min="9" max="9" width="1.77734375" customWidth="1"/>
    <col min="11" max="13" width="8.88671875" customWidth="1"/>
    <col min="15" max="15" width="8.88671875" customWidth="1"/>
    <col min="17" max="17" width="4.44140625" customWidth="1"/>
  </cols>
  <sheetData>
    <row r="1" spans="1:17">
      <c r="A1" s="24"/>
      <c r="B1" s="24"/>
      <c r="C1" s="24"/>
      <c r="D1" s="24"/>
      <c r="E1" s="24"/>
      <c r="F1" s="24"/>
      <c r="G1" s="24"/>
      <c r="H1" s="24"/>
      <c r="I1" s="24"/>
      <c r="J1" s="24"/>
      <c r="K1" s="24"/>
      <c r="L1" s="24"/>
      <c r="M1" s="24"/>
      <c r="N1" s="24"/>
      <c r="O1" s="24"/>
      <c r="P1" s="24"/>
      <c r="Q1" s="24"/>
    </row>
    <row r="2" spans="1:17">
      <c r="A2" s="24"/>
      <c r="B2" s="24"/>
      <c r="C2" s="24"/>
      <c r="D2" s="24"/>
      <c r="E2" s="24"/>
      <c r="F2" s="24"/>
      <c r="G2" s="24"/>
      <c r="H2" s="24"/>
      <c r="I2" s="24"/>
      <c r="J2" s="24"/>
      <c r="K2" s="24"/>
      <c r="L2" s="24"/>
      <c r="M2" s="24"/>
      <c r="N2" s="24"/>
      <c r="O2" s="24"/>
      <c r="P2" s="24"/>
      <c r="Q2" s="24"/>
    </row>
    <row r="3" spans="1:17">
      <c r="A3" s="24"/>
      <c r="B3" s="24"/>
      <c r="C3" s="24"/>
      <c r="D3" s="24"/>
      <c r="E3" s="24"/>
      <c r="F3" s="24"/>
      <c r="G3" s="24"/>
      <c r="H3" s="24"/>
      <c r="I3" s="24"/>
      <c r="J3" s="24"/>
      <c r="K3" s="24"/>
      <c r="L3" s="24"/>
      <c r="M3" s="24"/>
      <c r="N3" s="24"/>
      <c r="O3" s="24"/>
      <c r="P3" s="24"/>
      <c r="Q3" s="24"/>
    </row>
    <row r="4" spans="1:17">
      <c r="A4" s="24"/>
      <c r="B4" s="25"/>
      <c r="C4" s="25"/>
      <c r="D4" s="25"/>
      <c r="E4" s="25"/>
      <c r="F4" s="25"/>
      <c r="G4" s="25"/>
      <c r="H4" s="25"/>
      <c r="I4" s="25"/>
      <c r="J4" s="25"/>
      <c r="K4" s="25"/>
      <c r="L4" s="25"/>
      <c r="M4" s="25"/>
      <c r="N4" s="25"/>
      <c r="O4" s="25"/>
      <c r="P4" s="25"/>
      <c r="Q4" s="24"/>
    </row>
    <row r="5" spans="1:17">
      <c r="A5" s="24"/>
      <c r="B5" s="25"/>
      <c r="C5" s="25"/>
      <c r="D5" s="25"/>
      <c r="E5" s="25"/>
      <c r="F5" s="25"/>
      <c r="G5" s="25"/>
      <c r="H5" s="25"/>
      <c r="I5" s="25"/>
      <c r="J5" s="25"/>
      <c r="K5" s="25"/>
      <c r="L5" s="25"/>
      <c r="M5" s="25"/>
      <c r="N5" s="25"/>
      <c r="O5" s="25"/>
      <c r="P5" s="25"/>
      <c r="Q5" s="24"/>
    </row>
    <row r="6" spans="1:17">
      <c r="A6" s="24"/>
      <c r="B6" s="25"/>
      <c r="C6" s="25"/>
      <c r="D6" s="25"/>
      <c r="E6" s="25"/>
      <c r="F6" s="25"/>
      <c r="G6" s="25"/>
      <c r="H6" s="25"/>
      <c r="I6" s="25"/>
      <c r="J6" s="25"/>
      <c r="K6" s="25"/>
      <c r="L6" s="25"/>
      <c r="M6" s="25"/>
      <c r="N6" s="25"/>
      <c r="O6" s="25"/>
      <c r="P6" s="25"/>
      <c r="Q6" s="24"/>
    </row>
    <row r="7" spans="1:17">
      <c r="A7" s="24"/>
      <c r="B7" s="25"/>
      <c r="C7" s="25"/>
      <c r="D7" s="25"/>
      <c r="E7" s="25"/>
      <c r="F7" s="25"/>
      <c r="G7" s="25"/>
      <c r="H7" s="25"/>
      <c r="I7" s="25"/>
      <c r="J7" s="25"/>
      <c r="K7" s="25"/>
      <c r="L7" s="25"/>
      <c r="M7" s="25"/>
      <c r="N7" s="25"/>
      <c r="O7" s="25"/>
      <c r="P7" s="25"/>
      <c r="Q7" s="24"/>
    </row>
    <row r="8" spans="1:17">
      <c r="A8" s="24"/>
      <c r="B8" s="25"/>
      <c r="C8" s="25"/>
      <c r="D8" s="25"/>
      <c r="E8" s="25"/>
      <c r="F8" s="25"/>
      <c r="G8" s="25"/>
      <c r="H8" s="25"/>
      <c r="I8" s="25"/>
      <c r="J8" s="25"/>
      <c r="K8" s="25"/>
      <c r="L8" s="25"/>
      <c r="M8" s="25"/>
      <c r="N8" s="25"/>
      <c r="O8" s="25"/>
      <c r="P8" s="25"/>
      <c r="Q8" s="24"/>
    </row>
    <row r="9" spans="1:17">
      <c r="A9" s="24"/>
      <c r="B9" s="25"/>
      <c r="C9" s="25"/>
      <c r="D9" s="25"/>
      <c r="E9" s="25"/>
      <c r="F9" s="25"/>
      <c r="G9" s="25"/>
      <c r="H9" s="25"/>
      <c r="I9" s="25"/>
      <c r="J9" s="25"/>
      <c r="K9" s="25"/>
      <c r="L9" s="25"/>
      <c r="M9" s="25"/>
      <c r="N9" s="25"/>
      <c r="O9" s="25"/>
      <c r="P9" s="25"/>
      <c r="Q9" s="24"/>
    </row>
    <row r="10" spans="1:17">
      <c r="A10" s="24"/>
      <c r="B10" s="25"/>
      <c r="C10" s="25"/>
      <c r="D10" s="25"/>
      <c r="E10" s="25"/>
      <c r="F10" s="25"/>
      <c r="G10" s="25"/>
      <c r="H10" s="25"/>
      <c r="I10" s="25"/>
      <c r="J10" s="25"/>
      <c r="K10" s="25"/>
      <c r="L10" s="25"/>
      <c r="M10" s="25"/>
      <c r="N10" s="25"/>
      <c r="O10" s="25"/>
      <c r="P10" s="25"/>
      <c r="Q10" s="24"/>
    </row>
    <row r="11" spans="1:17">
      <c r="A11" s="24"/>
      <c r="B11" s="25"/>
      <c r="C11" s="25"/>
      <c r="D11" s="25"/>
      <c r="E11" s="25"/>
      <c r="F11" s="25"/>
      <c r="G11" s="25"/>
      <c r="H11" s="25"/>
      <c r="I11" s="25"/>
      <c r="J11" s="25"/>
      <c r="K11" s="25"/>
      <c r="L11" s="25"/>
      <c r="M11" s="25"/>
      <c r="N11" s="25"/>
      <c r="O11" s="25"/>
      <c r="P11" s="25"/>
      <c r="Q11" s="24"/>
    </row>
    <row r="12" spans="1:17">
      <c r="A12" s="24"/>
      <c r="B12" s="25"/>
      <c r="C12" s="25"/>
      <c r="D12" s="25"/>
      <c r="E12" s="25"/>
      <c r="F12" s="25"/>
      <c r="G12" s="25"/>
      <c r="H12" s="25"/>
      <c r="I12" s="25"/>
      <c r="J12" s="25"/>
      <c r="K12" s="25"/>
      <c r="L12" s="25"/>
      <c r="M12" s="25"/>
      <c r="N12" s="25"/>
      <c r="O12" s="25"/>
      <c r="P12" s="25"/>
      <c r="Q12" s="24"/>
    </row>
    <row r="13" spans="1:17" ht="10.050000000000001" customHeight="1">
      <c r="A13" s="24"/>
      <c r="B13" s="25"/>
      <c r="C13" s="25"/>
      <c r="D13" s="25"/>
      <c r="E13" s="25"/>
      <c r="F13" s="25"/>
      <c r="G13" s="25"/>
      <c r="H13" s="25"/>
      <c r="I13" s="25"/>
      <c r="J13" s="25"/>
      <c r="K13" s="25"/>
      <c r="L13" s="25"/>
      <c r="M13" s="25"/>
      <c r="N13" s="25"/>
      <c r="O13" s="25"/>
      <c r="P13" s="25"/>
      <c r="Q13" s="24"/>
    </row>
    <row r="14" spans="1:17">
      <c r="A14" s="24"/>
      <c r="B14" s="25"/>
      <c r="C14" s="25"/>
      <c r="D14" s="25"/>
      <c r="E14" s="25"/>
      <c r="F14" s="25"/>
      <c r="G14" s="25"/>
      <c r="H14" s="25"/>
      <c r="I14" s="25"/>
      <c r="J14" s="25"/>
      <c r="K14" s="25"/>
      <c r="L14" s="25"/>
      <c r="M14" s="25"/>
      <c r="N14" s="25"/>
      <c r="O14" s="25"/>
      <c r="P14" s="25"/>
      <c r="Q14" s="24"/>
    </row>
    <row r="15" spans="1:17">
      <c r="A15" s="24"/>
      <c r="B15" s="25"/>
      <c r="C15" s="27"/>
      <c r="D15" s="25"/>
      <c r="E15" s="25"/>
      <c r="F15" s="25"/>
      <c r="G15" s="25"/>
      <c r="H15" s="25"/>
      <c r="I15" s="25"/>
      <c r="J15" s="25"/>
      <c r="K15" s="25"/>
      <c r="L15" s="25"/>
      <c r="M15" s="25"/>
      <c r="N15" s="25"/>
      <c r="O15" s="25"/>
      <c r="P15" s="25"/>
      <c r="Q15" s="24"/>
    </row>
    <row r="16" spans="1:17" ht="10.050000000000001" customHeight="1">
      <c r="A16" s="24"/>
      <c r="B16" s="24"/>
      <c r="C16" s="24"/>
      <c r="D16" s="24"/>
      <c r="E16" s="24"/>
      <c r="F16" s="24"/>
      <c r="G16" s="24"/>
      <c r="H16" s="24"/>
      <c r="I16" s="24"/>
      <c r="J16" s="24"/>
      <c r="K16" s="24"/>
      <c r="L16" s="24"/>
      <c r="M16" s="24"/>
      <c r="N16" s="24"/>
      <c r="O16" s="24"/>
      <c r="P16" s="24"/>
      <c r="Q16" s="24"/>
    </row>
    <row r="17" spans="1:18" ht="15.6">
      <c r="A17" s="24"/>
      <c r="B17" s="27" t="s">
        <v>550</v>
      </c>
      <c r="C17" s="25"/>
      <c r="D17" s="25"/>
      <c r="E17" s="25"/>
      <c r="F17" s="25"/>
      <c r="G17" s="25"/>
      <c r="H17" s="25"/>
      <c r="I17" s="24"/>
      <c r="J17" s="25"/>
      <c r="K17" s="25"/>
      <c r="L17" s="25"/>
      <c r="M17" s="25"/>
      <c r="N17" s="25"/>
      <c r="O17" s="25"/>
      <c r="P17" s="25"/>
      <c r="Q17" s="24"/>
    </row>
    <row r="18" spans="1:18" ht="15.6" customHeight="1">
      <c r="A18" s="24"/>
      <c r="B18" s="27" t="s">
        <v>545</v>
      </c>
      <c r="C18" s="25"/>
      <c r="D18" s="58" t="s">
        <v>520</v>
      </c>
      <c r="E18" s="25"/>
      <c r="F18" s="25"/>
      <c r="G18" s="27"/>
      <c r="H18" s="70" t="s">
        <v>525</v>
      </c>
      <c r="I18" s="73" t="s">
        <v>551</v>
      </c>
      <c r="J18" s="71">
        <f>Pivot_3!A2</f>
        <v>1</v>
      </c>
      <c r="K18" s="71"/>
      <c r="L18" s="72" t="s">
        <v>543</v>
      </c>
      <c r="M18" s="72"/>
      <c r="N18" s="72"/>
      <c r="O18" s="72"/>
      <c r="P18" s="27"/>
      <c r="Q18" s="46"/>
      <c r="R18" s="47"/>
    </row>
    <row r="19" spans="1:18" ht="14.4" customHeight="1">
      <c r="A19" s="24"/>
      <c r="B19" s="25"/>
      <c r="C19" s="25"/>
      <c r="D19" s="25"/>
      <c r="E19" s="25"/>
      <c r="F19" s="25"/>
      <c r="G19" s="25"/>
      <c r="H19" s="70"/>
      <c r="I19" s="73"/>
      <c r="J19" s="71"/>
      <c r="K19" s="71"/>
      <c r="L19" s="54" t="str">
        <f>Pivot_3!B2</f>
        <v>Books</v>
      </c>
      <c r="M19" s="54" t="str">
        <f>Pivot_3!C2</f>
        <v>Clothing</v>
      </c>
      <c r="N19" s="54" t="str">
        <f>Pivot_3!D2</f>
        <v>Games</v>
      </c>
      <c r="O19" s="54" t="str">
        <f>Pivot_3!E2</f>
        <v>Music</v>
      </c>
      <c r="P19" s="51"/>
      <c r="Q19" s="43"/>
      <c r="R19" s="48"/>
    </row>
    <row r="20" spans="1:18">
      <c r="A20" s="24"/>
      <c r="B20" s="25"/>
      <c r="C20" s="25"/>
      <c r="D20" s="25"/>
      <c r="E20" s="25"/>
      <c r="F20" s="25"/>
      <c r="G20" s="25"/>
      <c r="H20" s="25"/>
      <c r="I20" s="24"/>
      <c r="J20" s="27"/>
      <c r="K20" s="55" t="str">
        <f>Pivot_3!A3</f>
        <v>Alice</v>
      </c>
      <c r="L20" s="56">
        <f>Pivot_3!B3</f>
        <v>62.1875</v>
      </c>
      <c r="M20" s="56">
        <f>Pivot_3!C3</f>
        <v>0</v>
      </c>
      <c r="N20" s="56">
        <f>Pivot_3!D3</f>
        <v>63.666666666666664</v>
      </c>
      <c r="O20" s="56">
        <f>Pivot_3!E3</f>
        <v>0</v>
      </c>
      <c r="P20" s="52"/>
      <c r="Q20" s="44"/>
      <c r="R20" s="49"/>
    </row>
    <row r="21" spans="1:18">
      <c r="A21" s="24"/>
      <c r="B21" s="25"/>
      <c r="C21" s="25"/>
      <c r="D21" s="25"/>
      <c r="E21" s="25"/>
      <c r="F21" s="25"/>
      <c r="G21" s="25"/>
      <c r="H21" s="25"/>
      <c r="I21" s="24"/>
      <c r="J21" s="27"/>
      <c r="K21" s="55" t="str">
        <f>Pivot_3!A4</f>
        <v>Barney</v>
      </c>
      <c r="L21" s="56">
        <f>Pivot_3!B4</f>
        <v>55.77235772357723</v>
      </c>
      <c r="M21" s="56">
        <f>Pivot_3!C4</f>
        <v>24.646464646464647</v>
      </c>
      <c r="N21" s="56">
        <f>Pivot_3!D4</f>
        <v>32.46153846153846</v>
      </c>
      <c r="O21" s="56">
        <f>Pivot_3!E4</f>
        <v>267.78947368421052</v>
      </c>
      <c r="P21" s="52"/>
      <c r="Q21" s="44"/>
      <c r="R21" s="49"/>
    </row>
    <row r="22" spans="1:18">
      <c r="A22" s="24"/>
      <c r="B22" s="25"/>
      <c r="C22" s="25"/>
      <c r="D22" s="25"/>
      <c r="E22" s="25"/>
      <c r="F22" s="25"/>
      <c r="G22" s="25"/>
      <c r="H22" s="25"/>
      <c r="I22" s="24"/>
      <c r="J22" s="27"/>
      <c r="K22" s="55" t="str">
        <f>Pivot_3!A5</f>
        <v>Carol</v>
      </c>
      <c r="L22" s="56">
        <f>Pivot_3!B5</f>
        <v>46.206896551724135</v>
      </c>
      <c r="M22" s="56">
        <f>Pivot_3!C5</f>
        <v>41.166666666666664</v>
      </c>
      <c r="N22" s="56">
        <f>Pivot_3!D5</f>
        <v>53.74074074074074</v>
      </c>
      <c r="O22" s="56">
        <f>Pivot_3!E5</f>
        <v>156.86956521739131</v>
      </c>
      <c r="P22" s="52"/>
      <c r="Q22" s="44"/>
      <c r="R22" s="49"/>
    </row>
    <row r="23" spans="1:18">
      <c r="A23" s="24"/>
      <c r="B23" s="25"/>
      <c r="C23" s="25"/>
      <c r="D23" s="25"/>
      <c r="E23" s="25"/>
      <c r="F23" s="25"/>
      <c r="G23" s="25"/>
      <c r="H23" s="25"/>
      <c r="I23" s="24"/>
      <c r="J23" s="27"/>
      <c r="K23" s="55" t="str">
        <f>Pivot_3!A6</f>
        <v>David</v>
      </c>
      <c r="L23" s="56">
        <f>Pivot_3!B6</f>
        <v>0</v>
      </c>
      <c r="M23" s="56">
        <f>Pivot_3!C6</f>
        <v>16.137566137566139</v>
      </c>
      <c r="N23" s="56">
        <f>Pivot_3!D6</f>
        <v>47.631578947368418</v>
      </c>
      <c r="O23" s="56">
        <f>Pivot_3!E6</f>
        <v>205.29411764705887</v>
      </c>
      <c r="P23" s="52"/>
      <c r="Q23" s="44"/>
      <c r="R23" s="49"/>
    </row>
    <row r="24" spans="1:18" ht="15.6">
      <c r="A24" s="24"/>
      <c r="B24" s="25"/>
      <c r="C24" s="25"/>
      <c r="D24" s="25"/>
      <c r="E24" s="25"/>
      <c r="F24" s="25"/>
      <c r="G24" s="25"/>
      <c r="H24" s="25"/>
      <c r="I24" s="24"/>
      <c r="J24" s="27"/>
      <c r="K24" s="54" t="str">
        <f>Pivot_3!A7</f>
        <v>Total</v>
      </c>
      <c r="L24" s="53">
        <f>Pivot_3!B7</f>
        <v>164.16675427530137</v>
      </c>
      <c r="M24" s="53">
        <f>Pivot_3!C7</f>
        <v>81.950697450697447</v>
      </c>
      <c r="N24" s="53">
        <f>Pivot_3!D7</f>
        <v>197.50052481631428</v>
      </c>
      <c r="O24" s="53">
        <f>Pivot_3!E7</f>
        <v>629.95315654866067</v>
      </c>
      <c r="P24" s="53"/>
      <c r="Q24" s="45"/>
      <c r="R24" s="50"/>
    </row>
    <row r="25" spans="1:18" ht="14.4" customHeight="1">
      <c r="A25" s="24"/>
      <c r="B25" s="25"/>
      <c r="C25" s="25"/>
      <c r="D25" s="25"/>
      <c r="E25" s="25"/>
      <c r="F25" s="25"/>
      <c r="G25" s="25"/>
      <c r="H25" s="25"/>
      <c r="I25" s="24"/>
      <c r="J25" s="25"/>
      <c r="K25" s="25"/>
      <c r="L25" s="25"/>
      <c r="M25" s="25"/>
      <c r="N25" s="25"/>
      <c r="O25" s="25"/>
      <c r="P25" s="25"/>
      <c r="Q25" s="24"/>
    </row>
    <row r="26" spans="1:18" ht="14.4" customHeight="1">
      <c r="A26" s="24"/>
      <c r="B26" s="25"/>
      <c r="C26" s="25"/>
      <c r="D26" s="25"/>
      <c r="E26" s="25"/>
      <c r="F26" s="25"/>
      <c r="G26" s="25"/>
      <c r="H26" s="25"/>
      <c r="I26" s="24"/>
      <c r="J26" s="25"/>
      <c r="K26" s="25"/>
      <c r="L26" s="25"/>
      <c r="M26" s="25"/>
      <c r="N26" s="25"/>
      <c r="O26" s="25"/>
      <c r="P26" s="25"/>
      <c r="Q26" s="24"/>
    </row>
    <row r="27" spans="1:18" ht="14.4" customHeight="1">
      <c r="A27" s="24"/>
      <c r="B27" s="25"/>
      <c r="C27" s="25"/>
      <c r="D27" s="25"/>
      <c r="E27" s="25"/>
      <c r="F27" s="25"/>
      <c r="G27" s="25"/>
      <c r="H27" s="25"/>
      <c r="I27" s="24"/>
      <c r="J27" s="25"/>
      <c r="K27" s="25"/>
      <c r="L27" s="25"/>
      <c r="M27" s="25"/>
      <c r="N27" s="25"/>
      <c r="O27" s="25"/>
      <c r="P27" s="25"/>
      <c r="Q27" s="24"/>
    </row>
    <row r="28" spans="1:18" ht="14.4" customHeight="1">
      <c r="A28" s="24"/>
      <c r="B28" s="25"/>
      <c r="C28" s="25"/>
      <c r="D28" s="25"/>
      <c r="E28" s="25"/>
      <c r="F28" s="25"/>
      <c r="G28" s="25"/>
      <c r="H28" s="25"/>
      <c r="I28" s="24"/>
      <c r="J28" s="25"/>
      <c r="K28" s="25"/>
      <c r="L28" s="25"/>
      <c r="M28" s="25"/>
      <c r="N28" s="25"/>
      <c r="O28" s="25"/>
      <c r="P28" s="25"/>
      <c r="Q28" s="24"/>
    </row>
    <row r="29" spans="1:18" ht="10.050000000000001" customHeight="1">
      <c r="A29" s="24"/>
      <c r="B29" s="24"/>
      <c r="C29" s="24"/>
      <c r="D29" s="24"/>
      <c r="E29" s="24"/>
      <c r="F29" s="24"/>
      <c r="G29" s="24"/>
      <c r="H29" s="24"/>
      <c r="I29" s="24"/>
      <c r="J29" s="24"/>
      <c r="K29" s="24"/>
      <c r="L29" s="24"/>
      <c r="M29" s="24"/>
      <c r="N29" s="24"/>
      <c r="O29" s="24"/>
      <c r="P29" s="24"/>
      <c r="Q29" s="24"/>
    </row>
    <row r="30" spans="1:18" ht="18">
      <c r="A30" s="24"/>
      <c r="B30" s="25"/>
      <c r="C30" s="25"/>
      <c r="D30" s="25"/>
      <c r="E30" s="25"/>
      <c r="F30" s="25"/>
      <c r="G30" s="25"/>
      <c r="H30" s="25"/>
      <c r="I30" s="26"/>
      <c r="J30" s="27" t="s">
        <v>567</v>
      </c>
      <c r="K30" s="25"/>
      <c r="L30" s="25"/>
      <c r="M30" s="25"/>
      <c r="N30" s="25"/>
      <c r="O30" s="27" t="s">
        <v>535</v>
      </c>
      <c r="P30" s="32" t="s">
        <v>516</v>
      </c>
      <c r="Q30" s="24"/>
    </row>
    <row r="31" spans="1:18">
      <c r="A31" s="24"/>
      <c r="B31" s="25"/>
      <c r="C31" s="25"/>
      <c r="D31" s="25"/>
      <c r="E31" s="25"/>
      <c r="F31" s="25"/>
      <c r="G31" s="25"/>
      <c r="H31" s="25"/>
      <c r="I31" s="26"/>
      <c r="J31" s="25"/>
      <c r="K31" s="25"/>
      <c r="L31" s="25"/>
      <c r="M31" s="25"/>
      <c r="N31" s="25"/>
      <c r="O31" s="25"/>
      <c r="P31" s="25"/>
      <c r="Q31" s="24"/>
    </row>
    <row r="32" spans="1:18">
      <c r="A32" s="24"/>
      <c r="B32" s="25"/>
      <c r="C32" s="25"/>
      <c r="D32" s="25"/>
      <c r="E32" s="25"/>
      <c r="F32" s="25"/>
      <c r="G32" s="25"/>
      <c r="H32" s="25"/>
      <c r="I32" s="26"/>
      <c r="J32" s="25"/>
      <c r="K32" s="25"/>
      <c r="L32" s="25"/>
      <c r="M32" s="25"/>
      <c r="N32" s="25"/>
      <c r="O32" s="25"/>
      <c r="P32" s="25"/>
      <c r="Q32" s="24"/>
    </row>
    <row r="33" spans="1:17">
      <c r="A33" s="24"/>
      <c r="B33" s="25"/>
      <c r="C33" s="25"/>
      <c r="D33" s="25"/>
      <c r="E33" s="25"/>
      <c r="F33" s="25"/>
      <c r="G33" s="25"/>
      <c r="H33" s="25"/>
      <c r="I33" s="26"/>
      <c r="J33" s="25"/>
      <c r="K33" s="25"/>
      <c r="L33" s="25"/>
      <c r="M33" s="25"/>
      <c r="N33" s="25"/>
      <c r="O33" s="25"/>
      <c r="P33" s="25"/>
      <c r="Q33" s="24"/>
    </row>
    <row r="34" spans="1:17">
      <c r="A34" s="24"/>
      <c r="B34" s="25"/>
      <c r="C34" s="25"/>
      <c r="D34" s="25"/>
      <c r="E34" s="25"/>
      <c r="F34" s="25"/>
      <c r="G34" s="25"/>
      <c r="H34" s="25"/>
      <c r="I34" s="26"/>
      <c r="J34" s="25"/>
      <c r="K34" s="25"/>
      <c r="L34" s="25"/>
      <c r="M34" s="25"/>
      <c r="N34" s="25"/>
      <c r="O34" s="25"/>
      <c r="P34" s="25"/>
      <c r="Q34" s="24"/>
    </row>
    <row r="35" spans="1:17">
      <c r="A35" s="24"/>
      <c r="B35" s="25"/>
      <c r="C35" s="25"/>
      <c r="D35" s="25"/>
      <c r="E35" s="25"/>
      <c r="F35" s="25"/>
      <c r="G35" s="25"/>
      <c r="H35" s="25"/>
      <c r="I35" s="26"/>
      <c r="J35" s="25"/>
      <c r="K35" s="25"/>
      <c r="L35" s="25"/>
      <c r="M35" s="25"/>
      <c r="N35" s="25"/>
      <c r="O35" s="25"/>
      <c r="P35" s="25"/>
      <c r="Q35" s="24"/>
    </row>
    <row r="36" spans="1:17">
      <c r="A36" s="24"/>
      <c r="B36" s="25"/>
      <c r="C36" s="25"/>
      <c r="D36" s="25"/>
      <c r="E36" s="25"/>
      <c r="F36" s="25"/>
      <c r="G36" s="25"/>
      <c r="H36" s="25"/>
      <c r="I36" s="26"/>
      <c r="J36" s="25"/>
      <c r="K36" s="25"/>
      <c r="L36" s="25"/>
      <c r="M36" s="25"/>
      <c r="N36" s="25"/>
      <c r="O36" s="25"/>
      <c r="P36" s="25"/>
      <c r="Q36" s="24"/>
    </row>
    <row r="37" spans="1:17">
      <c r="A37" s="24"/>
      <c r="B37" s="25"/>
      <c r="C37" s="25"/>
      <c r="D37" s="25"/>
      <c r="E37" s="25"/>
      <c r="F37" s="25"/>
      <c r="G37" s="25"/>
      <c r="H37" s="25"/>
      <c r="I37" s="26"/>
      <c r="J37" s="25"/>
      <c r="K37" s="25"/>
      <c r="L37" s="25"/>
      <c r="M37" s="25"/>
      <c r="N37" s="25"/>
      <c r="O37" s="25"/>
      <c r="P37" s="25"/>
      <c r="Q37" s="24"/>
    </row>
    <row r="38" spans="1:17">
      <c r="A38" s="24"/>
      <c r="B38" s="25"/>
      <c r="C38" s="25"/>
      <c r="D38" s="25"/>
      <c r="E38" s="25"/>
      <c r="F38" s="25"/>
      <c r="G38" s="25"/>
      <c r="H38" s="25"/>
      <c r="I38" s="26"/>
      <c r="J38" s="25"/>
      <c r="K38" s="25"/>
      <c r="L38" s="25"/>
      <c r="M38" s="25"/>
      <c r="N38" s="25"/>
      <c r="O38" s="25"/>
      <c r="P38" s="25"/>
      <c r="Q38" s="24"/>
    </row>
    <row r="39" spans="1:17">
      <c r="A39" s="24"/>
      <c r="B39" s="25"/>
      <c r="C39" s="25"/>
      <c r="D39" s="25"/>
      <c r="E39" s="25"/>
      <c r="F39" s="25"/>
      <c r="G39" s="25"/>
      <c r="H39" s="25"/>
      <c r="I39" s="26"/>
      <c r="J39" s="25"/>
      <c r="K39" s="25"/>
      <c r="L39" s="25"/>
      <c r="M39" s="25"/>
      <c r="N39" s="25"/>
      <c r="O39" s="25"/>
      <c r="P39" s="25"/>
      <c r="Q39" s="24"/>
    </row>
    <row r="40" spans="1:17">
      <c r="A40" s="24"/>
      <c r="B40" s="25"/>
      <c r="C40" s="25"/>
      <c r="D40" s="25"/>
      <c r="E40" s="25"/>
      <c r="F40" s="25"/>
      <c r="G40" s="25"/>
      <c r="H40" s="25"/>
      <c r="I40" s="26"/>
      <c r="J40" s="25"/>
      <c r="K40" s="25"/>
      <c r="L40" s="25"/>
      <c r="M40" s="25"/>
      <c r="N40" s="25"/>
      <c r="O40" s="25"/>
      <c r="P40" s="25"/>
      <c r="Q40" s="24"/>
    </row>
    <row r="41" spans="1:17">
      <c r="A41" s="24"/>
      <c r="B41" s="25"/>
      <c r="C41" s="25"/>
      <c r="D41" s="25"/>
      <c r="E41" s="25"/>
      <c r="F41" s="25"/>
      <c r="G41" s="25"/>
      <c r="H41" s="25"/>
      <c r="I41" s="26"/>
      <c r="J41" s="25"/>
      <c r="K41" s="25"/>
      <c r="L41" s="25"/>
      <c r="M41" s="25"/>
      <c r="N41" s="25"/>
      <c r="O41" s="25"/>
      <c r="P41" s="25"/>
      <c r="Q41" s="24"/>
    </row>
    <row r="42" spans="1:17" ht="10.050000000000001" customHeight="1">
      <c r="A42" s="24"/>
      <c r="B42" s="24"/>
      <c r="C42" s="24"/>
      <c r="D42" s="24"/>
      <c r="E42" s="24"/>
      <c r="F42" s="24"/>
      <c r="G42" s="24"/>
      <c r="H42" s="24"/>
      <c r="I42" s="24"/>
      <c r="J42" s="24"/>
      <c r="K42" s="24"/>
      <c r="L42" s="24"/>
      <c r="M42" s="24"/>
      <c r="N42" s="24"/>
      <c r="O42" s="24"/>
      <c r="P42" s="24"/>
      <c r="Q42" s="24"/>
    </row>
    <row r="43" spans="1:17">
      <c r="A43" s="24"/>
      <c r="B43" s="25"/>
      <c r="C43" s="25"/>
      <c r="D43" s="25"/>
      <c r="E43" s="25"/>
      <c r="F43" s="25"/>
      <c r="G43" s="25"/>
      <c r="H43" s="25"/>
      <c r="I43" s="26"/>
      <c r="J43" s="25"/>
      <c r="K43" s="25"/>
      <c r="L43" s="25"/>
      <c r="M43" s="25"/>
      <c r="N43" s="25"/>
      <c r="O43" s="25"/>
      <c r="P43" s="25"/>
      <c r="Q43" s="24"/>
    </row>
    <row r="44" spans="1:17">
      <c r="A44" s="24"/>
      <c r="B44" s="25"/>
      <c r="C44" s="25"/>
      <c r="D44" s="25"/>
      <c r="E44" s="25"/>
      <c r="F44" s="25"/>
      <c r="G44" s="25"/>
      <c r="H44" s="25"/>
      <c r="I44" s="26"/>
      <c r="J44" s="25"/>
      <c r="K44" s="25"/>
      <c r="L44" s="25"/>
      <c r="M44" s="25"/>
      <c r="N44" s="25"/>
      <c r="O44" s="25"/>
      <c r="P44" s="25"/>
      <c r="Q44" s="24"/>
    </row>
    <row r="45" spans="1:17">
      <c r="A45" s="24"/>
      <c r="B45" s="25"/>
      <c r="C45" s="25"/>
      <c r="D45" s="25"/>
      <c r="E45" s="25"/>
      <c r="F45" s="25"/>
      <c r="G45" s="25"/>
      <c r="H45" s="25"/>
      <c r="I45" s="26"/>
      <c r="J45" s="25"/>
      <c r="K45" s="25"/>
      <c r="L45" s="25"/>
      <c r="M45" s="25"/>
      <c r="N45" s="25"/>
      <c r="O45" s="25"/>
      <c r="P45" s="25"/>
      <c r="Q45" s="24"/>
    </row>
    <row r="46" spans="1:17">
      <c r="A46" s="24"/>
      <c r="B46" s="25"/>
      <c r="C46" s="25"/>
      <c r="D46" s="25"/>
      <c r="E46" s="25"/>
      <c r="F46" s="25"/>
      <c r="G46" s="25"/>
      <c r="H46" s="25"/>
      <c r="I46" s="26"/>
      <c r="J46" s="25"/>
      <c r="K46" s="25"/>
      <c r="L46" s="25"/>
      <c r="M46" s="25"/>
      <c r="N46" s="25"/>
      <c r="O46" s="25"/>
      <c r="P46" s="25"/>
      <c r="Q46" s="24"/>
    </row>
    <row r="47" spans="1:17">
      <c r="A47" s="24"/>
      <c r="B47" s="25"/>
      <c r="C47" s="25"/>
      <c r="D47" s="25"/>
      <c r="E47" s="25"/>
      <c r="F47" s="25"/>
      <c r="G47" s="25"/>
      <c r="H47" s="25"/>
      <c r="I47" s="26"/>
      <c r="J47" s="25"/>
      <c r="K47" s="25"/>
      <c r="L47" s="25"/>
      <c r="M47" s="25"/>
      <c r="N47" s="25"/>
      <c r="O47" s="25"/>
      <c r="P47" s="25"/>
      <c r="Q47" s="24"/>
    </row>
    <row r="48" spans="1:17">
      <c r="A48" s="24"/>
      <c r="B48" s="25"/>
      <c r="C48" s="25"/>
      <c r="D48" s="25"/>
      <c r="E48" s="25"/>
      <c r="F48" s="25"/>
      <c r="G48" s="25"/>
      <c r="H48" s="25"/>
      <c r="I48" s="26"/>
      <c r="J48" s="25"/>
      <c r="K48" s="25"/>
      <c r="L48" s="25"/>
      <c r="M48" s="25"/>
      <c r="N48" s="25"/>
      <c r="O48" s="25"/>
      <c r="P48" s="25"/>
      <c r="Q48" s="24"/>
    </row>
    <row r="49" spans="1:17">
      <c r="A49" s="24"/>
      <c r="B49" s="25"/>
      <c r="C49" s="25"/>
      <c r="D49" s="25"/>
      <c r="E49" s="25"/>
      <c r="F49" s="25"/>
      <c r="G49" s="25"/>
      <c r="H49" s="25"/>
      <c r="I49" s="26"/>
      <c r="J49" s="25"/>
      <c r="K49" s="25"/>
      <c r="L49" s="25"/>
      <c r="M49" s="25"/>
      <c r="N49" s="25"/>
      <c r="O49" s="25"/>
      <c r="P49" s="25"/>
      <c r="Q49" s="24"/>
    </row>
    <row r="50" spans="1:17">
      <c r="A50" s="24"/>
      <c r="B50" s="25"/>
      <c r="C50" s="25"/>
      <c r="D50" s="25"/>
      <c r="E50" s="25"/>
      <c r="F50" s="25"/>
      <c r="G50" s="25"/>
      <c r="H50" s="25"/>
      <c r="I50" s="26"/>
      <c r="J50" s="25"/>
      <c r="K50" s="25"/>
      <c r="L50" s="25"/>
      <c r="M50" s="25"/>
      <c r="N50" s="25"/>
      <c r="O50" s="25"/>
      <c r="P50" s="25"/>
      <c r="Q50" s="24"/>
    </row>
    <row r="51" spans="1:17">
      <c r="A51" s="24"/>
      <c r="B51" s="25"/>
      <c r="C51" s="25"/>
      <c r="D51" s="25"/>
      <c r="E51" s="25"/>
      <c r="F51" s="25"/>
      <c r="G51" s="25"/>
      <c r="H51" s="25"/>
      <c r="I51" s="26"/>
      <c r="J51" s="25"/>
      <c r="K51" s="25"/>
      <c r="L51" s="25"/>
      <c r="M51" s="25"/>
      <c r="N51" s="25"/>
      <c r="O51" s="25"/>
      <c r="P51" s="25"/>
      <c r="Q51" s="24"/>
    </row>
    <row r="52" spans="1:17">
      <c r="A52" s="24"/>
      <c r="B52" s="25"/>
      <c r="C52" s="25"/>
      <c r="D52" s="25"/>
      <c r="E52" s="25"/>
      <c r="F52" s="25"/>
      <c r="G52" s="25"/>
      <c r="H52" s="25"/>
      <c r="I52" s="26"/>
      <c r="J52" s="25"/>
      <c r="K52" s="25"/>
      <c r="L52" s="25"/>
      <c r="M52" s="25"/>
      <c r="N52" s="25"/>
      <c r="O52" s="25"/>
      <c r="P52" s="25"/>
      <c r="Q52" s="24"/>
    </row>
    <row r="53" spans="1:17">
      <c r="A53" s="24"/>
      <c r="B53" s="25"/>
      <c r="C53" s="25"/>
      <c r="D53" s="25"/>
      <c r="E53" s="25"/>
      <c r="F53" s="25"/>
      <c r="G53" s="25"/>
      <c r="H53" s="25"/>
      <c r="I53" s="26"/>
      <c r="J53" s="25"/>
      <c r="K53" s="25"/>
      <c r="L53" s="25"/>
      <c r="M53" s="25"/>
      <c r="N53" s="25"/>
      <c r="O53" s="25"/>
      <c r="P53" s="25"/>
      <c r="Q53" s="24"/>
    </row>
    <row r="54" spans="1:17">
      <c r="A54" s="24"/>
      <c r="B54" s="25"/>
      <c r="C54" s="25"/>
      <c r="D54" s="25"/>
      <c r="E54" s="25"/>
      <c r="F54" s="25"/>
      <c r="G54" s="25"/>
      <c r="H54" s="25"/>
      <c r="I54" s="26"/>
      <c r="J54" s="25"/>
      <c r="K54" s="25"/>
      <c r="L54" s="25"/>
      <c r="M54" s="25"/>
      <c r="N54" s="25"/>
      <c r="O54" s="25"/>
      <c r="P54" s="25"/>
      <c r="Q54" s="24"/>
    </row>
    <row r="55" spans="1:17" ht="53.4" customHeight="1">
      <c r="A55" s="24"/>
      <c r="B55" s="24"/>
      <c r="C55" s="24"/>
      <c r="D55" s="24"/>
      <c r="E55" s="24"/>
      <c r="F55" s="24"/>
      <c r="G55" s="24"/>
      <c r="H55" s="24"/>
      <c r="I55" s="24"/>
      <c r="J55" s="24"/>
      <c r="K55" s="24"/>
      <c r="L55" s="24"/>
      <c r="M55" s="24"/>
      <c r="N55" s="24"/>
      <c r="O55" s="24"/>
      <c r="P55" s="24"/>
      <c r="Q55" s="24"/>
    </row>
    <row r="56" spans="1:17" ht="18">
      <c r="A56" s="24"/>
      <c r="B56" s="31" t="s">
        <v>536</v>
      </c>
      <c r="C56" s="29"/>
      <c r="D56" s="29"/>
      <c r="E56" s="29"/>
      <c r="F56" s="29"/>
      <c r="G56" s="29"/>
      <c r="H56" s="30" t="s">
        <v>539</v>
      </c>
      <c r="I56" s="24"/>
      <c r="J56" s="31" t="s">
        <v>537</v>
      </c>
      <c r="K56" s="29"/>
      <c r="L56" s="29"/>
      <c r="M56" s="29"/>
      <c r="N56" s="29"/>
      <c r="O56" s="29"/>
      <c r="P56" s="30" t="s">
        <v>540</v>
      </c>
      <c r="Q56" s="24"/>
    </row>
    <row r="57" spans="1:17" ht="18">
      <c r="A57" s="24"/>
      <c r="B57" s="29"/>
      <c r="C57" s="29"/>
      <c r="D57" s="29"/>
      <c r="E57" s="29"/>
      <c r="F57" s="29"/>
      <c r="G57" s="29"/>
      <c r="H57" s="30" t="s">
        <v>538</v>
      </c>
      <c r="I57" s="24"/>
      <c r="J57" s="29"/>
      <c r="K57" s="29"/>
      <c r="L57" s="29"/>
      <c r="M57" s="29"/>
      <c r="N57" s="29"/>
      <c r="O57" s="29"/>
      <c r="P57" s="30" t="s">
        <v>541</v>
      </c>
      <c r="Q57" s="24"/>
    </row>
    <row r="58" spans="1:17">
      <c r="A58" s="24"/>
      <c r="B58" s="29"/>
      <c r="C58" s="29"/>
      <c r="D58" s="29"/>
      <c r="E58" s="29"/>
      <c r="F58" s="29"/>
      <c r="G58" s="29"/>
      <c r="H58" s="29"/>
      <c r="I58" s="24"/>
      <c r="J58" s="29"/>
      <c r="K58" s="29"/>
      <c r="L58" s="29"/>
      <c r="M58" s="29"/>
      <c r="N58" s="29"/>
      <c r="O58" s="29"/>
      <c r="P58" s="29"/>
      <c r="Q58" s="24"/>
    </row>
    <row r="59" spans="1:17">
      <c r="A59" s="24"/>
      <c r="B59" s="29"/>
      <c r="C59" s="29"/>
      <c r="D59" s="29"/>
      <c r="E59" s="29"/>
      <c r="F59" s="29"/>
      <c r="G59" s="29"/>
      <c r="H59" s="29"/>
      <c r="I59" s="24"/>
      <c r="J59" s="29"/>
      <c r="K59" s="29"/>
      <c r="L59" s="29"/>
      <c r="M59" s="29"/>
      <c r="N59" s="29"/>
      <c r="O59" s="29"/>
      <c r="P59" s="29"/>
      <c r="Q59" s="24"/>
    </row>
    <row r="60" spans="1:17">
      <c r="A60" s="24"/>
      <c r="B60" s="29"/>
      <c r="C60" s="29"/>
      <c r="D60" s="29"/>
      <c r="E60" s="29"/>
      <c r="F60" s="29"/>
      <c r="G60" s="29"/>
      <c r="H60" s="29"/>
      <c r="I60" s="24"/>
      <c r="J60" s="29"/>
      <c r="K60" s="29"/>
      <c r="L60" s="29"/>
      <c r="M60" s="29"/>
      <c r="N60" s="29"/>
      <c r="O60" s="29"/>
      <c r="P60" s="29"/>
      <c r="Q60" s="24"/>
    </row>
    <row r="61" spans="1:17">
      <c r="A61" s="24"/>
      <c r="B61" s="29"/>
      <c r="C61" s="29"/>
      <c r="D61" s="29"/>
      <c r="E61" s="29"/>
      <c r="F61" s="29"/>
      <c r="G61" s="29"/>
      <c r="H61" s="29"/>
      <c r="I61" s="24"/>
      <c r="J61" s="29"/>
      <c r="K61" s="29"/>
      <c r="L61" s="29"/>
      <c r="M61" s="29"/>
      <c r="N61" s="29"/>
      <c r="O61" s="29"/>
      <c r="P61" s="29"/>
      <c r="Q61" s="24"/>
    </row>
    <row r="62" spans="1:17">
      <c r="A62" s="24"/>
      <c r="B62" s="29"/>
      <c r="C62" s="29"/>
      <c r="D62" s="29"/>
      <c r="E62" s="29"/>
      <c r="F62" s="29"/>
      <c r="G62" s="29"/>
      <c r="H62" s="29"/>
      <c r="I62" s="24"/>
      <c r="J62" s="29"/>
      <c r="K62" s="29"/>
      <c r="L62" s="29"/>
      <c r="M62" s="29"/>
      <c r="N62" s="29"/>
      <c r="O62" s="29"/>
      <c r="P62" s="29"/>
      <c r="Q62" s="24"/>
    </row>
    <row r="63" spans="1:17">
      <c r="A63" s="24"/>
      <c r="B63" s="29"/>
      <c r="C63" s="29"/>
      <c r="D63" s="29"/>
      <c r="E63" s="29"/>
      <c r="F63" s="29"/>
      <c r="G63" s="29"/>
      <c r="H63" s="29"/>
      <c r="I63" s="24"/>
      <c r="J63" s="29"/>
      <c r="K63" s="29"/>
      <c r="L63" s="29"/>
      <c r="M63" s="29"/>
      <c r="N63" s="29"/>
      <c r="O63" s="29"/>
      <c r="P63" s="29"/>
      <c r="Q63" s="24"/>
    </row>
    <row r="64" spans="1:17">
      <c r="A64" s="24"/>
      <c r="B64" s="29"/>
      <c r="C64" s="29"/>
      <c r="D64" s="29"/>
      <c r="E64" s="29"/>
      <c r="F64" s="29"/>
      <c r="G64" s="29"/>
      <c r="H64" s="29"/>
      <c r="I64" s="24"/>
      <c r="J64" s="29"/>
      <c r="K64" s="29"/>
      <c r="L64" s="29"/>
      <c r="M64" s="29"/>
      <c r="N64" s="29"/>
      <c r="O64" s="29"/>
      <c r="P64" s="29"/>
      <c r="Q64" s="24"/>
    </row>
    <row r="65" spans="1:17">
      <c r="A65" s="24"/>
      <c r="B65" s="29"/>
      <c r="C65" s="29"/>
      <c r="D65" s="29"/>
      <c r="E65" s="29"/>
      <c r="F65" s="29"/>
      <c r="G65" s="29"/>
      <c r="H65" s="29"/>
      <c r="I65" s="24"/>
      <c r="J65" s="29"/>
      <c r="K65" s="29"/>
      <c r="L65" s="29"/>
      <c r="M65" s="29"/>
      <c r="N65" s="29"/>
      <c r="O65" s="29"/>
      <c r="P65" s="29"/>
      <c r="Q65" s="24"/>
    </row>
    <row r="66" spans="1:17">
      <c r="A66" s="24"/>
      <c r="B66" s="29"/>
      <c r="C66" s="29"/>
      <c r="D66" s="29"/>
      <c r="E66" s="29"/>
      <c r="F66" s="29"/>
      <c r="G66" s="29"/>
      <c r="H66" s="29"/>
      <c r="I66" s="24"/>
      <c r="J66" s="29"/>
      <c r="K66" s="29"/>
      <c r="L66" s="29"/>
      <c r="M66" s="29"/>
      <c r="N66" s="29"/>
      <c r="O66" s="29"/>
      <c r="P66" s="29"/>
      <c r="Q66" s="24"/>
    </row>
    <row r="67" spans="1:17">
      <c r="A67" s="24"/>
      <c r="B67" s="29"/>
      <c r="C67" s="29"/>
      <c r="D67" s="29"/>
      <c r="E67" s="29"/>
      <c r="F67" s="29"/>
      <c r="G67" s="29"/>
      <c r="H67" s="29"/>
      <c r="I67" s="24"/>
      <c r="J67" s="29"/>
      <c r="K67" s="29"/>
      <c r="L67" s="29"/>
      <c r="M67" s="29"/>
      <c r="N67" s="29"/>
      <c r="O67" s="29"/>
      <c r="P67" s="29"/>
      <c r="Q67" s="24"/>
    </row>
    <row r="68" spans="1:17">
      <c r="A68" s="24"/>
      <c r="B68" s="24"/>
      <c r="C68" s="24"/>
      <c r="D68" s="24"/>
      <c r="E68" s="24"/>
      <c r="F68" s="24"/>
      <c r="G68" s="24"/>
      <c r="H68" s="24"/>
      <c r="I68" s="24"/>
      <c r="J68" s="24"/>
      <c r="K68" s="24"/>
      <c r="L68" s="24"/>
      <c r="M68" s="24"/>
      <c r="N68" s="24"/>
      <c r="O68" s="24"/>
      <c r="P68" s="24"/>
      <c r="Q68" s="24"/>
    </row>
  </sheetData>
  <mergeCells count="5">
    <mergeCell ref="H18:H19"/>
    <mergeCell ref="K18:K19"/>
    <mergeCell ref="J18:J19"/>
    <mergeCell ref="L18:O18"/>
    <mergeCell ref="I18:I19"/>
  </mergeCells>
  <dataValidations count="2">
    <dataValidation type="list" allowBlank="1" showInputMessage="1" showErrorMessage="1" sqref="P30" xr:uid="{18E255E0-59B5-4996-AA4A-20E08FE7FA7B}">
      <formula1>"Books, Clothing, Games, Music"</formula1>
    </dataValidation>
    <dataValidation type="list" allowBlank="1" showInputMessage="1" showErrorMessage="1" sqref="D18" xr:uid="{464BC2B1-1F7F-4898-9E4C-3D68E1EC448C}">
      <formula1>"Alice,Barney,Carol,David"</formula1>
    </dataValidation>
  </dataValidations>
  <pageMargins left="0.7" right="0.7" top="0.75" bottom="0.75" header="0.3" footer="0.3"/>
  <drawing r:id="rId1"/>
  <legacyDrawing r:id="rId2"/>
  <controls>
    <mc:AlternateContent xmlns:mc="http://schemas.openxmlformats.org/markup-compatibility/2006">
      <mc:Choice Requires="x14">
        <control shapeId="4103" r:id="rId3" name="ScrollBar1">
          <controlPr defaultSize="0" autoLine="0" linkedCell="Pivot_3!A2" r:id="rId4">
            <anchor moveWithCells="1">
              <from>
                <xdr:col>10</xdr:col>
                <xdr:colOff>152400</xdr:colOff>
                <xdr:row>24</xdr:row>
                <xdr:rowOff>160020</xdr:rowOff>
              </from>
              <to>
                <xdr:col>14</xdr:col>
                <xdr:colOff>487680</xdr:colOff>
                <xdr:row>26</xdr:row>
                <xdr:rowOff>22860</xdr:rowOff>
              </to>
            </anchor>
          </controlPr>
        </control>
      </mc:Choice>
      <mc:Fallback>
        <control shapeId="4103" r:id="rId3" name="ScrollBar1"/>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C470A8-F61E-4AF1-A680-8D9AA835F080}">
  <dimension ref="A2:M78"/>
  <sheetViews>
    <sheetView showGridLines="0" showRowColHeaders="0" topLeftCell="A74" zoomScale="70" zoomScaleNormal="70" workbookViewId="0">
      <selection activeCell="D8" sqref="D8"/>
    </sheetView>
  </sheetViews>
  <sheetFormatPr defaultRowHeight="15.6"/>
  <cols>
    <col min="1" max="1" width="8.88671875" style="62"/>
    <col min="2" max="2" width="3.6640625" style="68" customWidth="1"/>
    <col min="3" max="3" width="90.21875" style="65" customWidth="1"/>
    <col min="4" max="4" width="33" style="64" customWidth="1"/>
    <col min="5" max="16384" width="8.88671875" style="64"/>
  </cols>
  <sheetData>
    <row r="2" spans="1:13" ht="30" customHeight="1">
      <c r="A2" s="77" t="s">
        <v>552</v>
      </c>
      <c r="B2" s="77"/>
      <c r="C2" s="77"/>
      <c r="D2" s="77"/>
      <c r="E2" s="77"/>
      <c r="F2" s="77"/>
      <c r="G2" s="77"/>
      <c r="H2" s="77"/>
      <c r="I2" s="77"/>
      <c r="J2" s="77"/>
      <c r="K2" s="77"/>
      <c r="L2" s="77"/>
      <c r="M2" s="77"/>
    </row>
    <row r="3" spans="1:13" ht="30.6" customHeight="1">
      <c r="A3" s="62">
        <v>1</v>
      </c>
      <c r="B3" s="75" t="s">
        <v>612</v>
      </c>
      <c r="C3" s="75"/>
      <c r="D3" s="75"/>
      <c r="E3" s="75"/>
      <c r="F3" s="75"/>
      <c r="G3" s="75"/>
      <c r="H3" s="75"/>
      <c r="I3" s="75"/>
      <c r="J3" s="75"/>
      <c r="K3" s="75"/>
      <c r="L3" s="75"/>
      <c r="M3" s="75"/>
    </row>
    <row r="4" spans="1:13" ht="30.6" customHeight="1">
      <c r="A4" s="62">
        <v>2</v>
      </c>
      <c r="B4" s="75" t="s">
        <v>591</v>
      </c>
      <c r="C4" s="75"/>
      <c r="D4" s="75"/>
      <c r="E4" s="75"/>
      <c r="F4" s="75"/>
      <c r="G4" s="75"/>
      <c r="H4" s="75"/>
      <c r="I4" s="75"/>
      <c r="J4" s="75"/>
      <c r="K4" s="75"/>
      <c r="L4" s="75"/>
      <c r="M4" s="75"/>
    </row>
    <row r="5" spans="1:13" ht="30.6" customHeight="1">
      <c r="A5" s="62">
        <v>3</v>
      </c>
      <c r="B5" s="75" t="s">
        <v>593</v>
      </c>
      <c r="C5" s="75"/>
      <c r="D5" s="75"/>
      <c r="E5" s="75"/>
      <c r="F5" s="75"/>
      <c r="G5" s="75"/>
      <c r="H5" s="75"/>
      <c r="I5" s="75"/>
      <c r="J5" s="75"/>
      <c r="K5" s="75"/>
      <c r="L5" s="75"/>
      <c r="M5" s="75"/>
    </row>
    <row r="6" spans="1:13" ht="30.6" customHeight="1">
      <c r="A6" s="62">
        <v>4</v>
      </c>
      <c r="B6" s="75" t="s">
        <v>560</v>
      </c>
      <c r="C6" s="75"/>
      <c r="D6" s="75"/>
      <c r="E6" s="75"/>
      <c r="F6" s="75"/>
      <c r="G6" s="75"/>
      <c r="H6" s="75"/>
      <c r="I6" s="75"/>
      <c r="J6" s="75"/>
      <c r="K6" s="75"/>
      <c r="L6" s="75"/>
      <c r="M6" s="75"/>
    </row>
    <row r="7" spans="1:13" ht="30.6" customHeight="1">
      <c r="B7" s="67" t="s">
        <v>568</v>
      </c>
      <c r="C7" s="78" t="s">
        <v>595</v>
      </c>
      <c r="D7" s="78"/>
      <c r="E7" s="78"/>
      <c r="F7" s="78"/>
      <c r="G7" s="78"/>
      <c r="H7" s="78"/>
      <c r="I7" s="78"/>
      <c r="J7" s="78"/>
      <c r="K7" s="78"/>
      <c r="L7" s="78"/>
      <c r="M7" s="78"/>
    </row>
    <row r="8" spans="1:13" ht="30.6" customHeight="1">
      <c r="B8" s="67" t="s">
        <v>569</v>
      </c>
      <c r="C8" s="67" t="s">
        <v>594</v>
      </c>
    </row>
    <row r="9" spans="1:13" ht="30.6" customHeight="1">
      <c r="C9" s="63"/>
    </row>
    <row r="10" spans="1:13" ht="30.6" customHeight="1">
      <c r="A10" s="76" t="s">
        <v>613</v>
      </c>
      <c r="B10" s="76"/>
      <c r="C10" s="76"/>
      <c r="D10" s="76"/>
      <c r="E10" s="76"/>
      <c r="F10" s="76"/>
      <c r="G10" s="76"/>
      <c r="H10" s="76"/>
      <c r="I10" s="76"/>
      <c r="J10" s="76"/>
      <c r="K10" s="76"/>
      <c r="L10" s="76"/>
      <c r="M10" s="76"/>
    </row>
    <row r="11" spans="1:13" ht="30.6" customHeight="1">
      <c r="A11" s="62">
        <v>1</v>
      </c>
      <c r="B11" s="75" t="s">
        <v>596</v>
      </c>
      <c r="C11" s="75"/>
      <c r="D11" s="75"/>
      <c r="E11" s="75"/>
      <c r="F11" s="75"/>
      <c r="G11" s="75"/>
      <c r="H11" s="75"/>
      <c r="I11" s="75"/>
      <c r="J11" s="75"/>
      <c r="K11" s="75"/>
      <c r="L11" s="75"/>
      <c r="M11" s="75"/>
    </row>
    <row r="12" spans="1:13" ht="30.6" customHeight="1">
      <c r="A12" s="62">
        <v>2</v>
      </c>
      <c r="B12" s="75" t="s">
        <v>597</v>
      </c>
      <c r="C12" s="75"/>
      <c r="D12" s="75"/>
      <c r="E12" s="75"/>
      <c r="F12" s="75"/>
      <c r="G12" s="75"/>
      <c r="H12" s="75"/>
      <c r="I12" s="75"/>
      <c r="J12" s="75"/>
      <c r="K12" s="75"/>
      <c r="L12" s="75"/>
      <c r="M12" s="75"/>
    </row>
    <row r="13" spans="1:13" ht="30.6" customHeight="1">
      <c r="A13" s="62">
        <v>3</v>
      </c>
      <c r="B13" s="75" t="s">
        <v>598</v>
      </c>
      <c r="C13" s="75"/>
      <c r="D13" s="75"/>
      <c r="E13" s="75"/>
      <c r="F13" s="75"/>
      <c r="G13" s="75"/>
      <c r="H13" s="75"/>
      <c r="I13" s="75"/>
      <c r="J13" s="75"/>
      <c r="K13" s="75"/>
      <c r="L13" s="75"/>
      <c r="M13" s="75"/>
    </row>
    <row r="14" spans="1:13" ht="30.6" customHeight="1">
      <c r="B14" s="68" t="s">
        <v>568</v>
      </c>
      <c r="C14" s="75" t="s">
        <v>553</v>
      </c>
      <c r="D14" s="75"/>
      <c r="E14" s="75"/>
      <c r="F14" s="75"/>
      <c r="G14" s="75"/>
      <c r="H14" s="75"/>
      <c r="I14" s="75"/>
      <c r="J14" s="75"/>
      <c r="K14" s="75"/>
      <c r="L14" s="75"/>
      <c r="M14" s="75"/>
    </row>
    <row r="15" spans="1:13" ht="30.6" customHeight="1">
      <c r="B15" s="68" t="s">
        <v>569</v>
      </c>
      <c r="C15" s="75" t="s">
        <v>554</v>
      </c>
      <c r="D15" s="75"/>
      <c r="E15" s="75"/>
      <c r="F15" s="75"/>
      <c r="G15" s="75"/>
      <c r="H15" s="75"/>
      <c r="I15" s="75"/>
      <c r="J15" s="75"/>
      <c r="K15" s="75"/>
      <c r="L15" s="75"/>
      <c r="M15" s="75"/>
    </row>
    <row r="16" spans="1:13" ht="30.6" customHeight="1">
      <c r="B16" s="68" t="s">
        <v>571</v>
      </c>
      <c r="C16" s="75" t="s">
        <v>555</v>
      </c>
      <c r="D16" s="75"/>
      <c r="E16" s="75"/>
      <c r="F16" s="75"/>
      <c r="G16" s="75"/>
      <c r="H16" s="75"/>
      <c r="I16" s="75"/>
      <c r="J16" s="75"/>
      <c r="K16" s="75"/>
      <c r="L16" s="75"/>
      <c r="M16" s="75"/>
    </row>
    <row r="17" spans="1:13" ht="30.6" customHeight="1">
      <c r="B17" s="68" t="s">
        <v>572</v>
      </c>
      <c r="C17" s="75" t="s">
        <v>556</v>
      </c>
      <c r="D17" s="75"/>
      <c r="E17" s="75"/>
      <c r="F17" s="75"/>
      <c r="G17" s="75"/>
      <c r="H17" s="75"/>
      <c r="I17" s="75"/>
      <c r="J17" s="75"/>
      <c r="K17" s="75"/>
      <c r="L17" s="75"/>
      <c r="M17" s="75"/>
    </row>
    <row r="18" spans="1:13" ht="30.6" customHeight="1">
      <c r="B18" s="68" t="s">
        <v>573</v>
      </c>
      <c r="C18" s="75" t="s">
        <v>557</v>
      </c>
      <c r="D18" s="75"/>
      <c r="E18" s="75"/>
      <c r="F18" s="75"/>
      <c r="G18" s="75"/>
      <c r="H18" s="75"/>
      <c r="I18" s="75"/>
      <c r="J18" s="75"/>
      <c r="K18" s="75"/>
      <c r="L18" s="75"/>
      <c r="M18" s="75"/>
    </row>
    <row r="19" spans="1:13" ht="30.6" customHeight="1">
      <c r="B19" s="68" t="s">
        <v>574</v>
      </c>
      <c r="C19" s="75" t="s">
        <v>558</v>
      </c>
      <c r="D19" s="75"/>
      <c r="E19" s="75"/>
      <c r="F19" s="75"/>
      <c r="G19" s="75"/>
      <c r="H19" s="75"/>
      <c r="I19" s="75"/>
      <c r="J19" s="75"/>
      <c r="K19" s="75"/>
      <c r="L19" s="75"/>
      <c r="M19" s="75"/>
    </row>
    <row r="20" spans="1:13" ht="30.6" customHeight="1">
      <c r="B20" s="68" t="s">
        <v>575</v>
      </c>
      <c r="C20" s="75" t="s">
        <v>559</v>
      </c>
      <c r="D20" s="75"/>
      <c r="E20" s="75"/>
      <c r="F20" s="75"/>
      <c r="G20" s="75"/>
      <c r="H20" s="75"/>
      <c r="I20" s="75"/>
      <c r="J20" s="75"/>
      <c r="K20" s="75"/>
      <c r="L20" s="75"/>
      <c r="M20" s="75"/>
    </row>
    <row r="21" spans="1:13" ht="34.799999999999997" customHeight="1">
      <c r="B21" s="68" t="s">
        <v>576</v>
      </c>
      <c r="C21" s="75" t="s">
        <v>599</v>
      </c>
      <c r="D21" s="75"/>
      <c r="E21" s="75"/>
      <c r="F21" s="75"/>
      <c r="G21" s="75"/>
      <c r="H21" s="75"/>
      <c r="I21" s="75"/>
      <c r="J21" s="75"/>
      <c r="K21" s="75"/>
      <c r="L21" s="75"/>
      <c r="M21" s="75"/>
    </row>
    <row r="22" spans="1:13" ht="30.6" customHeight="1">
      <c r="B22" s="68" t="s">
        <v>570</v>
      </c>
      <c r="C22" s="75" t="s">
        <v>561</v>
      </c>
      <c r="D22" s="75"/>
      <c r="E22" s="75"/>
      <c r="F22" s="75"/>
      <c r="G22" s="75"/>
      <c r="H22" s="75"/>
      <c r="I22" s="75"/>
      <c r="J22" s="75"/>
      <c r="K22" s="75"/>
      <c r="L22" s="75"/>
      <c r="M22" s="75"/>
    </row>
    <row r="23" spans="1:13" ht="30.6" customHeight="1">
      <c r="B23" s="68" t="s">
        <v>577</v>
      </c>
      <c r="C23" s="75" t="s">
        <v>562</v>
      </c>
      <c r="D23" s="75"/>
      <c r="E23" s="75"/>
      <c r="F23" s="75"/>
      <c r="G23" s="75"/>
      <c r="H23" s="75"/>
      <c r="I23" s="75"/>
      <c r="J23" s="75"/>
      <c r="K23" s="75"/>
      <c r="L23" s="75"/>
      <c r="M23" s="75"/>
    </row>
    <row r="24" spans="1:13" ht="30.6" customHeight="1">
      <c r="B24" s="68" t="s">
        <v>578</v>
      </c>
      <c r="C24" s="75" t="s">
        <v>563</v>
      </c>
      <c r="D24" s="75"/>
      <c r="E24" s="75"/>
      <c r="F24" s="75"/>
      <c r="G24" s="75"/>
      <c r="H24" s="75"/>
      <c r="I24" s="75"/>
      <c r="J24" s="75"/>
      <c r="K24" s="75"/>
      <c r="L24" s="75"/>
      <c r="M24" s="75"/>
    </row>
    <row r="25" spans="1:13" ht="30" customHeight="1">
      <c r="C25" s="63"/>
    </row>
    <row r="26" spans="1:13" ht="30" customHeight="1">
      <c r="A26" s="76" t="s">
        <v>610</v>
      </c>
      <c r="B26" s="76"/>
      <c r="C26" s="76"/>
      <c r="D26" s="76"/>
      <c r="E26" s="76"/>
      <c r="F26" s="76"/>
      <c r="G26" s="76"/>
      <c r="H26" s="76"/>
      <c r="I26" s="76"/>
      <c r="J26" s="76"/>
      <c r="K26" s="76"/>
      <c r="L26" s="76"/>
      <c r="M26" s="76"/>
    </row>
    <row r="27" spans="1:13" ht="30" customHeight="1">
      <c r="A27" s="62">
        <v>1</v>
      </c>
      <c r="B27" s="65" t="s">
        <v>579</v>
      </c>
      <c r="D27" s="69"/>
    </row>
    <row r="28" spans="1:13" ht="30" customHeight="1">
      <c r="B28" s="68" t="s">
        <v>568</v>
      </c>
      <c r="C28" s="63" t="s">
        <v>600</v>
      </c>
    </row>
    <row r="29" spans="1:13" ht="30" customHeight="1">
      <c r="B29" s="68" t="s">
        <v>569</v>
      </c>
      <c r="C29" s="63" t="s">
        <v>580</v>
      </c>
    </row>
    <row r="30" spans="1:13" ht="30" customHeight="1"/>
    <row r="31" spans="1:13" ht="30" customHeight="1"/>
    <row r="32" spans="1:13" ht="30" customHeight="1"/>
    <row r="33" spans="1:9" ht="30" customHeight="1"/>
    <row r="34" spans="1:9" ht="32.4" customHeight="1">
      <c r="A34" s="62">
        <v>2</v>
      </c>
      <c r="B34" s="75" t="s">
        <v>601</v>
      </c>
      <c r="C34" s="75"/>
    </row>
    <row r="35" spans="1:9" ht="30" customHeight="1">
      <c r="B35" s="68" t="s">
        <v>568</v>
      </c>
      <c r="C35" s="65" t="s">
        <v>581</v>
      </c>
    </row>
    <row r="36" spans="1:9" ht="30" customHeight="1"/>
    <row r="37" spans="1:9" ht="30" customHeight="1"/>
    <row r="38" spans="1:9" ht="30" customHeight="1"/>
    <row r="39" spans="1:9" ht="30" customHeight="1"/>
    <row r="40" spans="1:9" ht="30" customHeight="1"/>
    <row r="41" spans="1:9" ht="70.2" customHeight="1">
      <c r="A41" s="62">
        <v>3</v>
      </c>
      <c r="B41" s="75" t="s">
        <v>602</v>
      </c>
      <c r="C41" s="75"/>
      <c r="F41" s="79"/>
      <c r="G41" s="79"/>
      <c r="H41" s="79"/>
      <c r="I41" s="79"/>
    </row>
    <row r="42" spans="1:9" ht="30" customHeight="1">
      <c r="B42" s="68" t="s">
        <v>568</v>
      </c>
      <c r="C42" s="65" t="s">
        <v>582</v>
      </c>
      <c r="F42" s="66"/>
      <c r="G42" s="66"/>
      <c r="H42" s="66"/>
      <c r="I42" s="66"/>
    </row>
    <row r="43" spans="1:9" ht="30" customHeight="1">
      <c r="E43" s="66"/>
    </row>
    <row r="44" spans="1:9" ht="30" customHeight="1">
      <c r="E44" s="66"/>
    </row>
    <row r="45" spans="1:9" ht="30" customHeight="1">
      <c r="E45" s="66"/>
    </row>
    <row r="46" spans="1:9" ht="25.2" customHeight="1"/>
    <row r="47" spans="1:9" ht="34.200000000000003" customHeight="1">
      <c r="A47" s="62">
        <v>4</v>
      </c>
      <c r="B47" s="75" t="s">
        <v>583</v>
      </c>
      <c r="C47" s="75"/>
    </row>
    <row r="48" spans="1:9" ht="93" customHeight="1">
      <c r="B48" s="68" t="s">
        <v>568</v>
      </c>
      <c r="C48" s="63" t="s">
        <v>603</v>
      </c>
    </row>
    <row r="49" spans="1:3" ht="30" customHeight="1"/>
    <row r="50" spans="1:3" ht="30" customHeight="1"/>
    <row r="51" spans="1:3" ht="30" customHeight="1">
      <c r="A51" s="62">
        <v>5</v>
      </c>
      <c r="B51" s="74" t="s">
        <v>584</v>
      </c>
      <c r="C51" s="74"/>
    </row>
    <row r="52" spans="1:3" ht="30" customHeight="1">
      <c r="B52" s="68" t="s">
        <v>568</v>
      </c>
      <c r="C52" s="65" t="s">
        <v>585</v>
      </c>
    </row>
    <row r="53" spans="1:3" ht="30" customHeight="1"/>
    <row r="54" spans="1:3" ht="30" customHeight="1"/>
    <row r="55" spans="1:3" ht="30" customHeight="1"/>
    <row r="56" spans="1:3" ht="30" customHeight="1"/>
    <row r="57" spans="1:3" ht="30" customHeight="1"/>
    <row r="58" spans="1:3" ht="31.8" customHeight="1">
      <c r="A58" s="62">
        <v>6</v>
      </c>
      <c r="B58" s="75" t="s">
        <v>604</v>
      </c>
      <c r="C58" s="75"/>
    </row>
    <row r="59" spans="1:3" ht="30" customHeight="1">
      <c r="B59" s="68" t="s">
        <v>568</v>
      </c>
      <c r="C59" s="65" t="s">
        <v>605</v>
      </c>
    </row>
    <row r="65" spans="1:13" ht="24" customHeight="1"/>
    <row r="66" spans="1:13" ht="24" customHeight="1"/>
    <row r="67" spans="1:13" ht="24" customHeight="1"/>
    <row r="68" spans="1:13" ht="30" customHeight="1">
      <c r="A68" s="77" t="s">
        <v>611</v>
      </c>
      <c r="B68" s="77"/>
      <c r="C68" s="77"/>
      <c r="D68" s="77"/>
      <c r="E68" s="77"/>
      <c r="F68" s="77"/>
      <c r="G68" s="77"/>
      <c r="H68" s="77"/>
      <c r="I68" s="77"/>
      <c r="J68" s="77"/>
      <c r="K68" s="77"/>
      <c r="L68" s="77"/>
      <c r="M68" s="77"/>
    </row>
    <row r="69" spans="1:13" ht="34.200000000000003" customHeight="1">
      <c r="A69" s="62">
        <v>1</v>
      </c>
      <c r="B69" s="75" t="s">
        <v>586</v>
      </c>
      <c r="C69" s="75"/>
      <c r="D69" s="75"/>
      <c r="E69" s="75"/>
      <c r="F69" s="75"/>
      <c r="G69" s="75"/>
      <c r="H69" s="75"/>
      <c r="I69" s="75"/>
      <c r="J69" s="75"/>
      <c r="K69" s="75"/>
      <c r="L69" s="75"/>
      <c r="M69" s="75"/>
    </row>
    <row r="70" spans="1:13" ht="30" customHeight="1">
      <c r="A70" s="62">
        <v>2</v>
      </c>
      <c r="B70" s="74" t="s">
        <v>606</v>
      </c>
      <c r="C70" s="74"/>
      <c r="D70" s="74"/>
      <c r="E70" s="74"/>
      <c r="F70" s="74"/>
      <c r="G70" s="74"/>
      <c r="H70" s="74"/>
      <c r="I70" s="74"/>
      <c r="J70" s="74"/>
      <c r="K70" s="74"/>
      <c r="L70" s="74"/>
      <c r="M70" s="74"/>
    </row>
    <row r="71" spans="1:13" ht="30" customHeight="1">
      <c r="A71" s="62">
        <v>3</v>
      </c>
      <c r="B71" s="78" t="s">
        <v>587</v>
      </c>
      <c r="C71" s="78"/>
      <c r="D71" s="78"/>
      <c r="E71" s="78"/>
      <c r="F71" s="78"/>
      <c r="G71" s="78"/>
      <c r="H71" s="78"/>
      <c r="I71" s="78"/>
      <c r="J71" s="78"/>
      <c r="K71" s="78"/>
      <c r="L71" s="78"/>
      <c r="M71" s="78"/>
    </row>
    <row r="72" spans="1:13" ht="30" customHeight="1">
      <c r="A72" s="62">
        <v>4</v>
      </c>
      <c r="B72" s="74" t="s">
        <v>607</v>
      </c>
      <c r="C72" s="74"/>
      <c r="D72" s="74"/>
      <c r="E72" s="74"/>
      <c r="F72" s="74"/>
      <c r="G72" s="74"/>
      <c r="H72" s="74"/>
      <c r="I72" s="74"/>
      <c r="J72" s="74"/>
      <c r="K72" s="74"/>
      <c r="L72" s="74"/>
    </row>
    <row r="73" spans="1:13" ht="30" customHeight="1">
      <c r="B73" s="68" t="s">
        <v>568</v>
      </c>
      <c r="C73" s="74" t="s">
        <v>588</v>
      </c>
      <c r="D73" s="74"/>
      <c r="E73" s="74"/>
      <c r="F73" s="74"/>
      <c r="G73" s="74"/>
      <c r="H73" s="74"/>
      <c r="I73" s="74"/>
      <c r="J73" s="74"/>
      <c r="K73" s="74"/>
      <c r="L73" s="74"/>
      <c r="M73" s="74"/>
    </row>
    <row r="74" spans="1:13" ht="30" customHeight="1">
      <c r="C74" s="65" t="s">
        <v>589</v>
      </c>
    </row>
    <row r="75" spans="1:13" ht="34.799999999999997" customHeight="1">
      <c r="C75" s="75" t="s">
        <v>608</v>
      </c>
      <c r="D75" s="75"/>
      <c r="E75" s="75"/>
      <c r="F75" s="75"/>
      <c r="G75" s="75"/>
      <c r="H75" s="75"/>
      <c r="I75" s="75"/>
      <c r="J75" s="75"/>
      <c r="K75" s="75"/>
      <c r="L75" s="75"/>
      <c r="M75" s="75"/>
    </row>
    <row r="76" spans="1:13" ht="30" customHeight="1">
      <c r="B76" s="68" t="s">
        <v>569</v>
      </c>
      <c r="C76" s="65" t="s">
        <v>590</v>
      </c>
    </row>
    <row r="77" spans="1:13" ht="30" customHeight="1">
      <c r="C77" s="74" t="s">
        <v>609</v>
      </c>
      <c r="D77" s="74"/>
      <c r="E77" s="74"/>
      <c r="F77" s="74"/>
      <c r="G77" s="74"/>
      <c r="H77" s="74"/>
      <c r="I77" s="74"/>
      <c r="J77" s="74"/>
      <c r="K77" s="74"/>
      <c r="L77" s="74"/>
    </row>
    <row r="78" spans="1:13" ht="30" customHeight="1">
      <c r="C78" s="65" t="s">
        <v>592</v>
      </c>
    </row>
  </sheetData>
  <mergeCells count="36">
    <mergeCell ref="A2:M2"/>
    <mergeCell ref="C15:M15"/>
    <mergeCell ref="C16:M16"/>
    <mergeCell ref="C17:M17"/>
    <mergeCell ref="C18:M18"/>
    <mergeCell ref="B6:M6"/>
    <mergeCell ref="C7:M7"/>
    <mergeCell ref="B11:M11"/>
    <mergeCell ref="B12:M12"/>
    <mergeCell ref="B13:M13"/>
    <mergeCell ref="C14:M14"/>
    <mergeCell ref="B3:M3"/>
    <mergeCell ref="B4:M4"/>
    <mergeCell ref="B5:M5"/>
    <mergeCell ref="C21:M21"/>
    <mergeCell ref="C22:M22"/>
    <mergeCell ref="C23:M23"/>
    <mergeCell ref="C24:M24"/>
    <mergeCell ref="A10:M10"/>
    <mergeCell ref="C19:M19"/>
    <mergeCell ref="C20:M20"/>
    <mergeCell ref="C73:M73"/>
    <mergeCell ref="C75:M75"/>
    <mergeCell ref="C77:L77"/>
    <mergeCell ref="A26:M26"/>
    <mergeCell ref="B69:M69"/>
    <mergeCell ref="B70:M70"/>
    <mergeCell ref="B71:M71"/>
    <mergeCell ref="B72:L72"/>
    <mergeCell ref="F41:I41"/>
    <mergeCell ref="B47:C47"/>
    <mergeCell ref="B51:C51"/>
    <mergeCell ref="B58:C58"/>
    <mergeCell ref="B34:C34"/>
    <mergeCell ref="B41:C41"/>
    <mergeCell ref="A68:M68"/>
  </mergeCells>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V502"/>
  <sheetViews>
    <sheetView showGridLines="0" zoomScaleNormal="100" workbookViewId="0">
      <pane xSplit="1" ySplit="2" topLeftCell="B3" activePane="bottomRight" state="frozen"/>
      <selection pane="topRight" activeCell="B1" sqref="B1"/>
      <selection pane="bottomLeft" activeCell="A5" sqref="A5"/>
      <selection pane="bottomRight" activeCell="D9" sqref="D9"/>
    </sheetView>
  </sheetViews>
  <sheetFormatPr defaultRowHeight="14.4"/>
  <cols>
    <col min="1" max="1" width="10.44140625" customWidth="1"/>
    <col min="2" max="2" width="50.6640625" customWidth="1"/>
    <col min="4" max="4" width="43.109375" customWidth="1"/>
    <col min="6" max="6" width="43.5546875" customWidth="1"/>
    <col min="7" max="7" width="41.109375" customWidth="1"/>
    <col min="8" max="8" width="37.44140625" customWidth="1"/>
    <col min="9" max="9" width="36" customWidth="1"/>
    <col min="12" max="12" width="31.88671875" customWidth="1"/>
    <col min="13" max="13" width="28.5546875" customWidth="1"/>
    <col min="14" max="14" width="31.109375" customWidth="1"/>
    <col min="18" max="21" width="15.6640625" customWidth="1"/>
    <col min="22" max="22" width="19.33203125" customWidth="1"/>
  </cols>
  <sheetData>
    <row r="1" spans="1:22">
      <c r="A1" s="1" t="s">
        <v>6</v>
      </c>
      <c r="N1" s="1" t="s">
        <v>508</v>
      </c>
      <c r="O1" s="4" t="s">
        <v>503</v>
      </c>
      <c r="P1" s="4" t="s">
        <v>504</v>
      </c>
      <c r="Q1" s="4" t="s">
        <v>505</v>
      </c>
      <c r="R1" s="1" t="s">
        <v>2</v>
      </c>
      <c r="S1" s="1" t="s">
        <v>506</v>
      </c>
      <c r="T1" s="1" t="s">
        <v>509</v>
      </c>
      <c r="U1" s="4" t="s">
        <v>507</v>
      </c>
      <c r="V1" s="4" t="s">
        <v>510</v>
      </c>
    </row>
    <row r="2" spans="1:22">
      <c r="A2" s="2" t="s">
        <v>1</v>
      </c>
      <c r="B2" s="1" t="s">
        <v>0</v>
      </c>
      <c r="C2">
        <f>COUNTIFS(C3:C498,"=30")</f>
        <v>126</v>
      </c>
      <c r="E2">
        <f>COUNTIFS(E3:E498,"=32")</f>
        <v>496</v>
      </c>
    </row>
    <row r="3" spans="1:22">
      <c r="A3" s="3">
        <v>1</v>
      </c>
      <c r="B3" t="s">
        <v>7</v>
      </c>
      <c r="C3">
        <f>CODE(RIGHT(B3,1))</f>
        <v>31</v>
      </c>
      <c r="D3" t="str">
        <f>CLEAN(B3)</f>
        <v xml:space="preserve">/PR:Games____SP:Barney20171027   $1250   </v>
      </c>
      <c r="E3">
        <f>CODE(RIGHT(D3,1))</f>
        <v>32</v>
      </c>
      <c r="F3" t="str">
        <f>SUBSTITUTE(D3,CHAR(160)," ")</f>
        <v xml:space="preserve">/PR:Games____SP:Barney20171027   $1250   </v>
      </c>
      <c r="G3" t="str">
        <f>SUBSTITUTE(F3,"/","")</f>
        <v xml:space="preserve">PR:Games____SP:Barney20171027   $1250   </v>
      </c>
      <c r="H3" t="str">
        <f>SUBSTITUTE(G3,"_"," ")</f>
        <v xml:space="preserve">PR:Games    SP:Barney20171027   $1250   </v>
      </c>
      <c r="I3" t="str">
        <f>TRIM(H3)</f>
        <v>PR:Games SP:Barney20171027 $1250</v>
      </c>
      <c r="J3">
        <f>LEN(I3)</f>
        <v>32</v>
      </c>
      <c r="K3">
        <f>CODE(RIGHT(I3,1))</f>
        <v>48</v>
      </c>
      <c r="L3" t="str">
        <f>SUBSTITUTE(I3,"PR:","")</f>
        <v>Games SP:Barney20171027 $1250</v>
      </c>
      <c r="M3" t="str">
        <f>SUBSTITUTE(L3,"SP:","")</f>
        <v>Games Barney20171027 $1250</v>
      </c>
      <c r="N3" s="1" t="str">
        <f>SUBSTITUTE(M3,"201710"," 201710")</f>
        <v>Games Barney 20171027 $1250</v>
      </c>
      <c r="O3" s="9">
        <f>FIND(" ",N3,1)</f>
        <v>6</v>
      </c>
      <c r="P3" s="9">
        <f>FIND(" ",N3,O3+1)</f>
        <v>13</v>
      </c>
      <c r="Q3" s="10">
        <f>FIND("$",N3,1)-1</f>
        <v>22</v>
      </c>
      <c r="R3" s="7" t="str">
        <f>LEFT(N3,O3-1)</f>
        <v>Games</v>
      </c>
      <c r="S3" s="7" t="str">
        <f>MID(N3,O3+1,P3-O3-1)</f>
        <v>Barney</v>
      </c>
      <c r="T3" s="7" t="str">
        <f>MID(N3,P3+1,Q3-P3-1)</f>
        <v>20171027</v>
      </c>
      <c r="U3" s="7">
        <f>VALUE(MID(N3,Q3+2,99))</f>
        <v>1250</v>
      </c>
      <c r="V3" s="8">
        <f>DATE(2017,10,MID(T3,7,99))</f>
        <v>43035</v>
      </c>
    </row>
    <row r="4" spans="1:22">
      <c r="A4" s="3">
        <f t="shared" ref="A4:A67" si="0">A3+1</f>
        <v>2</v>
      </c>
      <c r="B4" t="s">
        <v>8</v>
      </c>
      <c r="C4">
        <f t="shared" ref="C4:C67" si="1">CODE(RIGHT(B4,1))</f>
        <v>30</v>
      </c>
      <c r="D4" t="str">
        <f t="shared" ref="D4:D67" si="2">CLEAN(B4)</f>
        <v xml:space="preserve">////PR:Music_SP:David20171020     $1054  </v>
      </c>
      <c r="E4">
        <f t="shared" ref="E4:E67" si="3">CODE(RIGHT(D4,1))</f>
        <v>32</v>
      </c>
      <c r="F4" t="str">
        <f t="shared" ref="F4:F67" si="4">SUBSTITUTE(D4,CHAR(160)," ")</f>
        <v xml:space="preserve">////PR:Music_SP:David20171020     $1054  </v>
      </c>
      <c r="G4" t="str">
        <f t="shared" ref="G4:G67" si="5">SUBSTITUTE(F4,"/","")</f>
        <v xml:space="preserve">PR:Music_SP:David20171020     $1054  </v>
      </c>
      <c r="H4" t="str">
        <f t="shared" ref="H4:H67" si="6">SUBSTITUTE(G4,"_"," ")</f>
        <v xml:space="preserve">PR:Music SP:David20171020     $1054  </v>
      </c>
      <c r="I4" t="str">
        <f t="shared" ref="I4:I67" si="7">TRIM(H4)</f>
        <v>PR:Music SP:David20171020 $1054</v>
      </c>
      <c r="J4">
        <f t="shared" ref="J4:J67" si="8">LEN(I4)</f>
        <v>31</v>
      </c>
      <c r="K4">
        <f t="shared" ref="K4:K67" si="9">CODE(RIGHT(I4,1))</f>
        <v>52</v>
      </c>
      <c r="L4" t="str">
        <f t="shared" ref="L4:L67" si="10">SUBSTITUTE(I4,"PR:","")</f>
        <v>Music SP:David20171020 $1054</v>
      </c>
      <c r="M4" t="str">
        <f t="shared" ref="M4:M67" si="11">SUBSTITUTE(L4,"SP:","")</f>
        <v>Music David20171020 $1054</v>
      </c>
      <c r="N4" s="1" t="str">
        <f t="shared" ref="N4:N67" si="12">SUBSTITUTE(M4,"201710"," 201710")</f>
        <v>Music David 20171020 $1054</v>
      </c>
      <c r="O4" s="9">
        <f>FIND(" ",N4,1)</f>
        <v>6</v>
      </c>
      <c r="P4" s="9">
        <f t="shared" ref="P4:P67" si="13">FIND(" ",N4,O4+1)</f>
        <v>12</v>
      </c>
      <c r="Q4" s="10">
        <f t="shared" ref="Q4:Q67" si="14">FIND("$",N4,1)-1</f>
        <v>21</v>
      </c>
      <c r="R4" s="7" t="str">
        <f t="shared" ref="R4:R67" si="15">LEFT(N4,O4-1)</f>
        <v>Music</v>
      </c>
      <c r="S4" s="7" t="str">
        <f t="shared" ref="S4:S67" si="16">MID(N4,O4+1,P4-O4-1)</f>
        <v>David</v>
      </c>
      <c r="T4" s="7" t="str">
        <f t="shared" ref="T4:T67" si="17">MID(N4,P4+1,Q4-P4-1)</f>
        <v>20171020</v>
      </c>
      <c r="U4" s="7">
        <f t="shared" ref="U4:U67" si="18">VALUE(MID(N4,Q4+2,99))</f>
        <v>1054</v>
      </c>
      <c r="V4" s="8">
        <f t="shared" ref="V4:V67" si="19">DATE(2017,10,MID(T4,7,99))</f>
        <v>43028</v>
      </c>
    </row>
    <row r="5" spans="1:22">
      <c r="A5" s="3">
        <f>A4+1</f>
        <v>3</v>
      </c>
      <c r="B5" t="s">
        <v>9</v>
      </c>
      <c r="C5">
        <f t="shared" si="1"/>
        <v>28</v>
      </c>
      <c r="D5" t="str">
        <f t="shared" si="2"/>
        <v xml:space="preserve">//PR:Books__SP:Barney20171027     $699     </v>
      </c>
      <c r="E5">
        <f t="shared" si="3"/>
        <v>32</v>
      </c>
      <c r="F5" t="str">
        <f t="shared" si="4"/>
        <v xml:space="preserve">//PR:Books__SP:Barney20171027     $699     </v>
      </c>
      <c r="G5" t="str">
        <f t="shared" si="5"/>
        <v xml:space="preserve">PR:Books__SP:Barney20171027     $699     </v>
      </c>
      <c r="H5" t="str">
        <f t="shared" si="6"/>
        <v xml:space="preserve">PR:Books  SP:Barney20171027     $699     </v>
      </c>
      <c r="I5" t="str">
        <f t="shared" si="7"/>
        <v>PR:Books SP:Barney20171027 $699</v>
      </c>
      <c r="J5">
        <f t="shared" si="8"/>
        <v>31</v>
      </c>
      <c r="K5">
        <f t="shared" si="9"/>
        <v>57</v>
      </c>
      <c r="L5" t="str">
        <f t="shared" si="10"/>
        <v>Books SP:Barney20171027 $699</v>
      </c>
      <c r="M5" t="str">
        <f t="shared" si="11"/>
        <v>Books Barney20171027 $699</v>
      </c>
      <c r="N5" s="1" t="str">
        <f t="shared" si="12"/>
        <v>Books Barney 20171027 $699</v>
      </c>
      <c r="O5" s="9">
        <f t="shared" ref="O5:O68" si="20">FIND(" ",N5,1)</f>
        <v>6</v>
      </c>
      <c r="P5" s="9">
        <f t="shared" si="13"/>
        <v>13</v>
      </c>
      <c r="Q5" s="10">
        <f t="shared" si="14"/>
        <v>22</v>
      </c>
      <c r="R5" s="7" t="str">
        <f t="shared" si="15"/>
        <v>Books</v>
      </c>
      <c r="S5" s="7" t="str">
        <f t="shared" si="16"/>
        <v>Barney</v>
      </c>
      <c r="T5" s="7" t="str">
        <f t="shared" si="17"/>
        <v>20171027</v>
      </c>
      <c r="U5" s="7">
        <f t="shared" si="18"/>
        <v>699</v>
      </c>
      <c r="V5" s="8">
        <f t="shared" si="19"/>
        <v>43035</v>
      </c>
    </row>
    <row r="6" spans="1:22">
      <c r="A6" s="3">
        <f t="shared" si="0"/>
        <v>4</v>
      </c>
      <c r="B6" t="s">
        <v>10</v>
      </c>
      <c r="C6">
        <f t="shared" si="1"/>
        <v>28</v>
      </c>
      <c r="D6" t="str">
        <f t="shared" si="2"/>
        <v xml:space="preserve">/PR:Music___SP:Carol20171031  $1305   </v>
      </c>
      <c r="E6">
        <f t="shared" si="3"/>
        <v>32</v>
      </c>
      <c r="F6" t="str">
        <f t="shared" si="4"/>
        <v xml:space="preserve">/PR:Music___SP:Carol20171031  $1305   </v>
      </c>
      <c r="G6" t="str">
        <f t="shared" si="5"/>
        <v xml:space="preserve">PR:Music___SP:Carol20171031  $1305   </v>
      </c>
      <c r="H6" t="str">
        <f t="shared" si="6"/>
        <v xml:space="preserve">PR:Music   SP:Carol20171031  $1305   </v>
      </c>
      <c r="I6" t="str">
        <f t="shared" si="7"/>
        <v>PR:Music SP:Carol20171031 $1305</v>
      </c>
      <c r="J6">
        <f t="shared" si="8"/>
        <v>31</v>
      </c>
      <c r="K6">
        <f t="shared" si="9"/>
        <v>53</v>
      </c>
      <c r="L6" t="str">
        <f t="shared" si="10"/>
        <v>Music SP:Carol20171031 $1305</v>
      </c>
      <c r="M6" t="str">
        <f t="shared" si="11"/>
        <v>Music Carol20171031 $1305</v>
      </c>
      <c r="N6" s="1" t="str">
        <f t="shared" si="12"/>
        <v>Music Carol 20171031 $1305</v>
      </c>
      <c r="O6" s="9">
        <f t="shared" si="20"/>
        <v>6</v>
      </c>
      <c r="P6" s="9">
        <f t="shared" si="13"/>
        <v>12</v>
      </c>
      <c r="Q6" s="10">
        <f t="shared" si="14"/>
        <v>21</v>
      </c>
      <c r="R6" s="7" t="str">
        <f t="shared" si="15"/>
        <v>Music</v>
      </c>
      <c r="S6" s="7" t="str">
        <f t="shared" si="16"/>
        <v>Carol</v>
      </c>
      <c r="T6" s="7" t="str">
        <f t="shared" si="17"/>
        <v>20171031</v>
      </c>
      <c r="U6" s="7">
        <f t="shared" si="18"/>
        <v>1305</v>
      </c>
      <c r="V6" s="8">
        <f t="shared" si="19"/>
        <v>43039</v>
      </c>
    </row>
    <row r="7" spans="1:22">
      <c r="A7" s="3">
        <f t="shared" si="0"/>
        <v>5</v>
      </c>
      <c r="B7" t="s">
        <v>11</v>
      </c>
      <c r="C7">
        <f t="shared" si="1"/>
        <v>29</v>
      </c>
      <c r="D7" t="str">
        <f t="shared" si="2"/>
        <v xml:space="preserve">//PR:Games__SP:David20171027   $0 </v>
      </c>
      <c r="E7">
        <f t="shared" si="3"/>
        <v>32</v>
      </c>
      <c r="F7" t="str">
        <f t="shared" si="4"/>
        <v xml:space="preserve">//PR:Games__SP:David20171027   $0 </v>
      </c>
      <c r="G7" t="str">
        <f t="shared" si="5"/>
        <v xml:space="preserve">PR:Games__SP:David20171027   $0 </v>
      </c>
      <c r="H7" t="str">
        <f t="shared" si="6"/>
        <v xml:space="preserve">PR:Games  SP:David20171027   $0 </v>
      </c>
      <c r="I7" t="str">
        <f t="shared" si="7"/>
        <v>PR:Games SP:David20171027 $0</v>
      </c>
      <c r="J7">
        <f t="shared" si="8"/>
        <v>28</v>
      </c>
      <c r="K7">
        <f t="shared" si="9"/>
        <v>48</v>
      </c>
      <c r="L7" t="str">
        <f t="shared" si="10"/>
        <v>Games SP:David20171027 $0</v>
      </c>
      <c r="M7" t="str">
        <f t="shared" si="11"/>
        <v>Games David20171027 $0</v>
      </c>
      <c r="N7" s="1" t="str">
        <f t="shared" si="12"/>
        <v>Games David 20171027 $0</v>
      </c>
      <c r="O7" s="9">
        <f t="shared" si="20"/>
        <v>6</v>
      </c>
      <c r="P7" s="9">
        <f t="shared" si="13"/>
        <v>12</v>
      </c>
      <c r="Q7" s="10">
        <f t="shared" si="14"/>
        <v>21</v>
      </c>
      <c r="R7" s="7" t="str">
        <f t="shared" si="15"/>
        <v>Games</v>
      </c>
      <c r="S7" s="7" t="str">
        <f t="shared" si="16"/>
        <v>David</v>
      </c>
      <c r="T7" s="7" t="str">
        <f t="shared" si="17"/>
        <v>20171027</v>
      </c>
      <c r="U7" s="7">
        <f t="shared" si="18"/>
        <v>0</v>
      </c>
      <c r="V7" s="8">
        <f t="shared" si="19"/>
        <v>43035</v>
      </c>
    </row>
    <row r="8" spans="1:22">
      <c r="A8" s="3">
        <f t="shared" si="0"/>
        <v>6</v>
      </c>
      <c r="B8" t="s">
        <v>12</v>
      </c>
      <c r="C8">
        <f t="shared" si="1"/>
        <v>29</v>
      </c>
      <c r="D8" t="str">
        <f t="shared" si="2"/>
        <v xml:space="preserve">//PR:Books___SP:Barney20171026     $740    </v>
      </c>
      <c r="E8">
        <f t="shared" si="3"/>
        <v>32</v>
      </c>
      <c r="F8" t="str">
        <f t="shared" si="4"/>
        <v xml:space="preserve">//PR:Books___SP:Barney20171026     $740    </v>
      </c>
      <c r="G8" t="str">
        <f t="shared" si="5"/>
        <v xml:space="preserve">PR:Books___SP:Barney20171026     $740    </v>
      </c>
      <c r="H8" t="str">
        <f t="shared" si="6"/>
        <v xml:space="preserve">PR:Books   SP:Barney20171026     $740    </v>
      </c>
      <c r="I8" t="str">
        <f t="shared" si="7"/>
        <v>PR:Books SP:Barney20171026 $740</v>
      </c>
      <c r="J8">
        <f t="shared" si="8"/>
        <v>31</v>
      </c>
      <c r="K8">
        <f t="shared" si="9"/>
        <v>48</v>
      </c>
      <c r="L8" t="str">
        <f t="shared" si="10"/>
        <v>Books SP:Barney20171026 $740</v>
      </c>
      <c r="M8" t="str">
        <f t="shared" si="11"/>
        <v>Books Barney20171026 $740</v>
      </c>
      <c r="N8" s="1" t="str">
        <f t="shared" si="12"/>
        <v>Books Barney 20171026 $740</v>
      </c>
      <c r="O8" s="9">
        <f t="shared" si="20"/>
        <v>6</v>
      </c>
      <c r="P8" s="9">
        <f t="shared" si="13"/>
        <v>13</v>
      </c>
      <c r="Q8" s="10">
        <f t="shared" si="14"/>
        <v>22</v>
      </c>
      <c r="R8" s="7" t="str">
        <f t="shared" si="15"/>
        <v>Books</v>
      </c>
      <c r="S8" s="7" t="str">
        <f t="shared" si="16"/>
        <v>Barney</v>
      </c>
      <c r="T8" s="7" t="str">
        <f t="shared" si="17"/>
        <v>20171026</v>
      </c>
      <c r="U8" s="7">
        <f t="shared" si="18"/>
        <v>740</v>
      </c>
      <c r="V8" s="8">
        <f t="shared" si="19"/>
        <v>43034</v>
      </c>
    </row>
    <row r="9" spans="1:22">
      <c r="A9" s="3">
        <f t="shared" si="0"/>
        <v>7</v>
      </c>
      <c r="B9" t="s">
        <v>13</v>
      </c>
      <c r="C9">
        <f t="shared" si="1"/>
        <v>31</v>
      </c>
      <c r="D9" t="str">
        <f t="shared" si="2"/>
        <v xml:space="preserve">////PR:Clothing__SP:David20171011  $811    </v>
      </c>
      <c r="E9">
        <f t="shared" si="3"/>
        <v>32</v>
      </c>
      <c r="F9" t="str">
        <f t="shared" si="4"/>
        <v xml:space="preserve">////PR:Clothing__SP:David20171011  $811    </v>
      </c>
      <c r="G9" t="str">
        <f t="shared" si="5"/>
        <v xml:space="preserve">PR:Clothing__SP:David20171011  $811    </v>
      </c>
      <c r="H9" t="str">
        <f t="shared" si="6"/>
        <v xml:space="preserve">PR:Clothing  SP:David20171011  $811    </v>
      </c>
      <c r="I9" t="str">
        <f t="shared" si="7"/>
        <v>PR:Clothing SP:David20171011 $811</v>
      </c>
      <c r="J9">
        <f t="shared" si="8"/>
        <v>33</v>
      </c>
      <c r="K9">
        <f t="shared" si="9"/>
        <v>49</v>
      </c>
      <c r="L9" t="str">
        <f t="shared" si="10"/>
        <v>Clothing SP:David20171011 $811</v>
      </c>
      <c r="M9" t="str">
        <f t="shared" si="11"/>
        <v>Clothing David20171011 $811</v>
      </c>
      <c r="N9" s="1" t="str">
        <f t="shared" si="12"/>
        <v>Clothing David 20171011 $811</v>
      </c>
      <c r="O9" s="9">
        <f t="shared" si="20"/>
        <v>9</v>
      </c>
      <c r="P9" s="9">
        <f t="shared" si="13"/>
        <v>15</v>
      </c>
      <c r="Q9" s="10">
        <f t="shared" si="14"/>
        <v>24</v>
      </c>
      <c r="R9" s="7" t="str">
        <f t="shared" si="15"/>
        <v>Clothing</v>
      </c>
      <c r="S9" s="7" t="str">
        <f t="shared" si="16"/>
        <v>David</v>
      </c>
      <c r="T9" s="7" t="str">
        <f t="shared" si="17"/>
        <v>20171011</v>
      </c>
      <c r="U9" s="7">
        <f t="shared" si="18"/>
        <v>811</v>
      </c>
      <c r="V9" s="8">
        <f t="shared" si="19"/>
        <v>43019</v>
      </c>
    </row>
    <row r="10" spans="1:22">
      <c r="A10" s="3">
        <f t="shared" si="0"/>
        <v>8</v>
      </c>
      <c r="B10" t="s">
        <v>14</v>
      </c>
      <c r="C10">
        <f t="shared" si="1"/>
        <v>29</v>
      </c>
      <c r="D10" t="str">
        <f t="shared" si="2"/>
        <v xml:space="preserve">/////PR:Clothing_____SP:David20171029   $1175 </v>
      </c>
      <c r="E10">
        <f t="shared" si="3"/>
        <v>32</v>
      </c>
      <c r="F10" t="str">
        <f t="shared" si="4"/>
        <v xml:space="preserve">/////PR:Clothing_____SP:David20171029   $1175 </v>
      </c>
      <c r="G10" t="str">
        <f t="shared" si="5"/>
        <v xml:space="preserve">PR:Clothing_____SP:David20171029   $1175 </v>
      </c>
      <c r="H10" t="str">
        <f t="shared" si="6"/>
        <v xml:space="preserve">PR:Clothing     SP:David20171029   $1175 </v>
      </c>
      <c r="I10" t="str">
        <f t="shared" si="7"/>
        <v>PR:Clothing SP:David20171029 $1175</v>
      </c>
      <c r="J10">
        <f t="shared" si="8"/>
        <v>34</v>
      </c>
      <c r="K10">
        <f t="shared" si="9"/>
        <v>53</v>
      </c>
      <c r="L10" t="str">
        <f t="shared" si="10"/>
        <v>Clothing SP:David20171029 $1175</v>
      </c>
      <c r="M10" t="str">
        <f t="shared" si="11"/>
        <v>Clothing David20171029 $1175</v>
      </c>
      <c r="N10" s="1" t="str">
        <f t="shared" si="12"/>
        <v>Clothing David 20171029 $1175</v>
      </c>
      <c r="O10" s="9">
        <f t="shared" si="20"/>
        <v>9</v>
      </c>
      <c r="P10" s="9">
        <f t="shared" si="13"/>
        <v>15</v>
      </c>
      <c r="Q10" s="10">
        <f t="shared" si="14"/>
        <v>24</v>
      </c>
      <c r="R10" s="7" t="str">
        <f t="shared" si="15"/>
        <v>Clothing</v>
      </c>
      <c r="S10" s="7" t="str">
        <f t="shared" si="16"/>
        <v>David</v>
      </c>
      <c r="T10" s="7" t="str">
        <f t="shared" si="17"/>
        <v>20171029</v>
      </c>
      <c r="U10" s="7">
        <f t="shared" si="18"/>
        <v>1175</v>
      </c>
      <c r="V10" s="8">
        <f t="shared" si="19"/>
        <v>43037</v>
      </c>
    </row>
    <row r="11" spans="1:22">
      <c r="A11" s="3">
        <f t="shared" si="0"/>
        <v>9</v>
      </c>
      <c r="B11" t="s">
        <v>15</v>
      </c>
      <c r="C11">
        <f t="shared" si="1"/>
        <v>30</v>
      </c>
      <c r="D11" t="str">
        <f t="shared" si="2"/>
        <v xml:space="preserve">////PR:Books____SP:Alice20171013   $586  </v>
      </c>
      <c r="E11">
        <f t="shared" si="3"/>
        <v>32</v>
      </c>
      <c r="F11" t="str">
        <f t="shared" si="4"/>
        <v xml:space="preserve">////PR:Books____SP:Alice20171013   $586  </v>
      </c>
      <c r="G11" t="str">
        <f t="shared" si="5"/>
        <v xml:space="preserve">PR:Books____SP:Alice20171013   $586  </v>
      </c>
      <c r="H11" t="str">
        <f t="shared" si="6"/>
        <v xml:space="preserve">PR:Books    SP:Alice20171013   $586  </v>
      </c>
      <c r="I11" t="str">
        <f t="shared" si="7"/>
        <v>PR:Books SP:Alice20171013 $586</v>
      </c>
      <c r="J11">
        <f t="shared" si="8"/>
        <v>30</v>
      </c>
      <c r="K11">
        <f t="shared" si="9"/>
        <v>54</v>
      </c>
      <c r="L11" t="str">
        <f t="shared" si="10"/>
        <v>Books SP:Alice20171013 $586</v>
      </c>
      <c r="M11" t="str">
        <f t="shared" si="11"/>
        <v>Books Alice20171013 $586</v>
      </c>
      <c r="N11" s="1" t="str">
        <f t="shared" si="12"/>
        <v>Books Alice 20171013 $586</v>
      </c>
      <c r="O11" s="9">
        <f t="shared" si="20"/>
        <v>6</v>
      </c>
      <c r="P11" s="9">
        <f t="shared" si="13"/>
        <v>12</v>
      </c>
      <c r="Q11" s="10">
        <f t="shared" si="14"/>
        <v>21</v>
      </c>
      <c r="R11" s="7" t="str">
        <f t="shared" si="15"/>
        <v>Books</v>
      </c>
      <c r="S11" s="7" t="str">
        <f t="shared" si="16"/>
        <v>Alice</v>
      </c>
      <c r="T11" s="7" t="str">
        <f t="shared" si="17"/>
        <v>20171013</v>
      </c>
      <c r="U11" s="7">
        <f t="shared" si="18"/>
        <v>586</v>
      </c>
      <c r="V11" s="8">
        <f t="shared" si="19"/>
        <v>43021</v>
      </c>
    </row>
    <row r="12" spans="1:22">
      <c r="A12" s="3">
        <f t="shared" si="0"/>
        <v>10</v>
      </c>
      <c r="B12" t="s">
        <v>16</v>
      </c>
      <c r="C12">
        <f t="shared" si="1"/>
        <v>29</v>
      </c>
      <c r="D12" t="str">
        <f t="shared" si="2"/>
        <v xml:space="preserve">////PR:Music__SP:David20171015     $1202 </v>
      </c>
      <c r="E12">
        <f t="shared" si="3"/>
        <v>32</v>
      </c>
      <c r="F12" t="str">
        <f t="shared" si="4"/>
        <v xml:space="preserve">////PR:Music__SP:David20171015     $1202 </v>
      </c>
      <c r="G12" t="str">
        <f t="shared" si="5"/>
        <v xml:space="preserve">PR:Music__SP:David20171015     $1202 </v>
      </c>
      <c r="H12" t="str">
        <f t="shared" si="6"/>
        <v xml:space="preserve">PR:Music  SP:David20171015     $1202 </v>
      </c>
      <c r="I12" t="str">
        <f t="shared" si="7"/>
        <v>PR:Music SP:David20171015 $1202</v>
      </c>
      <c r="J12">
        <f t="shared" si="8"/>
        <v>31</v>
      </c>
      <c r="K12">
        <f t="shared" si="9"/>
        <v>50</v>
      </c>
      <c r="L12" t="str">
        <f t="shared" si="10"/>
        <v>Music SP:David20171015 $1202</v>
      </c>
      <c r="M12" t="str">
        <f t="shared" si="11"/>
        <v>Music David20171015 $1202</v>
      </c>
      <c r="N12" s="1" t="str">
        <f t="shared" si="12"/>
        <v>Music David 20171015 $1202</v>
      </c>
      <c r="O12" s="9">
        <f t="shared" si="20"/>
        <v>6</v>
      </c>
      <c r="P12" s="9">
        <f t="shared" si="13"/>
        <v>12</v>
      </c>
      <c r="Q12" s="10">
        <f t="shared" si="14"/>
        <v>21</v>
      </c>
      <c r="R12" s="7" t="str">
        <f t="shared" si="15"/>
        <v>Music</v>
      </c>
      <c r="S12" s="7" t="str">
        <f t="shared" si="16"/>
        <v>David</v>
      </c>
      <c r="T12" s="7" t="str">
        <f t="shared" si="17"/>
        <v>20171015</v>
      </c>
      <c r="U12" s="7">
        <f t="shared" si="18"/>
        <v>1202</v>
      </c>
      <c r="V12" s="8">
        <f t="shared" si="19"/>
        <v>43023</v>
      </c>
    </row>
    <row r="13" spans="1:22">
      <c r="A13" s="3">
        <f t="shared" si="0"/>
        <v>11</v>
      </c>
      <c r="B13" t="s">
        <v>17</v>
      </c>
      <c r="C13">
        <f t="shared" si="1"/>
        <v>30</v>
      </c>
      <c r="D13" t="str">
        <f t="shared" si="2"/>
        <v xml:space="preserve">/////PR:Games___SP:David20171022 $0   </v>
      </c>
      <c r="E13">
        <f t="shared" si="3"/>
        <v>32</v>
      </c>
      <c r="F13" t="str">
        <f t="shared" si="4"/>
        <v xml:space="preserve">/////PR:Games___SP:David20171022 $0   </v>
      </c>
      <c r="G13" t="str">
        <f t="shared" si="5"/>
        <v xml:space="preserve">PR:Games___SP:David20171022 $0   </v>
      </c>
      <c r="H13" t="str">
        <f t="shared" si="6"/>
        <v xml:space="preserve">PR:Games   SP:David20171022 $0   </v>
      </c>
      <c r="I13" t="str">
        <f t="shared" si="7"/>
        <v>PR:Games SP:David20171022 $0</v>
      </c>
      <c r="J13">
        <f t="shared" si="8"/>
        <v>28</v>
      </c>
      <c r="K13">
        <f t="shared" si="9"/>
        <v>48</v>
      </c>
      <c r="L13" t="str">
        <f t="shared" si="10"/>
        <v>Games SP:David20171022 $0</v>
      </c>
      <c r="M13" t="str">
        <f t="shared" si="11"/>
        <v>Games David20171022 $0</v>
      </c>
      <c r="N13" s="1" t="str">
        <f t="shared" si="12"/>
        <v>Games David 20171022 $0</v>
      </c>
      <c r="O13" s="9">
        <f t="shared" si="20"/>
        <v>6</v>
      </c>
      <c r="P13" s="9">
        <f t="shared" si="13"/>
        <v>12</v>
      </c>
      <c r="Q13" s="10">
        <f t="shared" si="14"/>
        <v>21</v>
      </c>
      <c r="R13" s="7" t="str">
        <f t="shared" si="15"/>
        <v>Games</v>
      </c>
      <c r="S13" s="7" t="str">
        <f t="shared" si="16"/>
        <v>David</v>
      </c>
      <c r="T13" s="7" t="str">
        <f t="shared" si="17"/>
        <v>20171022</v>
      </c>
      <c r="U13" s="7">
        <f t="shared" si="18"/>
        <v>0</v>
      </c>
      <c r="V13" s="8">
        <f t="shared" si="19"/>
        <v>43030</v>
      </c>
    </row>
    <row r="14" spans="1:22">
      <c r="A14" s="3">
        <f t="shared" si="0"/>
        <v>12</v>
      </c>
      <c r="B14" t="s">
        <v>18</v>
      </c>
      <c r="C14">
        <f t="shared" si="1"/>
        <v>30</v>
      </c>
      <c r="D14" t="str">
        <f t="shared" si="2"/>
        <v xml:space="preserve">/////PR:Books_____SP:Alice2017101     $597   </v>
      </c>
      <c r="E14">
        <f t="shared" si="3"/>
        <v>32</v>
      </c>
      <c r="F14" t="str">
        <f t="shared" si="4"/>
        <v xml:space="preserve">/////PR:Books_____SP:Alice2017101     $597   </v>
      </c>
      <c r="G14" t="str">
        <f t="shared" si="5"/>
        <v xml:space="preserve">PR:Books_____SP:Alice2017101     $597   </v>
      </c>
      <c r="H14" t="str">
        <f t="shared" si="6"/>
        <v xml:space="preserve">PR:Books     SP:Alice2017101     $597   </v>
      </c>
      <c r="I14" t="str">
        <f t="shared" si="7"/>
        <v>PR:Books SP:Alice2017101 $597</v>
      </c>
      <c r="J14">
        <f t="shared" si="8"/>
        <v>29</v>
      </c>
      <c r="K14">
        <f t="shared" si="9"/>
        <v>55</v>
      </c>
      <c r="L14" t="str">
        <f t="shared" si="10"/>
        <v>Books SP:Alice2017101 $597</v>
      </c>
      <c r="M14" t="str">
        <f t="shared" si="11"/>
        <v>Books Alice2017101 $597</v>
      </c>
      <c r="N14" s="1" t="str">
        <f t="shared" si="12"/>
        <v>Books Alice 2017101 $597</v>
      </c>
      <c r="O14" s="9">
        <f t="shared" si="20"/>
        <v>6</v>
      </c>
      <c r="P14" s="9">
        <f t="shared" si="13"/>
        <v>12</v>
      </c>
      <c r="Q14" s="10">
        <f t="shared" si="14"/>
        <v>20</v>
      </c>
      <c r="R14" s="7" t="str">
        <f t="shared" si="15"/>
        <v>Books</v>
      </c>
      <c r="S14" s="7" t="str">
        <f t="shared" si="16"/>
        <v>Alice</v>
      </c>
      <c r="T14" s="7" t="str">
        <f t="shared" si="17"/>
        <v>2017101</v>
      </c>
      <c r="U14" s="7">
        <f t="shared" si="18"/>
        <v>597</v>
      </c>
      <c r="V14" s="8">
        <f t="shared" si="19"/>
        <v>43009</v>
      </c>
    </row>
    <row r="15" spans="1:22">
      <c r="A15" s="3">
        <f t="shared" si="0"/>
        <v>13</v>
      </c>
      <c r="B15" t="s">
        <v>19</v>
      </c>
      <c r="C15">
        <f t="shared" si="1"/>
        <v>29</v>
      </c>
      <c r="D15" t="str">
        <f t="shared" si="2"/>
        <v xml:space="preserve">/////PR:Music__SP:Alice20171031   $1142 </v>
      </c>
      <c r="E15">
        <f t="shared" si="3"/>
        <v>32</v>
      </c>
      <c r="F15" t="str">
        <f t="shared" si="4"/>
        <v xml:space="preserve">/////PR:Music__SP:Alice20171031   $1142 </v>
      </c>
      <c r="G15" t="str">
        <f t="shared" si="5"/>
        <v xml:space="preserve">PR:Music__SP:Alice20171031   $1142 </v>
      </c>
      <c r="H15" t="str">
        <f t="shared" si="6"/>
        <v xml:space="preserve">PR:Music  SP:Alice20171031   $1142 </v>
      </c>
      <c r="I15" t="str">
        <f t="shared" si="7"/>
        <v>PR:Music SP:Alice20171031 $1142</v>
      </c>
      <c r="J15">
        <f t="shared" si="8"/>
        <v>31</v>
      </c>
      <c r="K15">
        <f t="shared" si="9"/>
        <v>50</v>
      </c>
      <c r="L15" t="str">
        <f t="shared" si="10"/>
        <v>Music SP:Alice20171031 $1142</v>
      </c>
      <c r="M15" t="str">
        <f t="shared" si="11"/>
        <v>Music Alice20171031 $1142</v>
      </c>
      <c r="N15" s="1" t="str">
        <f t="shared" si="12"/>
        <v>Music Alice 20171031 $1142</v>
      </c>
      <c r="O15" s="9">
        <f t="shared" si="20"/>
        <v>6</v>
      </c>
      <c r="P15" s="9">
        <f t="shared" si="13"/>
        <v>12</v>
      </c>
      <c r="Q15" s="10">
        <f t="shared" si="14"/>
        <v>21</v>
      </c>
      <c r="R15" s="7" t="str">
        <f t="shared" si="15"/>
        <v>Music</v>
      </c>
      <c r="S15" s="7" t="str">
        <f t="shared" si="16"/>
        <v>Alice</v>
      </c>
      <c r="T15" s="7" t="str">
        <f t="shared" si="17"/>
        <v>20171031</v>
      </c>
      <c r="U15" s="7">
        <f t="shared" si="18"/>
        <v>1142</v>
      </c>
      <c r="V15" s="8">
        <f t="shared" si="19"/>
        <v>43039</v>
      </c>
    </row>
    <row r="16" spans="1:22">
      <c r="A16" s="3">
        <f t="shared" si="0"/>
        <v>14</v>
      </c>
      <c r="B16" t="s">
        <v>20</v>
      </c>
      <c r="C16">
        <f t="shared" si="1"/>
        <v>30</v>
      </c>
      <c r="D16" t="str">
        <f t="shared" si="2"/>
        <v xml:space="preserve">/PR:Clothing_SP:Carol20171025   $1213  </v>
      </c>
      <c r="E16">
        <f t="shared" si="3"/>
        <v>32</v>
      </c>
      <c r="F16" t="str">
        <f t="shared" si="4"/>
        <v xml:space="preserve">/PR:Clothing_SP:Carol20171025   $1213  </v>
      </c>
      <c r="G16" t="str">
        <f t="shared" si="5"/>
        <v xml:space="preserve">PR:Clothing_SP:Carol20171025   $1213  </v>
      </c>
      <c r="H16" t="str">
        <f t="shared" si="6"/>
        <v xml:space="preserve">PR:Clothing SP:Carol20171025   $1213  </v>
      </c>
      <c r="I16" t="str">
        <f t="shared" si="7"/>
        <v>PR:Clothing SP:Carol20171025 $1213</v>
      </c>
      <c r="J16">
        <f t="shared" si="8"/>
        <v>34</v>
      </c>
      <c r="K16">
        <f t="shared" si="9"/>
        <v>51</v>
      </c>
      <c r="L16" t="str">
        <f t="shared" si="10"/>
        <v>Clothing SP:Carol20171025 $1213</v>
      </c>
      <c r="M16" t="str">
        <f t="shared" si="11"/>
        <v>Clothing Carol20171025 $1213</v>
      </c>
      <c r="N16" s="1" t="str">
        <f t="shared" si="12"/>
        <v>Clothing Carol 20171025 $1213</v>
      </c>
      <c r="O16" s="9">
        <f t="shared" si="20"/>
        <v>9</v>
      </c>
      <c r="P16" s="9">
        <f t="shared" si="13"/>
        <v>15</v>
      </c>
      <c r="Q16" s="10">
        <f t="shared" si="14"/>
        <v>24</v>
      </c>
      <c r="R16" s="7" t="str">
        <f t="shared" si="15"/>
        <v>Clothing</v>
      </c>
      <c r="S16" s="7" t="str">
        <f t="shared" si="16"/>
        <v>Carol</v>
      </c>
      <c r="T16" s="7" t="str">
        <f t="shared" si="17"/>
        <v>20171025</v>
      </c>
      <c r="U16" s="7">
        <f t="shared" si="18"/>
        <v>1213</v>
      </c>
      <c r="V16" s="8">
        <f t="shared" si="19"/>
        <v>43033</v>
      </c>
    </row>
    <row r="17" spans="1:22">
      <c r="A17" s="3">
        <f t="shared" si="0"/>
        <v>15</v>
      </c>
      <c r="B17" t="s">
        <v>21</v>
      </c>
      <c r="C17">
        <f t="shared" si="1"/>
        <v>28</v>
      </c>
      <c r="D17" t="str">
        <f t="shared" si="2"/>
        <v xml:space="preserve">/////PR:Games_____SP:Alice20171021 $0     </v>
      </c>
      <c r="E17">
        <f t="shared" si="3"/>
        <v>32</v>
      </c>
      <c r="F17" t="str">
        <f t="shared" si="4"/>
        <v xml:space="preserve">/////PR:Games_____SP:Alice20171021 $0     </v>
      </c>
      <c r="G17" t="str">
        <f t="shared" si="5"/>
        <v xml:space="preserve">PR:Games_____SP:Alice20171021 $0     </v>
      </c>
      <c r="H17" t="str">
        <f t="shared" si="6"/>
        <v xml:space="preserve">PR:Games     SP:Alice20171021 $0     </v>
      </c>
      <c r="I17" t="str">
        <f t="shared" si="7"/>
        <v>PR:Games SP:Alice20171021 $0</v>
      </c>
      <c r="J17">
        <f t="shared" si="8"/>
        <v>28</v>
      </c>
      <c r="K17">
        <f t="shared" si="9"/>
        <v>48</v>
      </c>
      <c r="L17" t="str">
        <f t="shared" si="10"/>
        <v>Games SP:Alice20171021 $0</v>
      </c>
      <c r="M17" t="str">
        <f t="shared" si="11"/>
        <v>Games Alice20171021 $0</v>
      </c>
      <c r="N17" s="1" t="str">
        <f t="shared" si="12"/>
        <v>Games Alice 20171021 $0</v>
      </c>
      <c r="O17" s="9">
        <f t="shared" si="20"/>
        <v>6</v>
      </c>
      <c r="P17" s="9">
        <f t="shared" si="13"/>
        <v>12</v>
      </c>
      <c r="Q17" s="10">
        <f t="shared" si="14"/>
        <v>21</v>
      </c>
      <c r="R17" s="7" t="str">
        <f t="shared" si="15"/>
        <v>Games</v>
      </c>
      <c r="S17" s="7" t="str">
        <f t="shared" si="16"/>
        <v>Alice</v>
      </c>
      <c r="T17" s="7" t="str">
        <f t="shared" si="17"/>
        <v>20171021</v>
      </c>
      <c r="U17" s="7">
        <f t="shared" si="18"/>
        <v>0</v>
      </c>
      <c r="V17" s="8">
        <f t="shared" si="19"/>
        <v>43029</v>
      </c>
    </row>
    <row r="18" spans="1:22">
      <c r="A18" s="3">
        <f t="shared" si="0"/>
        <v>16</v>
      </c>
      <c r="B18" t="s">
        <v>22</v>
      </c>
      <c r="C18">
        <f t="shared" si="1"/>
        <v>31</v>
      </c>
      <c r="D18" t="str">
        <f t="shared" si="2"/>
        <v xml:space="preserve">///PR:Clothing_SP:David20171013   $0    </v>
      </c>
      <c r="E18">
        <f t="shared" si="3"/>
        <v>32</v>
      </c>
      <c r="F18" t="str">
        <f t="shared" si="4"/>
        <v xml:space="preserve">///PR:Clothing_SP:David20171013   $0    </v>
      </c>
      <c r="G18" t="str">
        <f t="shared" si="5"/>
        <v xml:space="preserve">PR:Clothing_SP:David20171013   $0    </v>
      </c>
      <c r="H18" t="str">
        <f t="shared" si="6"/>
        <v xml:space="preserve">PR:Clothing SP:David20171013   $0    </v>
      </c>
      <c r="I18" t="str">
        <f t="shared" si="7"/>
        <v>PR:Clothing SP:David20171013 $0</v>
      </c>
      <c r="J18">
        <f t="shared" si="8"/>
        <v>31</v>
      </c>
      <c r="K18">
        <f t="shared" si="9"/>
        <v>48</v>
      </c>
      <c r="L18" t="str">
        <f t="shared" si="10"/>
        <v>Clothing SP:David20171013 $0</v>
      </c>
      <c r="M18" t="str">
        <f t="shared" si="11"/>
        <v>Clothing David20171013 $0</v>
      </c>
      <c r="N18" s="1" t="str">
        <f t="shared" si="12"/>
        <v>Clothing David 20171013 $0</v>
      </c>
      <c r="O18" s="9">
        <f t="shared" si="20"/>
        <v>9</v>
      </c>
      <c r="P18" s="9">
        <f t="shared" si="13"/>
        <v>15</v>
      </c>
      <c r="Q18" s="10">
        <f t="shared" si="14"/>
        <v>24</v>
      </c>
      <c r="R18" s="7" t="str">
        <f t="shared" si="15"/>
        <v>Clothing</v>
      </c>
      <c r="S18" s="7" t="str">
        <f t="shared" si="16"/>
        <v>David</v>
      </c>
      <c r="T18" s="7" t="str">
        <f t="shared" si="17"/>
        <v>20171013</v>
      </c>
      <c r="U18" s="7">
        <f t="shared" si="18"/>
        <v>0</v>
      </c>
      <c r="V18" s="8">
        <f t="shared" si="19"/>
        <v>43021</v>
      </c>
    </row>
    <row r="19" spans="1:22">
      <c r="A19" s="3">
        <f t="shared" si="0"/>
        <v>17</v>
      </c>
      <c r="B19" t="s">
        <v>23</v>
      </c>
      <c r="C19">
        <f t="shared" si="1"/>
        <v>28</v>
      </c>
      <c r="D19" t="str">
        <f t="shared" si="2"/>
        <v xml:space="preserve">/////PR:Books_SP:Carol2017103  $721    </v>
      </c>
      <c r="E19">
        <f t="shared" si="3"/>
        <v>32</v>
      </c>
      <c r="F19" t="str">
        <f t="shared" si="4"/>
        <v xml:space="preserve">/////PR:Books_SP:Carol2017103  $721    </v>
      </c>
      <c r="G19" t="str">
        <f t="shared" si="5"/>
        <v xml:space="preserve">PR:Books_SP:Carol2017103  $721    </v>
      </c>
      <c r="H19" t="str">
        <f t="shared" si="6"/>
        <v xml:space="preserve">PR:Books SP:Carol2017103  $721    </v>
      </c>
      <c r="I19" t="str">
        <f t="shared" si="7"/>
        <v>PR:Books SP:Carol2017103 $721</v>
      </c>
      <c r="J19">
        <f t="shared" si="8"/>
        <v>29</v>
      </c>
      <c r="K19">
        <f t="shared" si="9"/>
        <v>49</v>
      </c>
      <c r="L19" t="str">
        <f t="shared" si="10"/>
        <v>Books SP:Carol2017103 $721</v>
      </c>
      <c r="M19" t="str">
        <f t="shared" si="11"/>
        <v>Books Carol2017103 $721</v>
      </c>
      <c r="N19" s="1" t="str">
        <f t="shared" si="12"/>
        <v>Books Carol 2017103 $721</v>
      </c>
      <c r="O19" s="9">
        <f t="shared" si="20"/>
        <v>6</v>
      </c>
      <c r="P19" s="9">
        <f t="shared" si="13"/>
        <v>12</v>
      </c>
      <c r="Q19" s="10">
        <f t="shared" si="14"/>
        <v>20</v>
      </c>
      <c r="R19" s="7" t="str">
        <f t="shared" si="15"/>
        <v>Books</v>
      </c>
      <c r="S19" s="7" t="str">
        <f t="shared" si="16"/>
        <v>Carol</v>
      </c>
      <c r="T19" s="7" t="str">
        <f t="shared" si="17"/>
        <v>2017103</v>
      </c>
      <c r="U19" s="7">
        <f t="shared" si="18"/>
        <v>721</v>
      </c>
      <c r="V19" s="8">
        <f t="shared" si="19"/>
        <v>43011</v>
      </c>
    </row>
    <row r="20" spans="1:22">
      <c r="A20" s="3">
        <f t="shared" si="0"/>
        <v>18</v>
      </c>
      <c r="B20" t="s">
        <v>24</v>
      </c>
      <c r="C20">
        <f t="shared" si="1"/>
        <v>30</v>
      </c>
      <c r="D20" t="str">
        <f t="shared" si="2"/>
        <v xml:space="preserve">////PR:Clothing__SP:Carol20171026   $0 </v>
      </c>
      <c r="E20">
        <f t="shared" si="3"/>
        <v>32</v>
      </c>
      <c r="F20" t="str">
        <f t="shared" si="4"/>
        <v xml:space="preserve">////PR:Clothing__SP:Carol20171026   $0 </v>
      </c>
      <c r="G20" t="str">
        <f t="shared" si="5"/>
        <v xml:space="preserve">PR:Clothing__SP:Carol20171026   $0 </v>
      </c>
      <c r="H20" t="str">
        <f t="shared" si="6"/>
        <v xml:space="preserve">PR:Clothing  SP:Carol20171026   $0 </v>
      </c>
      <c r="I20" t="str">
        <f t="shared" si="7"/>
        <v>PR:Clothing SP:Carol20171026 $0</v>
      </c>
      <c r="J20">
        <f t="shared" si="8"/>
        <v>31</v>
      </c>
      <c r="K20">
        <f t="shared" si="9"/>
        <v>48</v>
      </c>
      <c r="L20" t="str">
        <f t="shared" si="10"/>
        <v>Clothing SP:Carol20171026 $0</v>
      </c>
      <c r="M20" t="str">
        <f t="shared" si="11"/>
        <v>Clothing Carol20171026 $0</v>
      </c>
      <c r="N20" s="1" t="str">
        <f t="shared" si="12"/>
        <v>Clothing Carol 20171026 $0</v>
      </c>
      <c r="O20" s="9">
        <f t="shared" si="20"/>
        <v>9</v>
      </c>
      <c r="P20" s="9">
        <f t="shared" si="13"/>
        <v>15</v>
      </c>
      <c r="Q20" s="10">
        <f t="shared" si="14"/>
        <v>24</v>
      </c>
      <c r="R20" s="7" t="str">
        <f t="shared" si="15"/>
        <v>Clothing</v>
      </c>
      <c r="S20" s="7" t="str">
        <f t="shared" si="16"/>
        <v>Carol</v>
      </c>
      <c r="T20" s="7" t="str">
        <f t="shared" si="17"/>
        <v>20171026</v>
      </c>
      <c r="U20" s="7">
        <f t="shared" si="18"/>
        <v>0</v>
      </c>
      <c r="V20" s="8">
        <f t="shared" si="19"/>
        <v>43034</v>
      </c>
    </row>
    <row r="21" spans="1:22">
      <c r="A21" s="3">
        <f t="shared" si="0"/>
        <v>19</v>
      </c>
      <c r="B21" t="s">
        <v>25</v>
      </c>
      <c r="C21">
        <f t="shared" si="1"/>
        <v>31</v>
      </c>
      <c r="D21" t="str">
        <f t="shared" si="2"/>
        <v xml:space="preserve">////PR:Clothing___SP:Barney20171016    $945 </v>
      </c>
      <c r="E21">
        <f t="shared" si="3"/>
        <v>32</v>
      </c>
      <c r="F21" t="str">
        <f t="shared" si="4"/>
        <v xml:space="preserve">////PR:Clothing___SP:Barney20171016    $945 </v>
      </c>
      <c r="G21" t="str">
        <f t="shared" si="5"/>
        <v xml:space="preserve">PR:Clothing___SP:Barney20171016    $945 </v>
      </c>
      <c r="H21" t="str">
        <f t="shared" si="6"/>
        <v xml:space="preserve">PR:Clothing   SP:Barney20171016    $945 </v>
      </c>
      <c r="I21" t="str">
        <f t="shared" si="7"/>
        <v>PR:Clothing SP:Barney20171016 $945</v>
      </c>
      <c r="J21">
        <f t="shared" si="8"/>
        <v>34</v>
      </c>
      <c r="K21">
        <f t="shared" si="9"/>
        <v>53</v>
      </c>
      <c r="L21" t="str">
        <f t="shared" si="10"/>
        <v>Clothing SP:Barney20171016 $945</v>
      </c>
      <c r="M21" t="str">
        <f t="shared" si="11"/>
        <v>Clothing Barney20171016 $945</v>
      </c>
      <c r="N21" s="1" t="str">
        <f t="shared" si="12"/>
        <v>Clothing Barney 20171016 $945</v>
      </c>
      <c r="O21" s="9">
        <f t="shared" si="20"/>
        <v>9</v>
      </c>
      <c r="P21" s="9">
        <f t="shared" si="13"/>
        <v>16</v>
      </c>
      <c r="Q21" s="10">
        <f t="shared" si="14"/>
        <v>25</v>
      </c>
      <c r="R21" s="7" t="str">
        <f t="shared" si="15"/>
        <v>Clothing</v>
      </c>
      <c r="S21" s="7" t="str">
        <f t="shared" si="16"/>
        <v>Barney</v>
      </c>
      <c r="T21" s="7" t="str">
        <f t="shared" si="17"/>
        <v>20171016</v>
      </c>
      <c r="U21" s="7">
        <f t="shared" si="18"/>
        <v>945</v>
      </c>
      <c r="V21" s="8">
        <f t="shared" si="19"/>
        <v>43024</v>
      </c>
    </row>
    <row r="22" spans="1:22">
      <c r="A22" s="3">
        <f t="shared" si="0"/>
        <v>20</v>
      </c>
      <c r="B22" t="s">
        <v>26</v>
      </c>
      <c r="C22">
        <f t="shared" si="1"/>
        <v>28</v>
      </c>
      <c r="D22" t="str">
        <f t="shared" si="2"/>
        <v xml:space="preserve">//PR:Clothing__SP:Barney20171025 $801  </v>
      </c>
      <c r="E22">
        <f t="shared" si="3"/>
        <v>32</v>
      </c>
      <c r="F22" t="str">
        <f t="shared" si="4"/>
        <v xml:space="preserve">//PR:Clothing__SP:Barney20171025 $801  </v>
      </c>
      <c r="G22" t="str">
        <f t="shared" si="5"/>
        <v xml:space="preserve">PR:Clothing__SP:Barney20171025 $801  </v>
      </c>
      <c r="H22" t="str">
        <f t="shared" si="6"/>
        <v xml:space="preserve">PR:Clothing  SP:Barney20171025 $801  </v>
      </c>
      <c r="I22" t="str">
        <f t="shared" si="7"/>
        <v>PR:Clothing SP:Barney20171025 $801</v>
      </c>
      <c r="J22">
        <f t="shared" si="8"/>
        <v>34</v>
      </c>
      <c r="K22">
        <f t="shared" si="9"/>
        <v>49</v>
      </c>
      <c r="L22" t="str">
        <f t="shared" si="10"/>
        <v>Clothing SP:Barney20171025 $801</v>
      </c>
      <c r="M22" t="str">
        <f t="shared" si="11"/>
        <v>Clothing Barney20171025 $801</v>
      </c>
      <c r="N22" s="1" t="str">
        <f t="shared" si="12"/>
        <v>Clothing Barney 20171025 $801</v>
      </c>
      <c r="O22" s="9">
        <f t="shared" si="20"/>
        <v>9</v>
      </c>
      <c r="P22" s="9">
        <f t="shared" si="13"/>
        <v>16</v>
      </c>
      <c r="Q22" s="10">
        <f t="shared" si="14"/>
        <v>25</v>
      </c>
      <c r="R22" s="7" t="str">
        <f t="shared" si="15"/>
        <v>Clothing</v>
      </c>
      <c r="S22" s="7" t="str">
        <f t="shared" si="16"/>
        <v>Barney</v>
      </c>
      <c r="T22" s="7" t="str">
        <f t="shared" si="17"/>
        <v>20171025</v>
      </c>
      <c r="U22" s="7">
        <f t="shared" si="18"/>
        <v>801</v>
      </c>
      <c r="V22" s="8">
        <f t="shared" si="19"/>
        <v>43033</v>
      </c>
    </row>
    <row r="23" spans="1:22">
      <c r="A23" s="3">
        <f t="shared" si="0"/>
        <v>21</v>
      </c>
      <c r="B23" t="s">
        <v>27</v>
      </c>
      <c r="C23">
        <f t="shared" si="1"/>
        <v>29</v>
      </c>
      <c r="D23" t="str">
        <f t="shared" si="2"/>
        <v xml:space="preserve">/////PR:Books_SP:David2017109     $866    </v>
      </c>
      <c r="E23">
        <f t="shared" si="3"/>
        <v>32</v>
      </c>
      <c r="F23" t="str">
        <f t="shared" si="4"/>
        <v xml:space="preserve">/////PR:Books_SP:David2017109     $866    </v>
      </c>
      <c r="G23" t="str">
        <f t="shared" si="5"/>
        <v xml:space="preserve">PR:Books_SP:David2017109     $866    </v>
      </c>
      <c r="H23" t="str">
        <f t="shared" si="6"/>
        <v xml:space="preserve">PR:Books SP:David2017109     $866    </v>
      </c>
      <c r="I23" t="str">
        <f t="shared" si="7"/>
        <v>PR:Books SP:David2017109 $866</v>
      </c>
      <c r="J23">
        <f t="shared" si="8"/>
        <v>29</v>
      </c>
      <c r="K23">
        <f t="shared" si="9"/>
        <v>54</v>
      </c>
      <c r="L23" t="str">
        <f t="shared" si="10"/>
        <v>Books SP:David2017109 $866</v>
      </c>
      <c r="M23" t="str">
        <f t="shared" si="11"/>
        <v>Books David2017109 $866</v>
      </c>
      <c r="N23" s="1" t="str">
        <f t="shared" si="12"/>
        <v>Books David 2017109 $866</v>
      </c>
      <c r="O23" s="9">
        <f t="shared" si="20"/>
        <v>6</v>
      </c>
      <c r="P23" s="9">
        <f t="shared" si="13"/>
        <v>12</v>
      </c>
      <c r="Q23" s="10">
        <f t="shared" si="14"/>
        <v>20</v>
      </c>
      <c r="R23" s="7" t="str">
        <f t="shared" si="15"/>
        <v>Books</v>
      </c>
      <c r="S23" s="7" t="str">
        <f t="shared" si="16"/>
        <v>David</v>
      </c>
      <c r="T23" s="7" t="str">
        <f t="shared" si="17"/>
        <v>2017109</v>
      </c>
      <c r="U23" s="7">
        <f t="shared" si="18"/>
        <v>866</v>
      </c>
      <c r="V23" s="8">
        <f t="shared" si="19"/>
        <v>43017</v>
      </c>
    </row>
    <row r="24" spans="1:22">
      <c r="A24" s="3">
        <f t="shared" si="0"/>
        <v>22</v>
      </c>
      <c r="B24" t="s">
        <v>28</v>
      </c>
      <c r="C24">
        <f t="shared" si="1"/>
        <v>29</v>
      </c>
      <c r="D24" t="str">
        <f t="shared" si="2"/>
        <v xml:space="preserve">/////PR:Books__SP:David20171017  $0  </v>
      </c>
      <c r="E24">
        <f t="shared" si="3"/>
        <v>32</v>
      </c>
      <c r="F24" t="str">
        <f t="shared" si="4"/>
        <v xml:space="preserve">/////PR:Books__SP:David20171017  $0  </v>
      </c>
      <c r="G24" t="str">
        <f t="shared" si="5"/>
        <v xml:space="preserve">PR:Books__SP:David20171017  $0  </v>
      </c>
      <c r="H24" t="str">
        <f t="shared" si="6"/>
        <v xml:space="preserve">PR:Books  SP:David20171017  $0  </v>
      </c>
      <c r="I24" t="str">
        <f t="shared" si="7"/>
        <v>PR:Books SP:David20171017 $0</v>
      </c>
      <c r="J24">
        <f t="shared" si="8"/>
        <v>28</v>
      </c>
      <c r="K24">
        <f t="shared" si="9"/>
        <v>48</v>
      </c>
      <c r="L24" t="str">
        <f t="shared" si="10"/>
        <v>Books SP:David20171017 $0</v>
      </c>
      <c r="M24" t="str">
        <f t="shared" si="11"/>
        <v>Books David20171017 $0</v>
      </c>
      <c r="N24" s="1" t="str">
        <f t="shared" si="12"/>
        <v>Books David 20171017 $0</v>
      </c>
      <c r="O24" s="9">
        <f t="shared" si="20"/>
        <v>6</v>
      </c>
      <c r="P24" s="9">
        <f t="shared" si="13"/>
        <v>12</v>
      </c>
      <c r="Q24" s="10">
        <f t="shared" si="14"/>
        <v>21</v>
      </c>
      <c r="R24" s="7" t="str">
        <f t="shared" si="15"/>
        <v>Books</v>
      </c>
      <c r="S24" s="7" t="str">
        <f t="shared" si="16"/>
        <v>David</v>
      </c>
      <c r="T24" s="7" t="str">
        <f t="shared" si="17"/>
        <v>20171017</v>
      </c>
      <c r="U24" s="7">
        <f t="shared" si="18"/>
        <v>0</v>
      </c>
      <c r="V24" s="8">
        <f t="shared" si="19"/>
        <v>43025</v>
      </c>
    </row>
    <row r="25" spans="1:22">
      <c r="A25" s="3">
        <f t="shared" si="0"/>
        <v>23</v>
      </c>
      <c r="B25" t="s">
        <v>29</v>
      </c>
      <c r="C25">
        <f t="shared" si="1"/>
        <v>31</v>
      </c>
      <c r="D25" t="str">
        <f t="shared" si="2"/>
        <v xml:space="preserve">/PR:Clothing___SP:David2017104  $1574    </v>
      </c>
      <c r="E25">
        <f t="shared" si="3"/>
        <v>32</v>
      </c>
      <c r="F25" t="str">
        <f t="shared" si="4"/>
        <v xml:space="preserve">/PR:Clothing___SP:David2017104  $1574    </v>
      </c>
      <c r="G25" t="str">
        <f t="shared" si="5"/>
        <v xml:space="preserve">PR:Clothing___SP:David2017104  $1574    </v>
      </c>
      <c r="H25" t="str">
        <f t="shared" si="6"/>
        <v xml:space="preserve">PR:Clothing   SP:David2017104  $1574    </v>
      </c>
      <c r="I25" t="str">
        <f t="shared" si="7"/>
        <v>PR:Clothing SP:David2017104 $1574</v>
      </c>
      <c r="J25">
        <f t="shared" si="8"/>
        <v>33</v>
      </c>
      <c r="K25">
        <f t="shared" si="9"/>
        <v>52</v>
      </c>
      <c r="L25" t="str">
        <f t="shared" si="10"/>
        <v>Clothing SP:David2017104 $1574</v>
      </c>
      <c r="M25" t="str">
        <f t="shared" si="11"/>
        <v>Clothing David2017104 $1574</v>
      </c>
      <c r="N25" s="1" t="str">
        <f t="shared" si="12"/>
        <v>Clothing David 2017104 $1574</v>
      </c>
      <c r="O25" s="9">
        <f t="shared" si="20"/>
        <v>9</v>
      </c>
      <c r="P25" s="9">
        <f t="shared" si="13"/>
        <v>15</v>
      </c>
      <c r="Q25" s="10">
        <f t="shared" si="14"/>
        <v>23</v>
      </c>
      <c r="R25" s="7" t="str">
        <f t="shared" si="15"/>
        <v>Clothing</v>
      </c>
      <c r="S25" s="7" t="str">
        <f t="shared" si="16"/>
        <v>David</v>
      </c>
      <c r="T25" s="7" t="str">
        <f t="shared" si="17"/>
        <v>2017104</v>
      </c>
      <c r="U25" s="7">
        <f t="shared" si="18"/>
        <v>1574</v>
      </c>
      <c r="V25" s="8">
        <f t="shared" si="19"/>
        <v>43012</v>
      </c>
    </row>
    <row r="26" spans="1:22">
      <c r="A26" s="3">
        <f t="shared" si="0"/>
        <v>24</v>
      </c>
      <c r="B26" t="s">
        <v>30</v>
      </c>
      <c r="C26">
        <f t="shared" si="1"/>
        <v>31</v>
      </c>
      <c r="D26" t="str">
        <f t="shared" si="2"/>
        <v xml:space="preserve">////PR:Music__SP:Barney2017108 $0 </v>
      </c>
      <c r="E26">
        <f t="shared" si="3"/>
        <v>32</v>
      </c>
      <c r="F26" t="str">
        <f t="shared" si="4"/>
        <v xml:space="preserve">////PR:Music__SP:Barney2017108 $0 </v>
      </c>
      <c r="G26" t="str">
        <f t="shared" si="5"/>
        <v xml:space="preserve">PR:Music__SP:Barney2017108 $0 </v>
      </c>
      <c r="H26" t="str">
        <f t="shared" si="6"/>
        <v xml:space="preserve">PR:Music  SP:Barney2017108 $0 </v>
      </c>
      <c r="I26" t="str">
        <f t="shared" si="7"/>
        <v>PR:Music SP:Barney2017108 $0</v>
      </c>
      <c r="J26">
        <f t="shared" si="8"/>
        <v>28</v>
      </c>
      <c r="K26">
        <f t="shared" si="9"/>
        <v>48</v>
      </c>
      <c r="L26" t="str">
        <f t="shared" si="10"/>
        <v>Music SP:Barney2017108 $0</v>
      </c>
      <c r="M26" t="str">
        <f t="shared" si="11"/>
        <v>Music Barney2017108 $0</v>
      </c>
      <c r="N26" s="1" t="str">
        <f t="shared" si="12"/>
        <v>Music Barney 2017108 $0</v>
      </c>
      <c r="O26" s="9">
        <f t="shared" si="20"/>
        <v>6</v>
      </c>
      <c r="P26" s="9">
        <f t="shared" si="13"/>
        <v>13</v>
      </c>
      <c r="Q26" s="10">
        <f t="shared" si="14"/>
        <v>21</v>
      </c>
      <c r="R26" s="7" t="str">
        <f t="shared" si="15"/>
        <v>Music</v>
      </c>
      <c r="S26" s="7" t="str">
        <f t="shared" si="16"/>
        <v>Barney</v>
      </c>
      <c r="T26" s="7" t="str">
        <f t="shared" si="17"/>
        <v>2017108</v>
      </c>
      <c r="U26" s="7">
        <f t="shared" si="18"/>
        <v>0</v>
      </c>
      <c r="V26" s="8">
        <f t="shared" si="19"/>
        <v>43016</v>
      </c>
    </row>
    <row r="27" spans="1:22">
      <c r="A27" s="3">
        <f t="shared" si="0"/>
        <v>25</v>
      </c>
      <c r="B27" t="s">
        <v>31</v>
      </c>
      <c r="C27">
        <f t="shared" si="1"/>
        <v>30</v>
      </c>
      <c r="D27" t="str">
        <f t="shared" si="2"/>
        <v xml:space="preserve">///PR:Books___SP:Carol20171023 $0   </v>
      </c>
      <c r="E27">
        <f t="shared" si="3"/>
        <v>32</v>
      </c>
      <c r="F27" t="str">
        <f t="shared" si="4"/>
        <v xml:space="preserve">///PR:Books___SP:Carol20171023 $0   </v>
      </c>
      <c r="G27" t="str">
        <f t="shared" si="5"/>
        <v xml:space="preserve">PR:Books___SP:Carol20171023 $0   </v>
      </c>
      <c r="H27" t="str">
        <f t="shared" si="6"/>
        <v xml:space="preserve">PR:Books   SP:Carol20171023 $0   </v>
      </c>
      <c r="I27" t="str">
        <f t="shared" si="7"/>
        <v>PR:Books SP:Carol20171023 $0</v>
      </c>
      <c r="J27">
        <f t="shared" si="8"/>
        <v>28</v>
      </c>
      <c r="K27">
        <f t="shared" si="9"/>
        <v>48</v>
      </c>
      <c r="L27" t="str">
        <f t="shared" si="10"/>
        <v>Books SP:Carol20171023 $0</v>
      </c>
      <c r="M27" t="str">
        <f t="shared" si="11"/>
        <v>Books Carol20171023 $0</v>
      </c>
      <c r="N27" s="1" t="str">
        <f t="shared" si="12"/>
        <v>Books Carol 20171023 $0</v>
      </c>
      <c r="O27" s="9">
        <f t="shared" si="20"/>
        <v>6</v>
      </c>
      <c r="P27" s="9">
        <f t="shared" si="13"/>
        <v>12</v>
      </c>
      <c r="Q27" s="10">
        <f t="shared" si="14"/>
        <v>21</v>
      </c>
      <c r="R27" s="7" t="str">
        <f t="shared" si="15"/>
        <v>Books</v>
      </c>
      <c r="S27" s="7" t="str">
        <f t="shared" si="16"/>
        <v>Carol</v>
      </c>
      <c r="T27" s="7" t="str">
        <f t="shared" si="17"/>
        <v>20171023</v>
      </c>
      <c r="U27" s="7">
        <f t="shared" si="18"/>
        <v>0</v>
      </c>
      <c r="V27" s="8">
        <f t="shared" si="19"/>
        <v>43031</v>
      </c>
    </row>
    <row r="28" spans="1:22">
      <c r="A28" s="3">
        <f t="shared" si="0"/>
        <v>26</v>
      </c>
      <c r="B28" t="s">
        <v>32</v>
      </c>
      <c r="C28">
        <f t="shared" si="1"/>
        <v>28</v>
      </c>
      <c r="D28" t="str">
        <f t="shared" si="2"/>
        <v xml:space="preserve">//PR:Games__SP:Alice20171011 $1326  </v>
      </c>
      <c r="E28">
        <f t="shared" si="3"/>
        <v>32</v>
      </c>
      <c r="F28" t="str">
        <f t="shared" si="4"/>
        <v xml:space="preserve">//PR:Games__SP:Alice20171011 $1326  </v>
      </c>
      <c r="G28" t="str">
        <f t="shared" si="5"/>
        <v xml:space="preserve">PR:Games__SP:Alice20171011 $1326  </v>
      </c>
      <c r="H28" t="str">
        <f t="shared" si="6"/>
        <v xml:space="preserve">PR:Games  SP:Alice20171011 $1326  </v>
      </c>
      <c r="I28" t="str">
        <f t="shared" si="7"/>
        <v>PR:Games SP:Alice20171011 $1326</v>
      </c>
      <c r="J28">
        <f t="shared" si="8"/>
        <v>31</v>
      </c>
      <c r="K28">
        <f t="shared" si="9"/>
        <v>54</v>
      </c>
      <c r="L28" t="str">
        <f t="shared" si="10"/>
        <v>Games SP:Alice20171011 $1326</v>
      </c>
      <c r="M28" t="str">
        <f t="shared" si="11"/>
        <v>Games Alice20171011 $1326</v>
      </c>
      <c r="N28" s="1" t="str">
        <f t="shared" si="12"/>
        <v>Games Alice 20171011 $1326</v>
      </c>
      <c r="O28" s="9">
        <f t="shared" si="20"/>
        <v>6</v>
      </c>
      <c r="P28" s="9">
        <f t="shared" si="13"/>
        <v>12</v>
      </c>
      <c r="Q28" s="10">
        <f t="shared" si="14"/>
        <v>21</v>
      </c>
      <c r="R28" s="7" t="str">
        <f t="shared" si="15"/>
        <v>Games</v>
      </c>
      <c r="S28" s="7" t="str">
        <f t="shared" si="16"/>
        <v>Alice</v>
      </c>
      <c r="T28" s="7" t="str">
        <f t="shared" si="17"/>
        <v>20171011</v>
      </c>
      <c r="U28" s="7">
        <f t="shared" si="18"/>
        <v>1326</v>
      </c>
      <c r="V28" s="8">
        <f t="shared" si="19"/>
        <v>43019</v>
      </c>
    </row>
    <row r="29" spans="1:22">
      <c r="A29" s="3">
        <f t="shared" si="0"/>
        <v>27</v>
      </c>
      <c r="B29" t="s">
        <v>33</v>
      </c>
      <c r="C29">
        <f t="shared" si="1"/>
        <v>30</v>
      </c>
      <c r="D29" t="str">
        <f t="shared" si="2"/>
        <v xml:space="preserve">/////PR:Clothing_SP:David20171026  $1044 </v>
      </c>
      <c r="E29">
        <f t="shared" si="3"/>
        <v>32</v>
      </c>
      <c r="F29" t="str">
        <f t="shared" si="4"/>
        <v xml:space="preserve">/////PR:Clothing_SP:David20171026  $1044 </v>
      </c>
      <c r="G29" t="str">
        <f t="shared" si="5"/>
        <v xml:space="preserve">PR:Clothing_SP:David20171026  $1044 </v>
      </c>
      <c r="H29" t="str">
        <f t="shared" si="6"/>
        <v xml:space="preserve">PR:Clothing SP:David20171026  $1044 </v>
      </c>
      <c r="I29" t="str">
        <f t="shared" si="7"/>
        <v>PR:Clothing SP:David20171026 $1044</v>
      </c>
      <c r="J29">
        <f t="shared" si="8"/>
        <v>34</v>
      </c>
      <c r="K29">
        <f t="shared" si="9"/>
        <v>52</v>
      </c>
      <c r="L29" t="str">
        <f t="shared" si="10"/>
        <v>Clothing SP:David20171026 $1044</v>
      </c>
      <c r="M29" t="str">
        <f t="shared" si="11"/>
        <v>Clothing David20171026 $1044</v>
      </c>
      <c r="N29" s="1" t="str">
        <f t="shared" si="12"/>
        <v>Clothing David 20171026 $1044</v>
      </c>
      <c r="O29" s="9">
        <f t="shared" si="20"/>
        <v>9</v>
      </c>
      <c r="P29" s="9">
        <f t="shared" si="13"/>
        <v>15</v>
      </c>
      <c r="Q29" s="10">
        <f t="shared" si="14"/>
        <v>24</v>
      </c>
      <c r="R29" s="7" t="str">
        <f t="shared" si="15"/>
        <v>Clothing</v>
      </c>
      <c r="S29" s="7" t="str">
        <f t="shared" si="16"/>
        <v>David</v>
      </c>
      <c r="T29" s="7" t="str">
        <f t="shared" si="17"/>
        <v>20171026</v>
      </c>
      <c r="U29" s="7">
        <f t="shared" si="18"/>
        <v>1044</v>
      </c>
      <c r="V29" s="8">
        <f t="shared" si="19"/>
        <v>43034</v>
      </c>
    </row>
    <row r="30" spans="1:22">
      <c r="A30" s="3">
        <f t="shared" si="0"/>
        <v>28</v>
      </c>
      <c r="B30" t="s">
        <v>34</v>
      </c>
      <c r="C30">
        <f t="shared" si="1"/>
        <v>29</v>
      </c>
      <c r="D30" t="str">
        <f t="shared" si="2"/>
        <v xml:space="preserve">//PR:Books_SP:Carol2017102  $0  </v>
      </c>
      <c r="E30">
        <f t="shared" si="3"/>
        <v>32</v>
      </c>
      <c r="F30" t="str">
        <f t="shared" si="4"/>
        <v xml:space="preserve">//PR:Books_SP:Carol2017102  $0  </v>
      </c>
      <c r="G30" t="str">
        <f t="shared" si="5"/>
        <v xml:space="preserve">PR:Books_SP:Carol2017102  $0  </v>
      </c>
      <c r="H30" t="str">
        <f t="shared" si="6"/>
        <v xml:space="preserve">PR:Books SP:Carol2017102  $0  </v>
      </c>
      <c r="I30" t="str">
        <f t="shared" si="7"/>
        <v>PR:Books SP:Carol2017102 $0</v>
      </c>
      <c r="J30">
        <f t="shared" si="8"/>
        <v>27</v>
      </c>
      <c r="K30">
        <f t="shared" si="9"/>
        <v>48</v>
      </c>
      <c r="L30" t="str">
        <f t="shared" si="10"/>
        <v>Books SP:Carol2017102 $0</v>
      </c>
      <c r="M30" t="str">
        <f t="shared" si="11"/>
        <v>Books Carol2017102 $0</v>
      </c>
      <c r="N30" s="1" t="str">
        <f t="shared" si="12"/>
        <v>Books Carol 2017102 $0</v>
      </c>
      <c r="O30" s="9">
        <f t="shared" si="20"/>
        <v>6</v>
      </c>
      <c r="P30" s="9">
        <f t="shared" si="13"/>
        <v>12</v>
      </c>
      <c r="Q30" s="10">
        <f t="shared" si="14"/>
        <v>20</v>
      </c>
      <c r="R30" s="7" t="str">
        <f t="shared" si="15"/>
        <v>Books</v>
      </c>
      <c r="S30" s="7" t="str">
        <f t="shared" si="16"/>
        <v>Carol</v>
      </c>
      <c r="T30" s="7" t="str">
        <f t="shared" si="17"/>
        <v>2017102</v>
      </c>
      <c r="U30" s="7">
        <f t="shared" si="18"/>
        <v>0</v>
      </c>
      <c r="V30" s="8">
        <f t="shared" si="19"/>
        <v>43010</v>
      </c>
    </row>
    <row r="31" spans="1:22">
      <c r="A31" s="3">
        <f t="shared" si="0"/>
        <v>29</v>
      </c>
      <c r="B31" t="s">
        <v>35</v>
      </c>
      <c r="C31">
        <f t="shared" si="1"/>
        <v>29</v>
      </c>
      <c r="D31" t="str">
        <f t="shared" si="2"/>
        <v xml:space="preserve">/PR:Books_____SP:Carol2017104 $718    </v>
      </c>
      <c r="E31">
        <f t="shared" si="3"/>
        <v>32</v>
      </c>
      <c r="F31" t="str">
        <f t="shared" si="4"/>
        <v xml:space="preserve">/PR:Books_____SP:Carol2017104 $718    </v>
      </c>
      <c r="G31" t="str">
        <f t="shared" si="5"/>
        <v xml:space="preserve">PR:Books_____SP:Carol2017104 $718    </v>
      </c>
      <c r="H31" t="str">
        <f t="shared" si="6"/>
        <v xml:space="preserve">PR:Books     SP:Carol2017104 $718    </v>
      </c>
      <c r="I31" t="str">
        <f t="shared" si="7"/>
        <v>PR:Books SP:Carol2017104 $718</v>
      </c>
      <c r="J31">
        <f t="shared" si="8"/>
        <v>29</v>
      </c>
      <c r="K31">
        <f t="shared" si="9"/>
        <v>56</v>
      </c>
      <c r="L31" t="str">
        <f t="shared" si="10"/>
        <v>Books SP:Carol2017104 $718</v>
      </c>
      <c r="M31" t="str">
        <f t="shared" si="11"/>
        <v>Books Carol2017104 $718</v>
      </c>
      <c r="N31" s="1" t="str">
        <f t="shared" si="12"/>
        <v>Books Carol 2017104 $718</v>
      </c>
      <c r="O31" s="9">
        <f t="shared" si="20"/>
        <v>6</v>
      </c>
      <c r="P31" s="9">
        <f t="shared" si="13"/>
        <v>12</v>
      </c>
      <c r="Q31" s="10">
        <f t="shared" si="14"/>
        <v>20</v>
      </c>
      <c r="R31" s="7" t="str">
        <f t="shared" si="15"/>
        <v>Books</v>
      </c>
      <c r="S31" s="7" t="str">
        <f t="shared" si="16"/>
        <v>Carol</v>
      </c>
      <c r="T31" s="7" t="str">
        <f t="shared" si="17"/>
        <v>2017104</v>
      </c>
      <c r="U31" s="7">
        <f t="shared" si="18"/>
        <v>718</v>
      </c>
      <c r="V31" s="8">
        <f t="shared" si="19"/>
        <v>43012</v>
      </c>
    </row>
    <row r="32" spans="1:22">
      <c r="A32" s="3">
        <f t="shared" si="0"/>
        <v>30</v>
      </c>
      <c r="B32" t="s">
        <v>36</v>
      </c>
      <c r="C32">
        <f t="shared" si="1"/>
        <v>30</v>
      </c>
      <c r="D32" t="str">
        <f t="shared" si="2"/>
        <v xml:space="preserve">//PR:Games__SP:Alice20171027     $1683     </v>
      </c>
      <c r="E32">
        <f t="shared" si="3"/>
        <v>32</v>
      </c>
      <c r="F32" t="str">
        <f t="shared" si="4"/>
        <v xml:space="preserve">//PR:Games__SP:Alice20171027     $1683     </v>
      </c>
      <c r="G32" t="str">
        <f t="shared" si="5"/>
        <v xml:space="preserve">PR:Games__SP:Alice20171027     $1683     </v>
      </c>
      <c r="H32" t="str">
        <f t="shared" si="6"/>
        <v xml:space="preserve">PR:Games  SP:Alice20171027     $1683     </v>
      </c>
      <c r="I32" t="str">
        <f t="shared" si="7"/>
        <v>PR:Games SP:Alice20171027 $1683</v>
      </c>
      <c r="J32">
        <f t="shared" si="8"/>
        <v>31</v>
      </c>
      <c r="K32">
        <f t="shared" si="9"/>
        <v>51</v>
      </c>
      <c r="L32" t="str">
        <f t="shared" si="10"/>
        <v>Games SP:Alice20171027 $1683</v>
      </c>
      <c r="M32" t="str">
        <f t="shared" si="11"/>
        <v>Games Alice20171027 $1683</v>
      </c>
      <c r="N32" s="1" t="str">
        <f t="shared" si="12"/>
        <v>Games Alice 20171027 $1683</v>
      </c>
      <c r="O32" s="9">
        <f t="shared" si="20"/>
        <v>6</v>
      </c>
      <c r="P32" s="9">
        <f t="shared" si="13"/>
        <v>12</v>
      </c>
      <c r="Q32" s="10">
        <f t="shared" si="14"/>
        <v>21</v>
      </c>
      <c r="R32" s="7" t="str">
        <f t="shared" si="15"/>
        <v>Games</v>
      </c>
      <c r="S32" s="7" t="str">
        <f t="shared" si="16"/>
        <v>Alice</v>
      </c>
      <c r="T32" s="7" t="str">
        <f t="shared" si="17"/>
        <v>20171027</v>
      </c>
      <c r="U32" s="7">
        <f t="shared" si="18"/>
        <v>1683</v>
      </c>
      <c r="V32" s="8">
        <f t="shared" si="19"/>
        <v>43035</v>
      </c>
    </row>
    <row r="33" spans="1:22">
      <c r="A33" s="3">
        <f t="shared" si="0"/>
        <v>31</v>
      </c>
      <c r="B33" t="s">
        <v>37</v>
      </c>
      <c r="C33">
        <f t="shared" si="1"/>
        <v>30</v>
      </c>
      <c r="D33" t="str">
        <f t="shared" si="2"/>
        <v xml:space="preserve">////PR:Clothing__SP:Carol20171017     $794   </v>
      </c>
      <c r="E33">
        <f t="shared" si="3"/>
        <v>32</v>
      </c>
      <c r="F33" t="str">
        <f t="shared" si="4"/>
        <v xml:space="preserve">////PR:Clothing__SP:Carol20171017     $794   </v>
      </c>
      <c r="G33" t="str">
        <f t="shared" si="5"/>
        <v xml:space="preserve">PR:Clothing__SP:Carol20171017     $794   </v>
      </c>
      <c r="H33" t="str">
        <f t="shared" si="6"/>
        <v xml:space="preserve">PR:Clothing  SP:Carol20171017     $794   </v>
      </c>
      <c r="I33" t="str">
        <f t="shared" si="7"/>
        <v>PR:Clothing SP:Carol20171017 $794</v>
      </c>
      <c r="J33">
        <f t="shared" si="8"/>
        <v>33</v>
      </c>
      <c r="K33">
        <f t="shared" si="9"/>
        <v>52</v>
      </c>
      <c r="L33" t="str">
        <f t="shared" si="10"/>
        <v>Clothing SP:Carol20171017 $794</v>
      </c>
      <c r="M33" t="str">
        <f t="shared" si="11"/>
        <v>Clothing Carol20171017 $794</v>
      </c>
      <c r="N33" s="1" t="str">
        <f t="shared" si="12"/>
        <v>Clothing Carol 20171017 $794</v>
      </c>
      <c r="O33" s="9">
        <f t="shared" si="20"/>
        <v>9</v>
      </c>
      <c r="P33" s="9">
        <f t="shared" si="13"/>
        <v>15</v>
      </c>
      <c r="Q33" s="10">
        <f t="shared" si="14"/>
        <v>24</v>
      </c>
      <c r="R33" s="7" t="str">
        <f t="shared" si="15"/>
        <v>Clothing</v>
      </c>
      <c r="S33" s="7" t="str">
        <f t="shared" si="16"/>
        <v>Carol</v>
      </c>
      <c r="T33" s="7" t="str">
        <f t="shared" si="17"/>
        <v>20171017</v>
      </c>
      <c r="U33" s="7">
        <f t="shared" si="18"/>
        <v>794</v>
      </c>
      <c r="V33" s="8">
        <f t="shared" si="19"/>
        <v>43025</v>
      </c>
    </row>
    <row r="34" spans="1:22">
      <c r="A34" s="3">
        <f t="shared" si="0"/>
        <v>32</v>
      </c>
      <c r="B34" t="s">
        <v>38</v>
      </c>
      <c r="C34">
        <f t="shared" si="1"/>
        <v>31</v>
      </c>
      <c r="D34" t="str">
        <f t="shared" si="2"/>
        <v xml:space="preserve">///PR:Games____SP:Alice20171023  $1747   </v>
      </c>
      <c r="E34">
        <f t="shared" si="3"/>
        <v>32</v>
      </c>
      <c r="F34" t="str">
        <f t="shared" si="4"/>
        <v xml:space="preserve">///PR:Games____SP:Alice20171023  $1747   </v>
      </c>
      <c r="G34" t="str">
        <f t="shared" si="5"/>
        <v xml:space="preserve">PR:Games____SP:Alice20171023  $1747   </v>
      </c>
      <c r="H34" t="str">
        <f t="shared" si="6"/>
        <v xml:space="preserve">PR:Games    SP:Alice20171023  $1747   </v>
      </c>
      <c r="I34" t="str">
        <f t="shared" si="7"/>
        <v>PR:Games SP:Alice20171023 $1747</v>
      </c>
      <c r="J34">
        <f t="shared" si="8"/>
        <v>31</v>
      </c>
      <c r="K34">
        <f t="shared" si="9"/>
        <v>55</v>
      </c>
      <c r="L34" t="str">
        <f t="shared" si="10"/>
        <v>Games SP:Alice20171023 $1747</v>
      </c>
      <c r="M34" t="str">
        <f t="shared" si="11"/>
        <v>Games Alice20171023 $1747</v>
      </c>
      <c r="N34" s="1" t="str">
        <f t="shared" si="12"/>
        <v>Games Alice 20171023 $1747</v>
      </c>
      <c r="O34" s="9">
        <f t="shared" si="20"/>
        <v>6</v>
      </c>
      <c r="P34" s="9">
        <f t="shared" si="13"/>
        <v>12</v>
      </c>
      <c r="Q34" s="10">
        <f t="shared" si="14"/>
        <v>21</v>
      </c>
      <c r="R34" s="7" t="str">
        <f t="shared" si="15"/>
        <v>Games</v>
      </c>
      <c r="S34" s="7" t="str">
        <f t="shared" si="16"/>
        <v>Alice</v>
      </c>
      <c r="T34" s="7" t="str">
        <f t="shared" si="17"/>
        <v>20171023</v>
      </c>
      <c r="U34" s="7">
        <f t="shared" si="18"/>
        <v>1747</v>
      </c>
      <c r="V34" s="8">
        <f t="shared" si="19"/>
        <v>43031</v>
      </c>
    </row>
    <row r="35" spans="1:22">
      <c r="A35" s="3">
        <f t="shared" si="0"/>
        <v>33</v>
      </c>
      <c r="B35" t="s">
        <v>39</v>
      </c>
      <c r="C35">
        <f t="shared" si="1"/>
        <v>30</v>
      </c>
      <c r="D35" t="str">
        <f t="shared" si="2"/>
        <v xml:space="preserve">/////PR:Games____SP:David2017107    $1489    </v>
      </c>
      <c r="E35">
        <f t="shared" si="3"/>
        <v>32</v>
      </c>
      <c r="F35" t="str">
        <f t="shared" si="4"/>
        <v xml:space="preserve">/////PR:Games____SP:David2017107    $1489    </v>
      </c>
      <c r="G35" t="str">
        <f t="shared" si="5"/>
        <v xml:space="preserve">PR:Games____SP:David2017107    $1489    </v>
      </c>
      <c r="H35" t="str">
        <f t="shared" si="6"/>
        <v xml:space="preserve">PR:Games    SP:David2017107    $1489    </v>
      </c>
      <c r="I35" t="str">
        <f t="shared" si="7"/>
        <v>PR:Games SP:David2017107 $1489</v>
      </c>
      <c r="J35">
        <f t="shared" si="8"/>
        <v>30</v>
      </c>
      <c r="K35">
        <f t="shared" si="9"/>
        <v>57</v>
      </c>
      <c r="L35" t="str">
        <f t="shared" si="10"/>
        <v>Games SP:David2017107 $1489</v>
      </c>
      <c r="M35" t="str">
        <f t="shared" si="11"/>
        <v>Games David2017107 $1489</v>
      </c>
      <c r="N35" s="1" t="str">
        <f t="shared" si="12"/>
        <v>Games David 2017107 $1489</v>
      </c>
      <c r="O35" s="9">
        <f t="shared" si="20"/>
        <v>6</v>
      </c>
      <c r="P35" s="9">
        <f t="shared" si="13"/>
        <v>12</v>
      </c>
      <c r="Q35" s="10">
        <f t="shared" si="14"/>
        <v>20</v>
      </c>
      <c r="R35" s="7" t="str">
        <f t="shared" si="15"/>
        <v>Games</v>
      </c>
      <c r="S35" s="7" t="str">
        <f t="shared" si="16"/>
        <v>David</v>
      </c>
      <c r="T35" s="7" t="str">
        <f t="shared" si="17"/>
        <v>2017107</v>
      </c>
      <c r="U35" s="7">
        <f t="shared" si="18"/>
        <v>1489</v>
      </c>
      <c r="V35" s="8">
        <f t="shared" si="19"/>
        <v>43015</v>
      </c>
    </row>
    <row r="36" spans="1:22">
      <c r="A36" s="3">
        <f t="shared" si="0"/>
        <v>34</v>
      </c>
      <c r="B36" t="s">
        <v>40</v>
      </c>
      <c r="C36">
        <f t="shared" si="1"/>
        <v>29</v>
      </c>
      <c r="D36" t="str">
        <f t="shared" si="2"/>
        <v xml:space="preserve">//PR:Clothing_____SP:Carol20171024     $681     </v>
      </c>
      <c r="E36">
        <f t="shared" si="3"/>
        <v>32</v>
      </c>
      <c r="F36" t="str">
        <f t="shared" si="4"/>
        <v xml:space="preserve">//PR:Clothing_____SP:Carol20171024     $681     </v>
      </c>
      <c r="G36" t="str">
        <f t="shared" si="5"/>
        <v xml:space="preserve">PR:Clothing_____SP:Carol20171024     $681     </v>
      </c>
      <c r="H36" t="str">
        <f t="shared" si="6"/>
        <v xml:space="preserve">PR:Clothing     SP:Carol20171024     $681     </v>
      </c>
      <c r="I36" t="str">
        <f t="shared" si="7"/>
        <v>PR:Clothing SP:Carol20171024 $681</v>
      </c>
      <c r="J36">
        <f t="shared" si="8"/>
        <v>33</v>
      </c>
      <c r="K36">
        <f t="shared" si="9"/>
        <v>49</v>
      </c>
      <c r="L36" t="str">
        <f t="shared" si="10"/>
        <v>Clothing SP:Carol20171024 $681</v>
      </c>
      <c r="M36" t="str">
        <f t="shared" si="11"/>
        <v>Clothing Carol20171024 $681</v>
      </c>
      <c r="N36" s="1" t="str">
        <f t="shared" si="12"/>
        <v>Clothing Carol 20171024 $681</v>
      </c>
      <c r="O36" s="9">
        <f t="shared" si="20"/>
        <v>9</v>
      </c>
      <c r="P36" s="9">
        <f t="shared" si="13"/>
        <v>15</v>
      </c>
      <c r="Q36" s="10">
        <f t="shared" si="14"/>
        <v>24</v>
      </c>
      <c r="R36" s="7" t="str">
        <f t="shared" si="15"/>
        <v>Clothing</v>
      </c>
      <c r="S36" s="7" t="str">
        <f t="shared" si="16"/>
        <v>Carol</v>
      </c>
      <c r="T36" s="7" t="str">
        <f t="shared" si="17"/>
        <v>20171024</v>
      </c>
      <c r="U36" s="7">
        <f t="shared" si="18"/>
        <v>681</v>
      </c>
      <c r="V36" s="8">
        <f t="shared" si="19"/>
        <v>43032</v>
      </c>
    </row>
    <row r="37" spans="1:22">
      <c r="A37" s="3">
        <f t="shared" si="0"/>
        <v>35</v>
      </c>
      <c r="B37" t="s">
        <v>41</v>
      </c>
      <c r="C37">
        <f t="shared" si="1"/>
        <v>30</v>
      </c>
      <c r="D37" t="str">
        <f t="shared" si="2"/>
        <v xml:space="preserve">/PR:Clothing_SP:Carol20171030   $0     </v>
      </c>
      <c r="E37">
        <f t="shared" si="3"/>
        <v>32</v>
      </c>
      <c r="F37" t="str">
        <f t="shared" si="4"/>
        <v xml:space="preserve">/PR:Clothing_SP:Carol20171030   $0     </v>
      </c>
      <c r="G37" t="str">
        <f t="shared" si="5"/>
        <v xml:space="preserve">PR:Clothing_SP:Carol20171030   $0     </v>
      </c>
      <c r="H37" t="str">
        <f t="shared" si="6"/>
        <v xml:space="preserve">PR:Clothing SP:Carol20171030   $0     </v>
      </c>
      <c r="I37" t="str">
        <f t="shared" si="7"/>
        <v>PR:Clothing SP:Carol20171030 $0</v>
      </c>
      <c r="J37">
        <f t="shared" si="8"/>
        <v>31</v>
      </c>
      <c r="K37">
        <f t="shared" si="9"/>
        <v>48</v>
      </c>
      <c r="L37" t="str">
        <f t="shared" si="10"/>
        <v>Clothing SP:Carol20171030 $0</v>
      </c>
      <c r="M37" t="str">
        <f t="shared" si="11"/>
        <v>Clothing Carol20171030 $0</v>
      </c>
      <c r="N37" s="1" t="str">
        <f t="shared" si="12"/>
        <v>Clothing Carol 20171030 $0</v>
      </c>
      <c r="O37" s="9">
        <f t="shared" si="20"/>
        <v>9</v>
      </c>
      <c r="P37" s="9">
        <f t="shared" si="13"/>
        <v>15</v>
      </c>
      <c r="Q37" s="10">
        <f t="shared" si="14"/>
        <v>24</v>
      </c>
      <c r="R37" s="7" t="str">
        <f t="shared" si="15"/>
        <v>Clothing</v>
      </c>
      <c r="S37" s="7" t="str">
        <f t="shared" si="16"/>
        <v>Carol</v>
      </c>
      <c r="T37" s="7" t="str">
        <f t="shared" si="17"/>
        <v>20171030</v>
      </c>
      <c r="U37" s="7">
        <f t="shared" si="18"/>
        <v>0</v>
      </c>
      <c r="V37" s="8">
        <f t="shared" si="19"/>
        <v>43038</v>
      </c>
    </row>
    <row r="38" spans="1:22">
      <c r="A38" s="3">
        <f t="shared" si="0"/>
        <v>36</v>
      </c>
      <c r="B38" t="s">
        <v>42</v>
      </c>
      <c r="C38">
        <f t="shared" si="1"/>
        <v>29</v>
      </c>
      <c r="D38" t="str">
        <f t="shared" si="2"/>
        <v xml:space="preserve">//PR:Music____SP:Alice20171020  $0    </v>
      </c>
      <c r="E38">
        <f t="shared" si="3"/>
        <v>32</v>
      </c>
      <c r="F38" t="str">
        <f t="shared" si="4"/>
        <v xml:space="preserve">//PR:Music____SP:Alice20171020  $0    </v>
      </c>
      <c r="G38" t="str">
        <f t="shared" si="5"/>
        <v xml:space="preserve">PR:Music____SP:Alice20171020  $0    </v>
      </c>
      <c r="H38" t="str">
        <f t="shared" si="6"/>
        <v xml:space="preserve">PR:Music    SP:Alice20171020  $0    </v>
      </c>
      <c r="I38" t="str">
        <f t="shared" si="7"/>
        <v>PR:Music SP:Alice20171020 $0</v>
      </c>
      <c r="J38">
        <f t="shared" si="8"/>
        <v>28</v>
      </c>
      <c r="K38">
        <f t="shared" si="9"/>
        <v>48</v>
      </c>
      <c r="L38" t="str">
        <f t="shared" si="10"/>
        <v>Music SP:Alice20171020 $0</v>
      </c>
      <c r="M38" t="str">
        <f t="shared" si="11"/>
        <v>Music Alice20171020 $0</v>
      </c>
      <c r="N38" s="1" t="str">
        <f t="shared" si="12"/>
        <v>Music Alice 20171020 $0</v>
      </c>
      <c r="O38" s="9">
        <f t="shared" si="20"/>
        <v>6</v>
      </c>
      <c r="P38" s="9">
        <f t="shared" si="13"/>
        <v>12</v>
      </c>
      <c r="Q38" s="10">
        <f t="shared" si="14"/>
        <v>21</v>
      </c>
      <c r="R38" s="7" t="str">
        <f t="shared" si="15"/>
        <v>Music</v>
      </c>
      <c r="S38" s="7" t="str">
        <f t="shared" si="16"/>
        <v>Alice</v>
      </c>
      <c r="T38" s="7" t="str">
        <f t="shared" si="17"/>
        <v>20171020</v>
      </c>
      <c r="U38" s="7">
        <f t="shared" si="18"/>
        <v>0</v>
      </c>
      <c r="V38" s="8">
        <f t="shared" si="19"/>
        <v>43028</v>
      </c>
    </row>
    <row r="39" spans="1:22">
      <c r="A39" s="3">
        <f t="shared" si="0"/>
        <v>37</v>
      </c>
      <c r="B39" t="s">
        <v>43</v>
      </c>
      <c r="C39">
        <f t="shared" si="1"/>
        <v>28</v>
      </c>
      <c r="D39" t="str">
        <f t="shared" si="2"/>
        <v xml:space="preserve">//PR:Books__SP:David20171021    $960    </v>
      </c>
      <c r="E39">
        <f t="shared" si="3"/>
        <v>32</v>
      </c>
      <c r="F39" t="str">
        <f t="shared" si="4"/>
        <v xml:space="preserve">//PR:Books__SP:David20171021    $960    </v>
      </c>
      <c r="G39" t="str">
        <f t="shared" si="5"/>
        <v xml:space="preserve">PR:Books__SP:David20171021    $960    </v>
      </c>
      <c r="H39" t="str">
        <f t="shared" si="6"/>
        <v xml:space="preserve">PR:Books  SP:David20171021    $960    </v>
      </c>
      <c r="I39" t="str">
        <f t="shared" si="7"/>
        <v>PR:Books SP:David20171021 $960</v>
      </c>
      <c r="J39">
        <f t="shared" si="8"/>
        <v>30</v>
      </c>
      <c r="K39">
        <f t="shared" si="9"/>
        <v>48</v>
      </c>
      <c r="L39" t="str">
        <f t="shared" si="10"/>
        <v>Books SP:David20171021 $960</v>
      </c>
      <c r="M39" t="str">
        <f t="shared" si="11"/>
        <v>Books David20171021 $960</v>
      </c>
      <c r="N39" s="1" t="str">
        <f t="shared" si="12"/>
        <v>Books David 20171021 $960</v>
      </c>
      <c r="O39" s="9">
        <f t="shared" si="20"/>
        <v>6</v>
      </c>
      <c r="P39" s="9">
        <f t="shared" si="13"/>
        <v>12</v>
      </c>
      <c r="Q39" s="10">
        <f t="shared" si="14"/>
        <v>21</v>
      </c>
      <c r="R39" s="7" t="str">
        <f t="shared" si="15"/>
        <v>Books</v>
      </c>
      <c r="S39" s="7" t="str">
        <f t="shared" si="16"/>
        <v>David</v>
      </c>
      <c r="T39" s="7" t="str">
        <f t="shared" si="17"/>
        <v>20171021</v>
      </c>
      <c r="U39" s="7">
        <f t="shared" si="18"/>
        <v>960</v>
      </c>
      <c r="V39" s="8">
        <f t="shared" si="19"/>
        <v>43029</v>
      </c>
    </row>
    <row r="40" spans="1:22">
      <c r="A40" s="3">
        <f t="shared" si="0"/>
        <v>38</v>
      </c>
      <c r="B40" t="s">
        <v>44</v>
      </c>
      <c r="C40">
        <f t="shared" si="1"/>
        <v>30</v>
      </c>
      <c r="D40" t="str">
        <f t="shared" si="2"/>
        <v xml:space="preserve">/PR:Books_____SP:Carol20171030   $731   </v>
      </c>
      <c r="E40">
        <f t="shared" si="3"/>
        <v>32</v>
      </c>
      <c r="F40" t="str">
        <f t="shared" si="4"/>
        <v xml:space="preserve">/PR:Books_____SP:Carol20171030   $731   </v>
      </c>
      <c r="G40" t="str">
        <f t="shared" si="5"/>
        <v xml:space="preserve">PR:Books_____SP:Carol20171030   $731   </v>
      </c>
      <c r="H40" t="str">
        <f t="shared" si="6"/>
        <v xml:space="preserve">PR:Books     SP:Carol20171030   $731   </v>
      </c>
      <c r="I40" t="str">
        <f t="shared" si="7"/>
        <v>PR:Books SP:Carol20171030 $731</v>
      </c>
      <c r="J40">
        <f t="shared" si="8"/>
        <v>30</v>
      </c>
      <c r="K40">
        <f t="shared" si="9"/>
        <v>49</v>
      </c>
      <c r="L40" t="str">
        <f t="shared" si="10"/>
        <v>Books SP:Carol20171030 $731</v>
      </c>
      <c r="M40" t="str">
        <f t="shared" si="11"/>
        <v>Books Carol20171030 $731</v>
      </c>
      <c r="N40" s="1" t="str">
        <f t="shared" si="12"/>
        <v>Books Carol 20171030 $731</v>
      </c>
      <c r="O40" s="9">
        <f t="shared" si="20"/>
        <v>6</v>
      </c>
      <c r="P40" s="9">
        <f t="shared" si="13"/>
        <v>12</v>
      </c>
      <c r="Q40" s="10">
        <f t="shared" si="14"/>
        <v>21</v>
      </c>
      <c r="R40" s="7" t="str">
        <f t="shared" si="15"/>
        <v>Books</v>
      </c>
      <c r="S40" s="7" t="str">
        <f t="shared" si="16"/>
        <v>Carol</v>
      </c>
      <c r="T40" s="7" t="str">
        <f t="shared" si="17"/>
        <v>20171030</v>
      </c>
      <c r="U40" s="7">
        <f t="shared" si="18"/>
        <v>731</v>
      </c>
      <c r="V40" s="8">
        <f t="shared" si="19"/>
        <v>43038</v>
      </c>
    </row>
    <row r="41" spans="1:22">
      <c r="A41" s="3">
        <f t="shared" si="0"/>
        <v>39</v>
      </c>
      <c r="B41" t="s">
        <v>45</v>
      </c>
      <c r="C41">
        <f t="shared" si="1"/>
        <v>30</v>
      </c>
      <c r="D41" t="str">
        <f t="shared" si="2"/>
        <v xml:space="preserve">/////PR:Games_____SP:David2017102   $2153    </v>
      </c>
      <c r="E41">
        <f t="shared" si="3"/>
        <v>32</v>
      </c>
      <c r="F41" t="str">
        <f t="shared" si="4"/>
        <v xml:space="preserve">/////PR:Games_____SP:David2017102   $2153    </v>
      </c>
      <c r="G41" t="str">
        <f t="shared" si="5"/>
        <v xml:space="preserve">PR:Games_____SP:David2017102   $2153    </v>
      </c>
      <c r="H41" t="str">
        <f t="shared" si="6"/>
        <v xml:space="preserve">PR:Games     SP:David2017102   $2153    </v>
      </c>
      <c r="I41" t="str">
        <f t="shared" si="7"/>
        <v>PR:Games SP:David2017102 $2153</v>
      </c>
      <c r="J41">
        <f t="shared" si="8"/>
        <v>30</v>
      </c>
      <c r="K41">
        <f t="shared" si="9"/>
        <v>51</v>
      </c>
      <c r="L41" t="str">
        <f t="shared" si="10"/>
        <v>Games SP:David2017102 $2153</v>
      </c>
      <c r="M41" t="str">
        <f t="shared" si="11"/>
        <v>Games David2017102 $2153</v>
      </c>
      <c r="N41" s="1" t="str">
        <f t="shared" si="12"/>
        <v>Games David 2017102 $2153</v>
      </c>
      <c r="O41" s="9">
        <f t="shared" si="20"/>
        <v>6</v>
      </c>
      <c r="P41" s="9">
        <f t="shared" si="13"/>
        <v>12</v>
      </c>
      <c r="Q41" s="10">
        <f t="shared" si="14"/>
        <v>20</v>
      </c>
      <c r="R41" s="7" t="str">
        <f t="shared" si="15"/>
        <v>Games</v>
      </c>
      <c r="S41" s="7" t="str">
        <f t="shared" si="16"/>
        <v>David</v>
      </c>
      <c r="T41" s="7" t="str">
        <f t="shared" si="17"/>
        <v>2017102</v>
      </c>
      <c r="U41" s="7">
        <f t="shared" si="18"/>
        <v>2153</v>
      </c>
      <c r="V41" s="8">
        <f t="shared" si="19"/>
        <v>43010</v>
      </c>
    </row>
    <row r="42" spans="1:22">
      <c r="A42" s="3">
        <f t="shared" si="0"/>
        <v>40</v>
      </c>
      <c r="B42" t="s">
        <v>46</v>
      </c>
      <c r="C42">
        <f t="shared" si="1"/>
        <v>31</v>
      </c>
      <c r="D42" t="str">
        <f t="shared" si="2"/>
        <v xml:space="preserve">////PR:Music_SP:Alice20171011  $0    </v>
      </c>
      <c r="E42">
        <f t="shared" si="3"/>
        <v>32</v>
      </c>
      <c r="F42" t="str">
        <f t="shared" si="4"/>
        <v xml:space="preserve">////PR:Music_SP:Alice20171011  $0    </v>
      </c>
      <c r="G42" t="str">
        <f t="shared" si="5"/>
        <v xml:space="preserve">PR:Music_SP:Alice20171011  $0    </v>
      </c>
      <c r="H42" t="str">
        <f t="shared" si="6"/>
        <v xml:space="preserve">PR:Music SP:Alice20171011  $0    </v>
      </c>
      <c r="I42" t="str">
        <f t="shared" si="7"/>
        <v>PR:Music SP:Alice20171011 $0</v>
      </c>
      <c r="J42">
        <f t="shared" si="8"/>
        <v>28</v>
      </c>
      <c r="K42">
        <f t="shared" si="9"/>
        <v>48</v>
      </c>
      <c r="L42" t="str">
        <f t="shared" si="10"/>
        <v>Music SP:Alice20171011 $0</v>
      </c>
      <c r="M42" t="str">
        <f t="shared" si="11"/>
        <v>Music Alice20171011 $0</v>
      </c>
      <c r="N42" s="1" t="str">
        <f t="shared" si="12"/>
        <v>Music Alice 20171011 $0</v>
      </c>
      <c r="O42" s="9">
        <f t="shared" si="20"/>
        <v>6</v>
      </c>
      <c r="P42" s="9">
        <f t="shared" si="13"/>
        <v>12</v>
      </c>
      <c r="Q42" s="10">
        <f t="shared" si="14"/>
        <v>21</v>
      </c>
      <c r="R42" s="7" t="str">
        <f t="shared" si="15"/>
        <v>Music</v>
      </c>
      <c r="S42" s="7" t="str">
        <f t="shared" si="16"/>
        <v>Alice</v>
      </c>
      <c r="T42" s="7" t="str">
        <f t="shared" si="17"/>
        <v>20171011</v>
      </c>
      <c r="U42" s="7">
        <f t="shared" si="18"/>
        <v>0</v>
      </c>
      <c r="V42" s="8">
        <f t="shared" si="19"/>
        <v>43019</v>
      </c>
    </row>
    <row r="43" spans="1:22">
      <c r="A43" s="3">
        <f t="shared" si="0"/>
        <v>41</v>
      </c>
      <c r="B43" t="s">
        <v>47</v>
      </c>
      <c r="C43">
        <f t="shared" si="1"/>
        <v>31</v>
      </c>
      <c r="D43" t="str">
        <f t="shared" si="2"/>
        <v xml:space="preserve">////PR:Books_____SP:Carol20171015   $754   </v>
      </c>
      <c r="E43">
        <f t="shared" si="3"/>
        <v>32</v>
      </c>
      <c r="F43" t="str">
        <f t="shared" si="4"/>
        <v xml:space="preserve">////PR:Books_____SP:Carol20171015   $754   </v>
      </c>
      <c r="G43" t="str">
        <f t="shared" si="5"/>
        <v xml:space="preserve">PR:Books_____SP:Carol20171015   $754   </v>
      </c>
      <c r="H43" t="str">
        <f t="shared" si="6"/>
        <v xml:space="preserve">PR:Books     SP:Carol20171015   $754   </v>
      </c>
      <c r="I43" t="str">
        <f t="shared" si="7"/>
        <v>PR:Books SP:Carol20171015 $754</v>
      </c>
      <c r="J43">
        <f t="shared" si="8"/>
        <v>30</v>
      </c>
      <c r="K43">
        <f t="shared" si="9"/>
        <v>52</v>
      </c>
      <c r="L43" t="str">
        <f t="shared" si="10"/>
        <v>Books SP:Carol20171015 $754</v>
      </c>
      <c r="M43" t="str">
        <f t="shared" si="11"/>
        <v>Books Carol20171015 $754</v>
      </c>
      <c r="N43" s="1" t="str">
        <f t="shared" si="12"/>
        <v>Books Carol 20171015 $754</v>
      </c>
      <c r="O43" s="9">
        <f t="shared" si="20"/>
        <v>6</v>
      </c>
      <c r="P43" s="9">
        <f t="shared" si="13"/>
        <v>12</v>
      </c>
      <c r="Q43" s="10">
        <f t="shared" si="14"/>
        <v>21</v>
      </c>
      <c r="R43" s="7" t="str">
        <f t="shared" si="15"/>
        <v>Books</v>
      </c>
      <c r="S43" s="7" t="str">
        <f t="shared" si="16"/>
        <v>Carol</v>
      </c>
      <c r="T43" s="7" t="str">
        <f t="shared" si="17"/>
        <v>20171015</v>
      </c>
      <c r="U43" s="7">
        <f t="shared" si="18"/>
        <v>754</v>
      </c>
      <c r="V43" s="8">
        <f t="shared" si="19"/>
        <v>43023</v>
      </c>
    </row>
    <row r="44" spans="1:22">
      <c r="A44" s="3">
        <f t="shared" si="0"/>
        <v>42</v>
      </c>
      <c r="B44" t="s">
        <v>48</v>
      </c>
      <c r="C44">
        <f t="shared" si="1"/>
        <v>29</v>
      </c>
      <c r="D44" t="str">
        <f t="shared" si="2"/>
        <v xml:space="preserve">/////PR:Music____SP:Carol20171012  $0  </v>
      </c>
      <c r="E44">
        <f t="shared" si="3"/>
        <v>32</v>
      </c>
      <c r="F44" t="str">
        <f t="shared" si="4"/>
        <v xml:space="preserve">/////PR:Music____SP:Carol20171012  $0  </v>
      </c>
      <c r="G44" t="str">
        <f t="shared" si="5"/>
        <v xml:space="preserve">PR:Music____SP:Carol20171012  $0  </v>
      </c>
      <c r="H44" t="str">
        <f t="shared" si="6"/>
        <v xml:space="preserve">PR:Music    SP:Carol20171012  $0  </v>
      </c>
      <c r="I44" t="str">
        <f t="shared" si="7"/>
        <v>PR:Music SP:Carol20171012 $0</v>
      </c>
      <c r="J44">
        <f t="shared" si="8"/>
        <v>28</v>
      </c>
      <c r="K44">
        <f t="shared" si="9"/>
        <v>48</v>
      </c>
      <c r="L44" t="str">
        <f t="shared" si="10"/>
        <v>Music SP:Carol20171012 $0</v>
      </c>
      <c r="M44" t="str">
        <f t="shared" si="11"/>
        <v>Music Carol20171012 $0</v>
      </c>
      <c r="N44" s="1" t="str">
        <f t="shared" si="12"/>
        <v>Music Carol 20171012 $0</v>
      </c>
      <c r="O44" s="9">
        <f t="shared" si="20"/>
        <v>6</v>
      </c>
      <c r="P44" s="9">
        <f t="shared" si="13"/>
        <v>12</v>
      </c>
      <c r="Q44" s="10">
        <f t="shared" si="14"/>
        <v>21</v>
      </c>
      <c r="R44" s="7" t="str">
        <f t="shared" si="15"/>
        <v>Music</v>
      </c>
      <c r="S44" s="7" t="str">
        <f t="shared" si="16"/>
        <v>Carol</v>
      </c>
      <c r="T44" s="7" t="str">
        <f t="shared" si="17"/>
        <v>20171012</v>
      </c>
      <c r="U44" s="7">
        <f t="shared" si="18"/>
        <v>0</v>
      </c>
      <c r="V44" s="8">
        <f t="shared" si="19"/>
        <v>43020</v>
      </c>
    </row>
    <row r="45" spans="1:22">
      <c r="A45" s="3">
        <f t="shared" si="0"/>
        <v>43</v>
      </c>
      <c r="B45" t="s">
        <v>49</v>
      </c>
      <c r="C45">
        <f t="shared" si="1"/>
        <v>31</v>
      </c>
      <c r="D45" t="str">
        <f t="shared" si="2"/>
        <v xml:space="preserve">///PR:Clothing_SP:Barney2017109  $1944    </v>
      </c>
      <c r="E45">
        <f t="shared" si="3"/>
        <v>32</v>
      </c>
      <c r="F45" t="str">
        <f t="shared" si="4"/>
        <v xml:space="preserve">///PR:Clothing_SP:Barney2017109  $1944    </v>
      </c>
      <c r="G45" t="str">
        <f t="shared" si="5"/>
        <v xml:space="preserve">PR:Clothing_SP:Barney2017109  $1944    </v>
      </c>
      <c r="H45" t="str">
        <f t="shared" si="6"/>
        <v xml:space="preserve">PR:Clothing SP:Barney2017109  $1944    </v>
      </c>
      <c r="I45" t="str">
        <f t="shared" si="7"/>
        <v>PR:Clothing SP:Barney2017109 $1944</v>
      </c>
      <c r="J45">
        <f t="shared" si="8"/>
        <v>34</v>
      </c>
      <c r="K45">
        <f t="shared" si="9"/>
        <v>52</v>
      </c>
      <c r="L45" t="str">
        <f t="shared" si="10"/>
        <v>Clothing SP:Barney2017109 $1944</v>
      </c>
      <c r="M45" t="str">
        <f t="shared" si="11"/>
        <v>Clothing Barney2017109 $1944</v>
      </c>
      <c r="N45" s="1" t="str">
        <f t="shared" si="12"/>
        <v>Clothing Barney 2017109 $1944</v>
      </c>
      <c r="O45" s="9">
        <f t="shared" si="20"/>
        <v>9</v>
      </c>
      <c r="P45" s="9">
        <f t="shared" si="13"/>
        <v>16</v>
      </c>
      <c r="Q45" s="10">
        <f t="shared" si="14"/>
        <v>24</v>
      </c>
      <c r="R45" s="7" t="str">
        <f t="shared" si="15"/>
        <v>Clothing</v>
      </c>
      <c r="S45" s="7" t="str">
        <f t="shared" si="16"/>
        <v>Barney</v>
      </c>
      <c r="T45" s="7" t="str">
        <f t="shared" si="17"/>
        <v>2017109</v>
      </c>
      <c r="U45" s="7">
        <f t="shared" si="18"/>
        <v>1944</v>
      </c>
      <c r="V45" s="8">
        <f t="shared" si="19"/>
        <v>43017</v>
      </c>
    </row>
    <row r="46" spans="1:22">
      <c r="A46" s="3">
        <f t="shared" si="0"/>
        <v>44</v>
      </c>
      <c r="B46" t="s">
        <v>50</v>
      </c>
      <c r="C46">
        <f t="shared" si="1"/>
        <v>29</v>
      </c>
      <c r="D46" t="str">
        <f t="shared" si="2"/>
        <v xml:space="preserve">/PR:Clothing__SP:Carol20171014     $808   </v>
      </c>
      <c r="E46">
        <f t="shared" si="3"/>
        <v>32</v>
      </c>
      <c r="F46" t="str">
        <f t="shared" si="4"/>
        <v xml:space="preserve">/PR:Clothing__SP:Carol20171014     $808   </v>
      </c>
      <c r="G46" t="str">
        <f t="shared" si="5"/>
        <v xml:space="preserve">PR:Clothing__SP:Carol20171014     $808   </v>
      </c>
      <c r="H46" t="str">
        <f t="shared" si="6"/>
        <v xml:space="preserve">PR:Clothing  SP:Carol20171014     $808   </v>
      </c>
      <c r="I46" t="str">
        <f t="shared" si="7"/>
        <v>PR:Clothing SP:Carol20171014 $808</v>
      </c>
      <c r="J46">
        <f t="shared" si="8"/>
        <v>33</v>
      </c>
      <c r="K46">
        <f t="shared" si="9"/>
        <v>56</v>
      </c>
      <c r="L46" t="str">
        <f t="shared" si="10"/>
        <v>Clothing SP:Carol20171014 $808</v>
      </c>
      <c r="M46" t="str">
        <f t="shared" si="11"/>
        <v>Clothing Carol20171014 $808</v>
      </c>
      <c r="N46" s="1" t="str">
        <f t="shared" si="12"/>
        <v>Clothing Carol 20171014 $808</v>
      </c>
      <c r="O46" s="9">
        <f t="shared" si="20"/>
        <v>9</v>
      </c>
      <c r="P46" s="9">
        <f t="shared" si="13"/>
        <v>15</v>
      </c>
      <c r="Q46" s="10">
        <f t="shared" si="14"/>
        <v>24</v>
      </c>
      <c r="R46" s="7" t="str">
        <f t="shared" si="15"/>
        <v>Clothing</v>
      </c>
      <c r="S46" s="7" t="str">
        <f t="shared" si="16"/>
        <v>Carol</v>
      </c>
      <c r="T46" s="7" t="str">
        <f t="shared" si="17"/>
        <v>20171014</v>
      </c>
      <c r="U46" s="7">
        <f t="shared" si="18"/>
        <v>808</v>
      </c>
      <c r="V46" s="8">
        <f t="shared" si="19"/>
        <v>43022</v>
      </c>
    </row>
    <row r="47" spans="1:22">
      <c r="A47" s="3">
        <f t="shared" si="0"/>
        <v>45</v>
      </c>
      <c r="B47" t="s">
        <v>51</v>
      </c>
      <c r="C47">
        <f t="shared" si="1"/>
        <v>30</v>
      </c>
      <c r="D47" t="str">
        <f t="shared" si="2"/>
        <v xml:space="preserve">/////PR:Clothing___SP:Carol20171010    $1732   </v>
      </c>
      <c r="E47">
        <f t="shared" si="3"/>
        <v>32</v>
      </c>
      <c r="F47" t="str">
        <f t="shared" si="4"/>
        <v xml:space="preserve">/////PR:Clothing___SP:Carol20171010    $1732   </v>
      </c>
      <c r="G47" t="str">
        <f t="shared" si="5"/>
        <v xml:space="preserve">PR:Clothing___SP:Carol20171010    $1732   </v>
      </c>
      <c r="H47" t="str">
        <f t="shared" si="6"/>
        <v xml:space="preserve">PR:Clothing   SP:Carol20171010    $1732   </v>
      </c>
      <c r="I47" t="str">
        <f t="shared" si="7"/>
        <v>PR:Clothing SP:Carol20171010 $1732</v>
      </c>
      <c r="J47">
        <f t="shared" si="8"/>
        <v>34</v>
      </c>
      <c r="K47">
        <f t="shared" si="9"/>
        <v>50</v>
      </c>
      <c r="L47" t="str">
        <f t="shared" si="10"/>
        <v>Clothing SP:Carol20171010 $1732</v>
      </c>
      <c r="M47" t="str">
        <f t="shared" si="11"/>
        <v>Clothing Carol20171010 $1732</v>
      </c>
      <c r="N47" s="1" t="str">
        <f t="shared" si="12"/>
        <v>Clothing Carol 20171010 $1732</v>
      </c>
      <c r="O47" s="9">
        <f t="shared" si="20"/>
        <v>9</v>
      </c>
      <c r="P47" s="9">
        <f t="shared" si="13"/>
        <v>15</v>
      </c>
      <c r="Q47" s="10">
        <f t="shared" si="14"/>
        <v>24</v>
      </c>
      <c r="R47" s="7" t="str">
        <f t="shared" si="15"/>
        <v>Clothing</v>
      </c>
      <c r="S47" s="7" t="str">
        <f t="shared" si="16"/>
        <v>Carol</v>
      </c>
      <c r="T47" s="7" t="str">
        <f t="shared" si="17"/>
        <v>20171010</v>
      </c>
      <c r="U47" s="7">
        <f t="shared" si="18"/>
        <v>1732</v>
      </c>
      <c r="V47" s="8">
        <f t="shared" si="19"/>
        <v>43018</v>
      </c>
    </row>
    <row r="48" spans="1:22">
      <c r="A48" s="3">
        <f t="shared" si="0"/>
        <v>46</v>
      </c>
      <c r="B48" t="s">
        <v>52</v>
      </c>
      <c r="C48">
        <f t="shared" si="1"/>
        <v>28</v>
      </c>
      <c r="D48" t="str">
        <f t="shared" si="2"/>
        <v xml:space="preserve">//PR:Games____SP:Barney20171018 $2493  </v>
      </c>
      <c r="E48">
        <f t="shared" si="3"/>
        <v>32</v>
      </c>
      <c r="F48" t="str">
        <f t="shared" si="4"/>
        <v xml:space="preserve">//PR:Games____SP:Barney20171018 $2493  </v>
      </c>
      <c r="G48" t="str">
        <f t="shared" si="5"/>
        <v xml:space="preserve">PR:Games____SP:Barney20171018 $2493  </v>
      </c>
      <c r="H48" t="str">
        <f t="shared" si="6"/>
        <v xml:space="preserve">PR:Games    SP:Barney20171018 $2493  </v>
      </c>
      <c r="I48" t="str">
        <f t="shared" si="7"/>
        <v>PR:Games SP:Barney20171018 $2493</v>
      </c>
      <c r="J48">
        <f t="shared" si="8"/>
        <v>32</v>
      </c>
      <c r="K48">
        <f t="shared" si="9"/>
        <v>51</v>
      </c>
      <c r="L48" t="str">
        <f t="shared" si="10"/>
        <v>Games SP:Barney20171018 $2493</v>
      </c>
      <c r="M48" t="str">
        <f t="shared" si="11"/>
        <v>Games Barney20171018 $2493</v>
      </c>
      <c r="N48" s="1" t="str">
        <f t="shared" si="12"/>
        <v>Games Barney 20171018 $2493</v>
      </c>
      <c r="O48" s="9">
        <f t="shared" si="20"/>
        <v>6</v>
      </c>
      <c r="P48" s="9">
        <f t="shared" si="13"/>
        <v>13</v>
      </c>
      <c r="Q48" s="10">
        <f t="shared" si="14"/>
        <v>22</v>
      </c>
      <c r="R48" s="7" t="str">
        <f t="shared" si="15"/>
        <v>Games</v>
      </c>
      <c r="S48" s="7" t="str">
        <f t="shared" si="16"/>
        <v>Barney</v>
      </c>
      <c r="T48" s="7" t="str">
        <f t="shared" si="17"/>
        <v>20171018</v>
      </c>
      <c r="U48" s="7">
        <f t="shared" si="18"/>
        <v>2493</v>
      </c>
      <c r="V48" s="8">
        <f t="shared" si="19"/>
        <v>43026</v>
      </c>
    </row>
    <row r="49" spans="1:22">
      <c r="A49" s="3">
        <f t="shared" si="0"/>
        <v>47</v>
      </c>
      <c r="B49" t="s">
        <v>53</v>
      </c>
      <c r="C49">
        <f t="shared" si="1"/>
        <v>30</v>
      </c>
      <c r="D49" t="str">
        <f t="shared" si="2"/>
        <v xml:space="preserve">/PR:Music_SP:Barney2017109    $0  </v>
      </c>
      <c r="E49">
        <f t="shared" si="3"/>
        <v>32</v>
      </c>
      <c r="F49" t="str">
        <f t="shared" si="4"/>
        <v xml:space="preserve">/PR:Music_SP:Barney2017109    $0  </v>
      </c>
      <c r="G49" t="str">
        <f t="shared" si="5"/>
        <v xml:space="preserve">PR:Music_SP:Barney2017109    $0  </v>
      </c>
      <c r="H49" t="str">
        <f t="shared" si="6"/>
        <v xml:space="preserve">PR:Music SP:Barney2017109    $0  </v>
      </c>
      <c r="I49" t="str">
        <f t="shared" si="7"/>
        <v>PR:Music SP:Barney2017109 $0</v>
      </c>
      <c r="J49">
        <f t="shared" si="8"/>
        <v>28</v>
      </c>
      <c r="K49">
        <f t="shared" si="9"/>
        <v>48</v>
      </c>
      <c r="L49" t="str">
        <f t="shared" si="10"/>
        <v>Music SP:Barney2017109 $0</v>
      </c>
      <c r="M49" t="str">
        <f t="shared" si="11"/>
        <v>Music Barney2017109 $0</v>
      </c>
      <c r="N49" s="1" t="str">
        <f t="shared" si="12"/>
        <v>Music Barney 2017109 $0</v>
      </c>
      <c r="O49" s="9">
        <f t="shared" si="20"/>
        <v>6</v>
      </c>
      <c r="P49" s="9">
        <f t="shared" si="13"/>
        <v>13</v>
      </c>
      <c r="Q49" s="10">
        <f t="shared" si="14"/>
        <v>21</v>
      </c>
      <c r="R49" s="7" t="str">
        <f t="shared" si="15"/>
        <v>Music</v>
      </c>
      <c r="S49" s="7" t="str">
        <f t="shared" si="16"/>
        <v>Barney</v>
      </c>
      <c r="T49" s="7" t="str">
        <f t="shared" si="17"/>
        <v>2017109</v>
      </c>
      <c r="U49" s="7">
        <f t="shared" si="18"/>
        <v>0</v>
      </c>
      <c r="V49" s="8">
        <f t="shared" si="19"/>
        <v>43017</v>
      </c>
    </row>
    <row r="50" spans="1:22">
      <c r="A50" s="3">
        <f t="shared" si="0"/>
        <v>48</v>
      </c>
      <c r="B50" t="s">
        <v>54</v>
      </c>
      <c r="C50">
        <f t="shared" si="1"/>
        <v>30</v>
      </c>
      <c r="D50" t="str">
        <f t="shared" si="2"/>
        <v xml:space="preserve">/////PR:Music___SP:Barney20171027    $0     </v>
      </c>
      <c r="E50">
        <f t="shared" si="3"/>
        <v>32</v>
      </c>
      <c r="F50" t="str">
        <f t="shared" si="4"/>
        <v xml:space="preserve">/////PR:Music___SP:Barney20171027    $0     </v>
      </c>
      <c r="G50" t="str">
        <f t="shared" si="5"/>
        <v xml:space="preserve">PR:Music___SP:Barney20171027    $0     </v>
      </c>
      <c r="H50" t="str">
        <f t="shared" si="6"/>
        <v xml:space="preserve">PR:Music   SP:Barney20171027    $0     </v>
      </c>
      <c r="I50" t="str">
        <f t="shared" si="7"/>
        <v>PR:Music SP:Barney20171027 $0</v>
      </c>
      <c r="J50">
        <f t="shared" si="8"/>
        <v>29</v>
      </c>
      <c r="K50">
        <f t="shared" si="9"/>
        <v>48</v>
      </c>
      <c r="L50" t="str">
        <f t="shared" si="10"/>
        <v>Music SP:Barney20171027 $0</v>
      </c>
      <c r="M50" t="str">
        <f t="shared" si="11"/>
        <v>Music Barney20171027 $0</v>
      </c>
      <c r="N50" s="1" t="str">
        <f t="shared" si="12"/>
        <v>Music Barney 20171027 $0</v>
      </c>
      <c r="O50" s="9">
        <f t="shared" si="20"/>
        <v>6</v>
      </c>
      <c r="P50" s="9">
        <f t="shared" si="13"/>
        <v>13</v>
      </c>
      <c r="Q50" s="10">
        <f t="shared" si="14"/>
        <v>22</v>
      </c>
      <c r="R50" s="7" t="str">
        <f t="shared" si="15"/>
        <v>Music</v>
      </c>
      <c r="S50" s="7" t="str">
        <f t="shared" si="16"/>
        <v>Barney</v>
      </c>
      <c r="T50" s="7" t="str">
        <f t="shared" si="17"/>
        <v>20171027</v>
      </c>
      <c r="U50" s="7">
        <f t="shared" si="18"/>
        <v>0</v>
      </c>
      <c r="V50" s="8">
        <f t="shared" si="19"/>
        <v>43035</v>
      </c>
    </row>
    <row r="51" spans="1:22">
      <c r="A51" s="3">
        <f t="shared" si="0"/>
        <v>49</v>
      </c>
      <c r="B51" t="s">
        <v>55</v>
      </c>
      <c r="C51">
        <f t="shared" si="1"/>
        <v>28</v>
      </c>
      <c r="D51" t="str">
        <f t="shared" si="2"/>
        <v xml:space="preserve">/////PR:Games___SP:Carol20171024     $1893  </v>
      </c>
      <c r="E51">
        <f t="shared" si="3"/>
        <v>32</v>
      </c>
      <c r="F51" t="str">
        <f t="shared" si="4"/>
        <v xml:space="preserve">/////PR:Games___SP:Carol20171024     $1893  </v>
      </c>
      <c r="G51" t="str">
        <f t="shared" si="5"/>
        <v xml:space="preserve">PR:Games___SP:Carol20171024     $1893  </v>
      </c>
      <c r="H51" t="str">
        <f t="shared" si="6"/>
        <v xml:space="preserve">PR:Games   SP:Carol20171024     $1893  </v>
      </c>
      <c r="I51" t="str">
        <f t="shared" si="7"/>
        <v>PR:Games SP:Carol20171024 $1893</v>
      </c>
      <c r="J51">
        <f t="shared" si="8"/>
        <v>31</v>
      </c>
      <c r="K51">
        <f t="shared" si="9"/>
        <v>51</v>
      </c>
      <c r="L51" t="str">
        <f t="shared" si="10"/>
        <v>Games SP:Carol20171024 $1893</v>
      </c>
      <c r="M51" t="str">
        <f t="shared" si="11"/>
        <v>Games Carol20171024 $1893</v>
      </c>
      <c r="N51" s="1" t="str">
        <f t="shared" si="12"/>
        <v>Games Carol 20171024 $1893</v>
      </c>
      <c r="O51" s="9">
        <f t="shared" si="20"/>
        <v>6</v>
      </c>
      <c r="P51" s="9">
        <f t="shared" si="13"/>
        <v>12</v>
      </c>
      <c r="Q51" s="10">
        <f t="shared" si="14"/>
        <v>21</v>
      </c>
      <c r="R51" s="7" t="str">
        <f t="shared" si="15"/>
        <v>Games</v>
      </c>
      <c r="S51" s="7" t="str">
        <f t="shared" si="16"/>
        <v>Carol</v>
      </c>
      <c r="T51" s="7" t="str">
        <f t="shared" si="17"/>
        <v>20171024</v>
      </c>
      <c r="U51" s="7">
        <f t="shared" si="18"/>
        <v>1893</v>
      </c>
      <c r="V51" s="8">
        <f t="shared" si="19"/>
        <v>43032</v>
      </c>
    </row>
    <row r="52" spans="1:22">
      <c r="A52" s="3">
        <f t="shared" si="0"/>
        <v>50</v>
      </c>
      <c r="B52" t="s">
        <v>56</v>
      </c>
      <c r="C52">
        <f t="shared" si="1"/>
        <v>28</v>
      </c>
      <c r="D52" t="str">
        <f t="shared" si="2"/>
        <v xml:space="preserve">////PR:Music_SP:David20171027    $1303    </v>
      </c>
      <c r="E52">
        <f t="shared" si="3"/>
        <v>32</v>
      </c>
      <c r="F52" t="str">
        <f t="shared" si="4"/>
        <v xml:space="preserve">////PR:Music_SP:David20171027    $1303    </v>
      </c>
      <c r="G52" t="str">
        <f t="shared" si="5"/>
        <v xml:space="preserve">PR:Music_SP:David20171027    $1303    </v>
      </c>
      <c r="H52" t="str">
        <f t="shared" si="6"/>
        <v xml:space="preserve">PR:Music SP:David20171027    $1303    </v>
      </c>
      <c r="I52" t="str">
        <f t="shared" si="7"/>
        <v>PR:Music SP:David20171027 $1303</v>
      </c>
      <c r="J52">
        <f t="shared" si="8"/>
        <v>31</v>
      </c>
      <c r="K52">
        <f t="shared" si="9"/>
        <v>51</v>
      </c>
      <c r="L52" t="str">
        <f t="shared" si="10"/>
        <v>Music SP:David20171027 $1303</v>
      </c>
      <c r="M52" t="str">
        <f t="shared" si="11"/>
        <v>Music David20171027 $1303</v>
      </c>
      <c r="N52" s="1" t="str">
        <f t="shared" si="12"/>
        <v>Music David 20171027 $1303</v>
      </c>
      <c r="O52" s="9">
        <f t="shared" si="20"/>
        <v>6</v>
      </c>
      <c r="P52" s="9">
        <f t="shared" si="13"/>
        <v>12</v>
      </c>
      <c r="Q52" s="10">
        <f t="shared" si="14"/>
        <v>21</v>
      </c>
      <c r="R52" s="7" t="str">
        <f t="shared" si="15"/>
        <v>Music</v>
      </c>
      <c r="S52" s="7" t="str">
        <f t="shared" si="16"/>
        <v>David</v>
      </c>
      <c r="T52" s="7" t="str">
        <f t="shared" si="17"/>
        <v>20171027</v>
      </c>
      <c r="U52" s="7">
        <f t="shared" si="18"/>
        <v>1303</v>
      </c>
      <c r="V52" s="8">
        <f t="shared" si="19"/>
        <v>43035</v>
      </c>
    </row>
    <row r="53" spans="1:22">
      <c r="A53" s="3">
        <f t="shared" si="0"/>
        <v>51</v>
      </c>
      <c r="B53" t="s">
        <v>57</v>
      </c>
      <c r="C53">
        <f t="shared" si="1"/>
        <v>28</v>
      </c>
      <c r="D53" t="str">
        <f t="shared" si="2"/>
        <v xml:space="preserve">//PR:Clothing___SP:Alice2017105 $1991     </v>
      </c>
      <c r="E53">
        <f t="shared" si="3"/>
        <v>32</v>
      </c>
      <c r="F53" t="str">
        <f t="shared" si="4"/>
        <v xml:space="preserve">//PR:Clothing___SP:Alice2017105 $1991     </v>
      </c>
      <c r="G53" t="str">
        <f t="shared" si="5"/>
        <v xml:space="preserve">PR:Clothing___SP:Alice2017105 $1991     </v>
      </c>
      <c r="H53" t="str">
        <f t="shared" si="6"/>
        <v xml:space="preserve">PR:Clothing   SP:Alice2017105 $1991     </v>
      </c>
      <c r="I53" t="str">
        <f t="shared" si="7"/>
        <v>PR:Clothing SP:Alice2017105 $1991</v>
      </c>
      <c r="J53">
        <f t="shared" si="8"/>
        <v>33</v>
      </c>
      <c r="K53">
        <f t="shared" si="9"/>
        <v>49</v>
      </c>
      <c r="L53" t="str">
        <f t="shared" si="10"/>
        <v>Clothing SP:Alice2017105 $1991</v>
      </c>
      <c r="M53" t="str">
        <f t="shared" si="11"/>
        <v>Clothing Alice2017105 $1991</v>
      </c>
      <c r="N53" s="1" t="str">
        <f t="shared" si="12"/>
        <v>Clothing Alice 2017105 $1991</v>
      </c>
      <c r="O53" s="9">
        <f t="shared" si="20"/>
        <v>9</v>
      </c>
      <c r="P53" s="9">
        <f t="shared" si="13"/>
        <v>15</v>
      </c>
      <c r="Q53" s="10">
        <f t="shared" si="14"/>
        <v>23</v>
      </c>
      <c r="R53" s="7" t="str">
        <f t="shared" si="15"/>
        <v>Clothing</v>
      </c>
      <c r="S53" s="7" t="str">
        <f t="shared" si="16"/>
        <v>Alice</v>
      </c>
      <c r="T53" s="7" t="str">
        <f t="shared" si="17"/>
        <v>2017105</v>
      </c>
      <c r="U53" s="7">
        <f t="shared" si="18"/>
        <v>1991</v>
      </c>
      <c r="V53" s="8">
        <f t="shared" si="19"/>
        <v>43013</v>
      </c>
    </row>
    <row r="54" spans="1:22">
      <c r="A54" s="3">
        <f t="shared" si="0"/>
        <v>52</v>
      </c>
      <c r="B54" t="s">
        <v>58</v>
      </c>
      <c r="C54">
        <f t="shared" si="1"/>
        <v>31</v>
      </c>
      <c r="D54" t="str">
        <f t="shared" si="2"/>
        <v xml:space="preserve">/PR:Music__SP:David20171026 $1288  </v>
      </c>
      <c r="E54">
        <f t="shared" si="3"/>
        <v>32</v>
      </c>
      <c r="F54" t="str">
        <f t="shared" si="4"/>
        <v xml:space="preserve">/PR:Music__SP:David20171026 $1288  </v>
      </c>
      <c r="G54" t="str">
        <f t="shared" si="5"/>
        <v xml:space="preserve">PR:Music__SP:David20171026 $1288  </v>
      </c>
      <c r="H54" t="str">
        <f t="shared" si="6"/>
        <v xml:space="preserve">PR:Music  SP:David20171026 $1288  </v>
      </c>
      <c r="I54" t="str">
        <f t="shared" si="7"/>
        <v>PR:Music SP:David20171026 $1288</v>
      </c>
      <c r="J54">
        <f t="shared" si="8"/>
        <v>31</v>
      </c>
      <c r="K54">
        <f t="shared" si="9"/>
        <v>56</v>
      </c>
      <c r="L54" t="str">
        <f t="shared" si="10"/>
        <v>Music SP:David20171026 $1288</v>
      </c>
      <c r="M54" t="str">
        <f t="shared" si="11"/>
        <v>Music David20171026 $1288</v>
      </c>
      <c r="N54" s="1" t="str">
        <f t="shared" si="12"/>
        <v>Music David 20171026 $1288</v>
      </c>
      <c r="O54" s="9">
        <f t="shared" si="20"/>
        <v>6</v>
      </c>
      <c r="P54" s="9">
        <f t="shared" si="13"/>
        <v>12</v>
      </c>
      <c r="Q54" s="10">
        <f t="shared" si="14"/>
        <v>21</v>
      </c>
      <c r="R54" s="7" t="str">
        <f t="shared" si="15"/>
        <v>Music</v>
      </c>
      <c r="S54" s="7" t="str">
        <f t="shared" si="16"/>
        <v>David</v>
      </c>
      <c r="T54" s="7" t="str">
        <f t="shared" si="17"/>
        <v>20171026</v>
      </c>
      <c r="U54" s="7">
        <f t="shared" si="18"/>
        <v>1288</v>
      </c>
      <c r="V54" s="8">
        <f t="shared" si="19"/>
        <v>43034</v>
      </c>
    </row>
    <row r="55" spans="1:22">
      <c r="A55" s="3">
        <f t="shared" si="0"/>
        <v>53</v>
      </c>
      <c r="B55" t="s">
        <v>59</v>
      </c>
      <c r="C55">
        <f t="shared" si="1"/>
        <v>29</v>
      </c>
      <c r="D55" t="str">
        <f t="shared" si="2"/>
        <v xml:space="preserve">//PR:Clothing____SP:Alice20171018 $1757 </v>
      </c>
      <c r="E55">
        <f t="shared" si="3"/>
        <v>32</v>
      </c>
      <c r="F55" t="str">
        <f t="shared" si="4"/>
        <v xml:space="preserve">//PR:Clothing____SP:Alice20171018 $1757 </v>
      </c>
      <c r="G55" t="str">
        <f t="shared" si="5"/>
        <v xml:space="preserve">PR:Clothing____SP:Alice20171018 $1757 </v>
      </c>
      <c r="H55" t="str">
        <f t="shared" si="6"/>
        <v xml:space="preserve">PR:Clothing    SP:Alice20171018 $1757 </v>
      </c>
      <c r="I55" t="str">
        <f t="shared" si="7"/>
        <v>PR:Clothing SP:Alice20171018 $1757</v>
      </c>
      <c r="J55">
        <f t="shared" si="8"/>
        <v>34</v>
      </c>
      <c r="K55">
        <f t="shared" si="9"/>
        <v>55</v>
      </c>
      <c r="L55" t="str">
        <f t="shared" si="10"/>
        <v>Clothing SP:Alice20171018 $1757</v>
      </c>
      <c r="M55" t="str">
        <f t="shared" si="11"/>
        <v>Clothing Alice20171018 $1757</v>
      </c>
      <c r="N55" s="1" t="str">
        <f t="shared" si="12"/>
        <v>Clothing Alice 20171018 $1757</v>
      </c>
      <c r="O55" s="9">
        <f t="shared" si="20"/>
        <v>9</v>
      </c>
      <c r="P55" s="9">
        <f t="shared" si="13"/>
        <v>15</v>
      </c>
      <c r="Q55" s="10">
        <f t="shared" si="14"/>
        <v>24</v>
      </c>
      <c r="R55" s="7" t="str">
        <f t="shared" si="15"/>
        <v>Clothing</v>
      </c>
      <c r="S55" s="7" t="str">
        <f t="shared" si="16"/>
        <v>Alice</v>
      </c>
      <c r="T55" s="7" t="str">
        <f t="shared" si="17"/>
        <v>20171018</v>
      </c>
      <c r="U55" s="7">
        <f t="shared" si="18"/>
        <v>1757</v>
      </c>
      <c r="V55" s="8">
        <f t="shared" si="19"/>
        <v>43026</v>
      </c>
    </row>
    <row r="56" spans="1:22">
      <c r="A56" s="3">
        <f t="shared" si="0"/>
        <v>54</v>
      </c>
      <c r="B56" t="s">
        <v>60</v>
      </c>
      <c r="C56">
        <f t="shared" si="1"/>
        <v>29</v>
      </c>
      <c r="D56" t="str">
        <f t="shared" si="2"/>
        <v xml:space="preserve">///PR:Games____SP:Alice20171025    $2406   </v>
      </c>
      <c r="E56">
        <f t="shared" si="3"/>
        <v>32</v>
      </c>
      <c r="F56" t="str">
        <f t="shared" si="4"/>
        <v xml:space="preserve">///PR:Games____SP:Alice20171025    $2406   </v>
      </c>
      <c r="G56" t="str">
        <f t="shared" si="5"/>
        <v xml:space="preserve">PR:Games____SP:Alice20171025    $2406   </v>
      </c>
      <c r="H56" t="str">
        <f t="shared" si="6"/>
        <v xml:space="preserve">PR:Games    SP:Alice20171025    $2406   </v>
      </c>
      <c r="I56" t="str">
        <f t="shared" si="7"/>
        <v>PR:Games SP:Alice20171025 $2406</v>
      </c>
      <c r="J56">
        <f t="shared" si="8"/>
        <v>31</v>
      </c>
      <c r="K56">
        <f t="shared" si="9"/>
        <v>54</v>
      </c>
      <c r="L56" t="str">
        <f t="shared" si="10"/>
        <v>Games SP:Alice20171025 $2406</v>
      </c>
      <c r="M56" t="str">
        <f t="shared" si="11"/>
        <v>Games Alice20171025 $2406</v>
      </c>
      <c r="N56" s="1" t="str">
        <f t="shared" si="12"/>
        <v>Games Alice 20171025 $2406</v>
      </c>
      <c r="O56" s="9">
        <f t="shared" si="20"/>
        <v>6</v>
      </c>
      <c r="P56" s="9">
        <f t="shared" si="13"/>
        <v>12</v>
      </c>
      <c r="Q56" s="10">
        <f t="shared" si="14"/>
        <v>21</v>
      </c>
      <c r="R56" s="7" t="str">
        <f t="shared" si="15"/>
        <v>Games</v>
      </c>
      <c r="S56" s="7" t="str">
        <f t="shared" si="16"/>
        <v>Alice</v>
      </c>
      <c r="T56" s="7" t="str">
        <f t="shared" si="17"/>
        <v>20171025</v>
      </c>
      <c r="U56" s="7">
        <f t="shared" si="18"/>
        <v>2406</v>
      </c>
      <c r="V56" s="8">
        <f t="shared" si="19"/>
        <v>43033</v>
      </c>
    </row>
    <row r="57" spans="1:22">
      <c r="A57" s="3">
        <f t="shared" si="0"/>
        <v>55</v>
      </c>
      <c r="B57" t="s">
        <v>61</v>
      </c>
      <c r="C57">
        <f t="shared" si="1"/>
        <v>28</v>
      </c>
      <c r="D57" t="str">
        <f t="shared" si="2"/>
        <v xml:space="preserve">////PR:Music___SP:Barney20171031    $1155 </v>
      </c>
      <c r="E57">
        <f t="shared" si="3"/>
        <v>32</v>
      </c>
      <c r="F57" t="str">
        <f t="shared" si="4"/>
        <v xml:space="preserve">////PR:Music___SP:Barney20171031    $1155 </v>
      </c>
      <c r="G57" t="str">
        <f t="shared" si="5"/>
        <v xml:space="preserve">PR:Music___SP:Barney20171031    $1155 </v>
      </c>
      <c r="H57" t="str">
        <f t="shared" si="6"/>
        <v xml:space="preserve">PR:Music   SP:Barney20171031    $1155 </v>
      </c>
      <c r="I57" t="str">
        <f t="shared" si="7"/>
        <v>PR:Music SP:Barney20171031 $1155</v>
      </c>
      <c r="J57">
        <f t="shared" si="8"/>
        <v>32</v>
      </c>
      <c r="K57">
        <f t="shared" si="9"/>
        <v>53</v>
      </c>
      <c r="L57" t="str">
        <f t="shared" si="10"/>
        <v>Music SP:Barney20171031 $1155</v>
      </c>
      <c r="M57" t="str">
        <f t="shared" si="11"/>
        <v>Music Barney20171031 $1155</v>
      </c>
      <c r="N57" s="1" t="str">
        <f t="shared" si="12"/>
        <v>Music Barney 20171031 $1155</v>
      </c>
      <c r="O57" s="9">
        <f t="shared" si="20"/>
        <v>6</v>
      </c>
      <c r="P57" s="9">
        <f t="shared" si="13"/>
        <v>13</v>
      </c>
      <c r="Q57" s="10">
        <f t="shared" si="14"/>
        <v>22</v>
      </c>
      <c r="R57" s="7" t="str">
        <f t="shared" si="15"/>
        <v>Music</v>
      </c>
      <c r="S57" s="7" t="str">
        <f t="shared" si="16"/>
        <v>Barney</v>
      </c>
      <c r="T57" s="7" t="str">
        <f t="shared" si="17"/>
        <v>20171031</v>
      </c>
      <c r="U57" s="7">
        <f t="shared" si="18"/>
        <v>1155</v>
      </c>
      <c r="V57" s="8">
        <f t="shared" si="19"/>
        <v>43039</v>
      </c>
    </row>
    <row r="58" spans="1:22">
      <c r="A58" s="3">
        <f t="shared" si="0"/>
        <v>56</v>
      </c>
      <c r="B58" t="s">
        <v>62</v>
      </c>
      <c r="C58">
        <f t="shared" si="1"/>
        <v>28</v>
      </c>
      <c r="D58" t="str">
        <f t="shared" si="2"/>
        <v xml:space="preserve">/////PR:Games_SP:Carol20171020  $1107    </v>
      </c>
      <c r="E58">
        <f t="shared" si="3"/>
        <v>32</v>
      </c>
      <c r="F58" t="str">
        <f t="shared" si="4"/>
        <v xml:space="preserve">/////PR:Games_SP:Carol20171020  $1107    </v>
      </c>
      <c r="G58" t="str">
        <f t="shared" si="5"/>
        <v xml:space="preserve">PR:Games_SP:Carol20171020  $1107    </v>
      </c>
      <c r="H58" t="str">
        <f t="shared" si="6"/>
        <v xml:space="preserve">PR:Games SP:Carol20171020  $1107    </v>
      </c>
      <c r="I58" t="str">
        <f t="shared" si="7"/>
        <v>PR:Games SP:Carol20171020 $1107</v>
      </c>
      <c r="J58">
        <f t="shared" si="8"/>
        <v>31</v>
      </c>
      <c r="K58">
        <f t="shared" si="9"/>
        <v>55</v>
      </c>
      <c r="L58" t="str">
        <f t="shared" si="10"/>
        <v>Games SP:Carol20171020 $1107</v>
      </c>
      <c r="M58" t="str">
        <f t="shared" si="11"/>
        <v>Games Carol20171020 $1107</v>
      </c>
      <c r="N58" s="1" t="str">
        <f t="shared" si="12"/>
        <v>Games Carol 20171020 $1107</v>
      </c>
      <c r="O58" s="9">
        <f t="shared" si="20"/>
        <v>6</v>
      </c>
      <c r="P58" s="9">
        <f t="shared" si="13"/>
        <v>12</v>
      </c>
      <c r="Q58" s="10">
        <f t="shared" si="14"/>
        <v>21</v>
      </c>
      <c r="R58" s="7" t="str">
        <f t="shared" si="15"/>
        <v>Games</v>
      </c>
      <c r="S58" s="7" t="str">
        <f t="shared" si="16"/>
        <v>Carol</v>
      </c>
      <c r="T58" s="7" t="str">
        <f t="shared" si="17"/>
        <v>20171020</v>
      </c>
      <c r="U58" s="7">
        <f t="shared" si="18"/>
        <v>1107</v>
      </c>
      <c r="V58" s="8">
        <f t="shared" si="19"/>
        <v>43028</v>
      </c>
    </row>
    <row r="59" spans="1:22">
      <c r="A59" s="3">
        <f t="shared" si="0"/>
        <v>57</v>
      </c>
      <c r="B59" t="s">
        <v>63</v>
      </c>
      <c r="C59">
        <f t="shared" si="1"/>
        <v>28</v>
      </c>
      <c r="D59" t="str">
        <f t="shared" si="2"/>
        <v xml:space="preserve">//PR:Clothing_SP:Alice20171015    $1986     </v>
      </c>
      <c r="E59">
        <f t="shared" si="3"/>
        <v>32</v>
      </c>
      <c r="F59" t="str">
        <f t="shared" si="4"/>
        <v xml:space="preserve">//PR:Clothing_SP:Alice20171015    $1986     </v>
      </c>
      <c r="G59" t="str">
        <f t="shared" si="5"/>
        <v xml:space="preserve">PR:Clothing_SP:Alice20171015    $1986     </v>
      </c>
      <c r="H59" t="str">
        <f t="shared" si="6"/>
        <v xml:space="preserve">PR:Clothing SP:Alice20171015    $1986     </v>
      </c>
      <c r="I59" t="str">
        <f t="shared" si="7"/>
        <v>PR:Clothing SP:Alice20171015 $1986</v>
      </c>
      <c r="J59">
        <f t="shared" si="8"/>
        <v>34</v>
      </c>
      <c r="K59">
        <f t="shared" si="9"/>
        <v>54</v>
      </c>
      <c r="L59" t="str">
        <f t="shared" si="10"/>
        <v>Clothing SP:Alice20171015 $1986</v>
      </c>
      <c r="M59" t="str">
        <f t="shared" si="11"/>
        <v>Clothing Alice20171015 $1986</v>
      </c>
      <c r="N59" s="1" t="str">
        <f t="shared" si="12"/>
        <v>Clothing Alice 20171015 $1986</v>
      </c>
      <c r="O59" s="9">
        <f t="shared" si="20"/>
        <v>9</v>
      </c>
      <c r="P59" s="9">
        <f t="shared" si="13"/>
        <v>15</v>
      </c>
      <c r="Q59" s="10">
        <f t="shared" si="14"/>
        <v>24</v>
      </c>
      <c r="R59" s="7" t="str">
        <f t="shared" si="15"/>
        <v>Clothing</v>
      </c>
      <c r="S59" s="7" t="str">
        <f t="shared" si="16"/>
        <v>Alice</v>
      </c>
      <c r="T59" s="7" t="str">
        <f t="shared" si="17"/>
        <v>20171015</v>
      </c>
      <c r="U59" s="7">
        <f t="shared" si="18"/>
        <v>1986</v>
      </c>
      <c r="V59" s="8">
        <f t="shared" si="19"/>
        <v>43023</v>
      </c>
    </row>
    <row r="60" spans="1:22">
      <c r="A60" s="3">
        <f t="shared" si="0"/>
        <v>58</v>
      </c>
      <c r="B60" t="s">
        <v>64</v>
      </c>
      <c r="C60">
        <f t="shared" si="1"/>
        <v>31</v>
      </c>
      <c r="D60" t="str">
        <f t="shared" si="2"/>
        <v xml:space="preserve">////PR:Books_____SP:David20171010     $987  </v>
      </c>
      <c r="E60">
        <f t="shared" si="3"/>
        <v>32</v>
      </c>
      <c r="F60" t="str">
        <f t="shared" si="4"/>
        <v xml:space="preserve">////PR:Books_____SP:David20171010     $987  </v>
      </c>
      <c r="G60" t="str">
        <f t="shared" si="5"/>
        <v xml:space="preserve">PR:Books_____SP:David20171010     $987  </v>
      </c>
      <c r="H60" t="str">
        <f t="shared" si="6"/>
        <v xml:space="preserve">PR:Books     SP:David20171010     $987  </v>
      </c>
      <c r="I60" t="str">
        <f t="shared" si="7"/>
        <v>PR:Books SP:David20171010 $987</v>
      </c>
      <c r="J60">
        <f t="shared" si="8"/>
        <v>30</v>
      </c>
      <c r="K60">
        <f t="shared" si="9"/>
        <v>55</v>
      </c>
      <c r="L60" t="str">
        <f t="shared" si="10"/>
        <v>Books SP:David20171010 $987</v>
      </c>
      <c r="M60" t="str">
        <f t="shared" si="11"/>
        <v>Books David20171010 $987</v>
      </c>
      <c r="N60" s="1" t="str">
        <f t="shared" si="12"/>
        <v>Books David 20171010 $987</v>
      </c>
      <c r="O60" s="9">
        <f t="shared" si="20"/>
        <v>6</v>
      </c>
      <c r="P60" s="9">
        <f t="shared" si="13"/>
        <v>12</v>
      </c>
      <c r="Q60" s="10">
        <f t="shared" si="14"/>
        <v>21</v>
      </c>
      <c r="R60" s="7" t="str">
        <f t="shared" si="15"/>
        <v>Books</v>
      </c>
      <c r="S60" s="7" t="str">
        <f t="shared" si="16"/>
        <v>David</v>
      </c>
      <c r="T60" s="7" t="str">
        <f t="shared" si="17"/>
        <v>20171010</v>
      </c>
      <c r="U60" s="7">
        <f t="shared" si="18"/>
        <v>987</v>
      </c>
      <c r="V60" s="8">
        <f t="shared" si="19"/>
        <v>43018</v>
      </c>
    </row>
    <row r="61" spans="1:22">
      <c r="A61" s="3">
        <f t="shared" si="0"/>
        <v>59</v>
      </c>
      <c r="B61" t="s">
        <v>65</v>
      </c>
      <c r="C61">
        <f t="shared" si="1"/>
        <v>31</v>
      </c>
      <c r="D61" t="str">
        <f t="shared" si="2"/>
        <v xml:space="preserve">///PR:Games____SP:David20171015    $0 </v>
      </c>
      <c r="E61">
        <f t="shared" si="3"/>
        <v>32</v>
      </c>
      <c r="F61" t="str">
        <f t="shared" si="4"/>
        <v xml:space="preserve">///PR:Games____SP:David20171015    $0 </v>
      </c>
      <c r="G61" t="str">
        <f t="shared" si="5"/>
        <v xml:space="preserve">PR:Games____SP:David20171015    $0 </v>
      </c>
      <c r="H61" t="str">
        <f t="shared" si="6"/>
        <v xml:space="preserve">PR:Games    SP:David20171015    $0 </v>
      </c>
      <c r="I61" t="str">
        <f t="shared" si="7"/>
        <v>PR:Games SP:David20171015 $0</v>
      </c>
      <c r="J61">
        <f t="shared" si="8"/>
        <v>28</v>
      </c>
      <c r="K61">
        <f t="shared" si="9"/>
        <v>48</v>
      </c>
      <c r="L61" t="str">
        <f t="shared" si="10"/>
        <v>Games SP:David20171015 $0</v>
      </c>
      <c r="M61" t="str">
        <f t="shared" si="11"/>
        <v>Games David20171015 $0</v>
      </c>
      <c r="N61" s="1" t="str">
        <f t="shared" si="12"/>
        <v>Games David 20171015 $0</v>
      </c>
      <c r="O61" s="9">
        <f t="shared" si="20"/>
        <v>6</v>
      </c>
      <c r="P61" s="9">
        <f t="shared" si="13"/>
        <v>12</v>
      </c>
      <c r="Q61" s="10">
        <f t="shared" si="14"/>
        <v>21</v>
      </c>
      <c r="R61" s="7" t="str">
        <f t="shared" si="15"/>
        <v>Games</v>
      </c>
      <c r="S61" s="7" t="str">
        <f t="shared" si="16"/>
        <v>David</v>
      </c>
      <c r="T61" s="7" t="str">
        <f t="shared" si="17"/>
        <v>20171015</v>
      </c>
      <c r="U61" s="7">
        <f t="shared" si="18"/>
        <v>0</v>
      </c>
      <c r="V61" s="8">
        <f t="shared" si="19"/>
        <v>43023</v>
      </c>
    </row>
    <row r="62" spans="1:22">
      <c r="A62" s="3">
        <f t="shared" si="0"/>
        <v>60</v>
      </c>
      <c r="B62" t="s">
        <v>66</v>
      </c>
      <c r="C62">
        <f t="shared" si="1"/>
        <v>31</v>
      </c>
      <c r="D62" t="str">
        <f t="shared" si="2"/>
        <v xml:space="preserve">/////PR:Music___SP:David2017108 $1355   </v>
      </c>
      <c r="E62">
        <f t="shared" si="3"/>
        <v>32</v>
      </c>
      <c r="F62" t="str">
        <f t="shared" si="4"/>
        <v xml:space="preserve">/////PR:Music___SP:David2017108 $1355   </v>
      </c>
      <c r="G62" t="str">
        <f t="shared" si="5"/>
        <v xml:space="preserve">PR:Music___SP:David2017108 $1355   </v>
      </c>
      <c r="H62" t="str">
        <f t="shared" si="6"/>
        <v xml:space="preserve">PR:Music   SP:David2017108 $1355   </v>
      </c>
      <c r="I62" t="str">
        <f t="shared" si="7"/>
        <v>PR:Music SP:David2017108 $1355</v>
      </c>
      <c r="J62">
        <f t="shared" si="8"/>
        <v>30</v>
      </c>
      <c r="K62">
        <f t="shared" si="9"/>
        <v>53</v>
      </c>
      <c r="L62" t="str">
        <f t="shared" si="10"/>
        <v>Music SP:David2017108 $1355</v>
      </c>
      <c r="M62" t="str">
        <f t="shared" si="11"/>
        <v>Music David2017108 $1355</v>
      </c>
      <c r="N62" s="1" t="str">
        <f t="shared" si="12"/>
        <v>Music David 2017108 $1355</v>
      </c>
      <c r="O62" s="9">
        <f t="shared" si="20"/>
        <v>6</v>
      </c>
      <c r="P62" s="9">
        <f t="shared" si="13"/>
        <v>12</v>
      </c>
      <c r="Q62" s="10">
        <f t="shared" si="14"/>
        <v>20</v>
      </c>
      <c r="R62" s="7" t="str">
        <f t="shared" si="15"/>
        <v>Music</v>
      </c>
      <c r="S62" s="7" t="str">
        <f t="shared" si="16"/>
        <v>David</v>
      </c>
      <c r="T62" s="7" t="str">
        <f t="shared" si="17"/>
        <v>2017108</v>
      </c>
      <c r="U62" s="7">
        <f t="shared" si="18"/>
        <v>1355</v>
      </c>
      <c r="V62" s="8">
        <f t="shared" si="19"/>
        <v>43016</v>
      </c>
    </row>
    <row r="63" spans="1:22">
      <c r="A63" s="3">
        <f t="shared" si="0"/>
        <v>61</v>
      </c>
      <c r="B63" t="s">
        <v>67</v>
      </c>
      <c r="C63">
        <f t="shared" si="1"/>
        <v>28</v>
      </c>
      <c r="D63" t="str">
        <f t="shared" si="2"/>
        <v xml:space="preserve">////PR:Games__SP:David20171026    $1466    </v>
      </c>
      <c r="E63">
        <f t="shared" si="3"/>
        <v>32</v>
      </c>
      <c r="F63" t="str">
        <f t="shared" si="4"/>
        <v xml:space="preserve">////PR:Games__SP:David20171026    $1466    </v>
      </c>
      <c r="G63" t="str">
        <f t="shared" si="5"/>
        <v xml:space="preserve">PR:Games__SP:David20171026    $1466    </v>
      </c>
      <c r="H63" t="str">
        <f t="shared" si="6"/>
        <v xml:space="preserve">PR:Games  SP:David20171026    $1466    </v>
      </c>
      <c r="I63" t="str">
        <f t="shared" si="7"/>
        <v>PR:Games SP:David20171026 $1466</v>
      </c>
      <c r="J63">
        <f t="shared" si="8"/>
        <v>31</v>
      </c>
      <c r="K63">
        <f t="shared" si="9"/>
        <v>54</v>
      </c>
      <c r="L63" t="str">
        <f t="shared" si="10"/>
        <v>Games SP:David20171026 $1466</v>
      </c>
      <c r="M63" t="str">
        <f t="shared" si="11"/>
        <v>Games David20171026 $1466</v>
      </c>
      <c r="N63" s="1" t="str">
        <f t="shared" si="12"/>
        <v>Games David 20171026 $1466</v>
      </c>
      <c r="O63" s="9">
        <f t="shared" si="20"/>
        <v>6</v>
      </c>
      <c r="P63" s="9">
        <f t="shared" si="13"/>
        <v>12</v>
      </c>
      <c r="Q63" s="10">
        <f t="shared" si="14"/>
        <v>21</v>
      </c>
      <c r="R63" s="7" t="str">
        <f t="shared" si="15"/>
        <v>Games</v>
      </c>
      <c r="S63" s="7" t="str">
        <f t="shared" si="16"/>
        <v>David</v>
      </c>
      <c r="T63" s="7" t="str">
        <f t="shared" si="17"/>
        <v>20171026</v>
      </c>
      <c r="U63" s="7">
        <f t="shared" si="18"/>
        <v>1466</v>
      </c>
      <c r="V63" s="8">
        <f t="shared" si="19"/>
        <v>43034</v>
      </c>
    </row>
    <row r="64" spans="1:22">
      <c r="A64" s="3">
        <f t="shared" si="0"/>
        <v>62</v>
      </c>
      <c r="B64" t="s">
        <v>68</v>
      </c>
      <c r="C64">
        <f t="shared" si="1"/>
        <v>31</v>
      </c>
      <c r="D64" t="str">
        <f t="shared" si="2"/>
        <v xml:space="preserve">/PR:Books_____SP:Carol2017108     $591   </v>
      </c>
      <c r="E64">
        <f t="shared" si="3"/>
        <v>32</v>
      </c>
      <c r="F64" t="str">
        <f t="shared" si="4"/>
        <v xml:space="preserve">/PR:Books_____SP:Carol2017108     $591   </v>
      </c>
      <c r="G64" t="str">
        <f t="shared" si="5"/>
        <v xml:space="preserve">PR:Books_____SP:Carol2017108     $591   </v>
      </c>
      <c r="H64" t="str">
        <f t="shared" si="6"/>
        <v xml:space="preserve">PR:Books     SP:Carol2017108     $591   </v>
      </c>
      <c r="I64" t="str">
        <f t="shared" si="7"/>
        <v>PR:Books SP:Carol2017108 $591</v>
      </c>
      <c r="J64">
        <f t="shared" si="8"/>
        <v>29</v>
      </c>
      <c r="K64">
        <f t="shared" si="9"/>
        <v>49</v>
      </c>
      <c r="L64" t="str">
        <f t="shared" si="10"/>
        <v>Books SP:Carol2017108 $591</v>
      </c>
      <c r="M64" t="str">
        <f t="shared" si="11"/>
        <v>Books Carol2017108 $591</v>
      </c>
      <c r="N64" s="1" t="str">
        <f t="shared" si="12"/>
        <v>Books Carol 2017108 $591</v>
      </c>
      <c r="O64" s="9">
        <f t="shared" si="20"/>
        <v>6</v>
      </c>
      <c r="P64" s="9">
        <f t="shared" si="13"/>
        <v>12</v>
      </c>
      <c r="Q64" s="10">
        <f t="shared" si="14"/>
        <v>20</v>
      </c>
      <c r="R64" s="7" t="str">
        <f t="shared" si="15"/>
        <v>Books</v>
      </c>
      <c r="S64" s="7" t="str">
        <f t="shared" si="16"/>
        <v>Carol</v>
      </c>
      <c r="T64" s="7" t="str">
        <f t="shared" si="17"/>
        <v>2017108</v>
      </c>
      <c r="U64" s="7">
        <f t="shared" si="18"/>
        <v>591</v>
      </c>
      <c r="V64" s="8">
        <f t="shared" si="19"/>
        <v>43016</v>
      </c>
    </row>
    <row r="65" spans="1:22">
      <c r="A65" s="3">
        <f t="shared" si="0"/>
        <v>63</v>
      </c>
      <c r="B65" t="s">
        <v>69</v>
      </c>
      <c r="C65">
        <f t="shared" si="1"/>
        <v>31</v>
      </c>
      <c r="D65" t="str">
        <f t="shared" si="2"/>
        <v xml:space="preserve">////PR:Books___SP:David20171019 $564   </v>
      </c>
      <c r="E65">
        <f t="shared" si="3"/>
        <v>32</v>
      </c>
      <c r="F65" t="str">
        <f t="shared" si="4"/>
        <v xml:space="preserve">////PR:Books___SP:David20171019 $564   </v>
      </c>
      <c r="G65" t="str">
        <f t="shared" si="5"/>
        <v xml:space="preserve">PR:Books___SP:David20171019 $564   </v>
      </c>
      <c r="H65" t="str">
        <f t="shared" si="6"/>
        <v xml:space="preserve">PR:Books   SP:David20171019 $564   </v>
      </c>
      <c r="I65" t="str">
        <f t="shared" si="7"/>
        <v>PR:Books SP:David20171019 $564</v>
      </c>
      <c r="J65">
        <f t="shared" si="8"/>
        <v>30</v>
      </c>
      <c r="K65">
        <f t="shared" si="9"/>
        <v>52</v>
      </c>
      <c r="L65" t="str">
        <f t="shared" si="10"/>
        <v>Books SP:David20171019 $564</v>
      </c>
      <c r="M65" t="str">
        <f t="shared" si="11"/>
        <v>Books David20171019 $564</v>
      </c>
      <c r="N65" s="1" t="str">
        <f t="shared" si="12"/>
        <v>Books David 20171019 $564</v>
      </c>
      <c r="O65" s="9">
        <f t="shared" si="20"/>
        <v>6</v>
      </c>
      <c r="P65" s="9">
        <f t="shared" si="13"/>
        <v>12</v>
      </c>
      <c r="Q65" s="10">
        <f t="shared" si="14"/>
        <v>21</v>
      </c>
      <c r="R65" s="7" t="str">
        <f t="shared" si="15"/>
        <v>Books</v>
      </c>
      <c r="S65" s="7" t="str">
        <f t="shared" si="16"/>
        <v>David</v>
      </c>
      <c r="T65" s="7" t="str">
        <f t="shared" si="17"/>
        <v>20171019</v>
      </c>
      <c r="U65" s="7">
        <f t="shared" si="18"/>
        <v>564</v>
      </c>
      <c r="V65" s="8">
        <f t="shared" si="19"/>
        <v>43027</v>
      </c>
    </row>
    <row r="66" spans="1:22">
      <c r="A66" s="3">
        <f t="shared" si="0"/>
        <v>64</v>
      </c>
      <c r="B66" t="s">
        <v>70</v>
      </c>
      <c r="C66">
        <f t="shared" si="1"/>
        <v>31</v>
      </c>
      <c r="D66" t="str">
        <f t="shared" si="2"/>
        <v xml:space="preserve">////PR:Clothing_____SP:Barney20171020   $1875  </v>
      </c>
      <c r="E66">
        <f t="shared" si="3"/>
        <v>32</v>
      </c>
      <c r="F66" t="str">
        <f t="shared" si="4"/>
        <v xml:space="preserve">////PR:Clothing_____SP:Barney20171020   $1875  </v>
      </c>
      <c r="G66" t="str">
        <f t="shared" si="5"/>
        <v xml:space="preserve">PR:Clothing_____SP:Barney20171020   $1875  </v>
      </c>
      <c r="H66" t="str">
        <f t="shared" si="6"/>
        <v xml:space="preserve">PR:Clothing     SP:Barney20171020   $1875  </v>
      </c>
      <c r="I66" t="str">
        <f t="shared" si="7"/>
        <v>PR:Clothing SP:Barney20171020 $1875</v>
      </c>
      <c r="J66">
        <f t="shared" si="8"/>
        <v>35</v>
      </c>
      <c r="K66">
        <f t="shared" si="9"/>
        <v>53</v>
      </c>
      <c r="L66" t="str">
        <f t="shared" si="10"/>
        <v>Clothing SP:Barney20171020 $1875</v>
      </c>
      <c r="M66" t="str">
        <f t="shared" si="11"/>
        <v>Clothing Barney20171020 $1875</v>
      </c>
      <c r="N66" s="1" t="str">
        <f t="shared" si="12"/>
        <v>Clothing Barney 20171020 $1875</v>
      </c>
      <c r="O66" s="9">
        <f t="shared" si="20"/>
        <v>9</v>
      </c>
      <c r="P66" s="9">
        <f t="shared" si="13"/>
        <v>16</v>
      </c>
      <c r="Q66" s="10">
        <f t="shared" si="14"/>
        <v>25</v>
      </c>
      <c r="R66" s="7" t="str">
        <f t="shared" si="15"/>
        <v>Clothing</v>
      </c>
      <c r="S66" s="7" t="str">
        <f t="shared" si="16"/>
        <v>Barney</v>
      </c>
      <c r="T66" s="7" t="str">
        <f t="shared" si="17"/>
        <v>20171020</v>
      </c>
      <c r="U66" s="7">
        <f t="shared" si="18"/>
        <v>1875</v>
      </c>
      <c r="V66" s="8">
        <f t="shared" si="19"/>
        <v>43028</v>
      </c>
    </row>
    <row r="67" spans="1:22">
      <c r="A67" s="3">
        <f t="shared" si="0"/>
        <v>65</v>
      </c>
      <c r="B67" t="s">
        <v>71</v>
      </c>
      <c r="C67">
        <f t="shared" si="1"/>
        <v>30</v>
      </c>
      <c r="D67" t="str">
        <f t="shared" si="2"/>
        <v xml:space="preserve">////PR:Games_____SP:Barney20171024  $0    </v>
      </c>
      <c r="E67">
        <f t="shared" si="3"/>
        <v>32</v>
      </c>
      <c r="F67" t="str">
        <f t="shared" si="4"/>
        <v xml:space="preserve">////PR:Games_____SP:Barney20171024  $0    </v>
      </c>
      <c r="G67" t="str">
        <f t="shared" si="5"/>
        <v xml:space="preserve">PR:Games_____SP:Barney20171024  $0    </v>
      </c>
      <c r="H67" t="str">
        <f t="shared" si="6"/>
        <v xml:space="preserve">PR:Games     SP:Barney20171024  $0    </v>
      </c>
      <c r="I67" t="str">
        <f t="shared" si="7"/>
        <v>PR:Games SP:Barney20171024 $0</v>
      </c>
      <c r="J67">
        <f t="shared" si="8"/>
        <v>29</v>
      </c>
      <c r="K67">
        <f t="shared" si="9"/>
        <v>48</v>
      </c>
      <c r="L67" t="str">
        <f t="shared" si="10"/>
        <v>Games SP:Barney20171024 $0</v>
      </c>
      <c r="M67" t="str">
        <f t="shared" si="11"/>
        <v>Games Barney20171024 $0</v>
      </c>
      <c r="N67" s="1" t="str">
        <f t="shared" si="12"/>
        <v>Games Barney 20171024 $0</v>
      </c>
      <c r="O67" s="9">
        <f t="shared" si="20"/>
        <v>6</v>
      </c>
      <c r="P67" s="9">
        <f t="shared" si="13"/>
        <v>13</v>
      </c>
      <c r="Q67" s="10">
        <f t="shared" si="14"/>
        <v>22</v>
      </c>
      <c r="R67" s="7" t="str">
        <f t="shared" si="15"/>
        <v>Games</v>
      </c>
      <c r="S67" s="7" t="str">
        <f t="shared" si="16"/>
        <v>Barney</v>
      </c>
      <c r="T67" s="7" t="str">
        <f t="shared" si="17"/>
        <v>20171024</v>
      </c>
      <c r="U67" s="7">
        <f t="shared" si="18"/>
        <v>0</v>
      </c>
      <c r="V67" s="8">
        <f t="shared" si="19"/>
        <v>43032</v>
      </c>
    </row>
    <row r="68" spans="1:22">
      <c r="A68" s="3">
        <f t="shared" ref="A68:A131" si="21">A67+1</f>
        <v>66</v>
      </c>
      <c r="B68" t="s">
        <v>72</v>
      </c>
      <c r="C68">
        <f t="shared" ref="C68:C131" si="22">CODE(RIGHT(B68,1))</f>
        <v>30</v>
      </c>
      <c r="D68" t="str">
        <f t="shared" ref="D68:D131" si="23">CLEAN(B68)</f>
        <v xml:space="preserve">/PR:Clothing_____SP:David2017107  $1564   </v>
      </c>
      <c r="E68">
        <f t="shared" ref="E68:E131" si="24">CODE(RIGHT(D68,1))</f>
        <v>32</v>
      </c>
      <c r="F68" t="str">
        <f t="shared" ref="F68:F131" si="25">SUBSTITUTE(D68,CHAR(160)," ")</f>
        <v xml:space="preserve">/PR:Clothing_____SP:David2017107  $1564   </v>
      </c>
      <c r="G68" t="str">
        <f t="shared" ref="G68:G131" si="26">SUBSTITUTE(F68,"/","")</f>
        <v xml:space="preserve">PR:Clothing_____SP:David2017107  $1564   </v>
      </c>
      <c r="H68" t="str">
        <f t="shared" ref="H68:H131" si="27">SUBSTITUTE(G68,"_"," ")</f>
        <v xml:space="preserve">PR:Clothing     SP:David2017107  $1564   </v>
      </c>
      <c r="I68" t="str">
        <f t="shared" ref="I68:I131" si="28">TRIM(H68)</f>
        <v>PR:Clothing SP:David2017107 $1564</v>
      </c>
      <c r="J68">
        <f t="shared" ref="J68:J131" si="29">LEN(I68)</f>
        <v>33</v>
      </c>
      <c r="K68">
        <f t="shared" ref="K68:K131" si="30">CODE(RIGHT(I68,1))</f>
        <v>52</v>
      </c>
      <c r="L68" t="str">
        <f t="shared" ref="L68:L131" si="31">SUBSTITUTE(I68,"PR:","")</f>
        <v>Clothing SP:David2017107 $1564</v>
      </c>
      <c r="M68" t="str">
        <f t="shared" ref="M68:M131" si="32">SUBSTITUTE(L68,"SP:","")</f>
        <v>Clothing David2017107 $1564</v>
      </c>
      <c r="N68" s="1" t="str">
        <f t="shared" ref="N68:N131" si="33">SUBSTITUTE(M68,"201710"," 201710")</f>
        <v>Clothing David 2017107 $1564</v>
      </c>
      <c r="O68" s="9">
        <f t="shared" si="20"/>
        <v>9</v>
      </c>
      <c r="P68" s="9">
        <f t="shared" ref="P68:P131" si="34">FIND(" ",N68,O68+1)</f>
        <v>15</v>
      </c>
      <c r="Q68" s="10">
        <f t="shared" ref="Q68:Q131" si="35">FIND("$",N68,1)-1</f>
        <v>23</v>
      </c>
      <c r="R68" s="7" t="str">
        <f t="shared" ref="R68:R131" si="36">LEFT(N68,O68-1)</f>
        <v>Clothing</v>
      </c>
      <c r="S68" s="7" t="str">
        <f t="shared" ref="S68:S131" si="37">MID(N68,O68+1,P68-O68-1)</f>
        <v>David</v>
      </c>
      <c r="T68" s="7" t="str">
        <f t="shared" ref="T68:T131" si="38">MID(N68,P68+1,Q68-P68-1)</f>
        <v>2017107</v>
      </c>
      <c r="U68" s="7">
        <f t="shared" ref="U68:U131" si="39">VALUE(MID(N68,Q68+2,99))</f>
        <v>1564</v>
      </c>
      <c r="V68" s="8">
        <f t="shared" ref="V68:V131" si="40">DATE(2017,10,MID(T68,7,99))</f>
        <v>43015</v>
      </c>
    </row>
    <row r="69" spans="1:22">
      <c r="A69" s="3">
        <f t="shared" si="21"/>
        <v>67</v>
      </c>
      <c r="B69" t="s">
        <v>73</v>
      </c>
      <c r="C69">
        <f t="shared" si="22"/>
        <v>30</v>
      </c>
      <c r="D69" t="str">
        <f t="shared" si="23"/>
        <v xml:space="preserve">///PR:Games___SP:Carol2017107   $0     </v>
      </c>
      <c r="E69">
        <f t="shared" si="24"/>
        <v>32</v>
      </c>
      <c r="F69" t="str">
        <f t="shared" si="25"/>
        <v xml:space="preserve">///PR:Games___SP:Carol2017107   $0     </v>
      </c>
      <c r="G69" t="str">
        <f t="shared" si="26"/>
        <v xml:space="preserve">PR:Games___SP:Carol2017107   $0     </v>
      </c>
      <c r="H69" t="str">
        <f t="shared" si="27"/>
        <v xml:space="preserve">PR:Games   SP:Carol2017107   $0     </v>
      </c>
      <c r="I69" t="str">
        <f t="shared" si="28"/>
        <v>PR:Games SP:Carol2017107 $0</v>
      </c>
      <c r="J69">
        <f t="shared" si="29"/>
        <v>27</v>
      </c>
      <c r="K69">
        <f t="shared" si="30"/>
        <v>48</v>
      </c>
      <c r="L69" t="str">
        <f t="shared" si="31"/>
        <v>Games SP:Carol2017107 $0</v>
      </c>
      <c r="M69" t="str">
        <f t="shared" si="32"/>
        <v>Games Carol2017107 $0</v>
      </c>
      <c r="N69" s="1" t="str">
        <f t="shared" si="33"/>
        <v>Games Carol 2017107 $0</v>
      </c>
      <c r="O69" s="9">
        <f t="shared" ref="O69:O132" si="41">FIND(" ",N69,1)</f>
        <v>6</v>
      </c>
      <c r="P69" s="9">
        <f t="shared" si="34"/>
        <v>12</v>
      </c>
      <c r="Q69" s="10">
        <f t="shared" si="35"/>
        <v>20</v>
      </c>
      <c r="R69" s="7" t="str">
        <f t="shared" si="36"/>
        <v>Games</v>
      </c>
      <c r="S69" s="7" t="str">
        <f t="shared" si="37"/>
        <v>Carol</v>
      </c>
      <c r="T69" s="7" t="str">
        <f t="shared" si="38"/>
        <v>2017107</v>
      </c>
      <c r="U69" s="7">
        <f t="shared" si="39"/>
        <v>0</v>
      </c>
      <c r="V69" s="8">
        <f t="shared" si="40"/>
        <v>43015</v>
      </c>
    </row>
    <row r="70" spans="1:22">
      <c r="A70" s="3">
        <f t="shared" si="21"/>
        <v>68</v>
      </c>
      <c r="B70" t="s">
        <v>74</v>
      </c>
      <c r="C70">
        <f t="shared" si="22"/>
        <v>31</v>
      </c>
      <c r="D70" t="str">
        <f t="shared" si="23"/>
        <v xml:space="preserve">/////PR:Books_____SP:Carol20171019  $0     </v>
      </c>
      <c r="E70">
        <f t="shared" si="24"/>
        <v>32</v>
      </c>
      <c r="F70" t="str">
        <f t="shared" si="25"/>
        <v xml:space="preserve">/////PR:Books_____SP:Carol20171019  $0     </v>
      </c>
      <c r="G70" t="str">
        <f t="shared" si="26"/>
        <v xml:space="preserve">PR:Books_____SP:Carol20171019  $0     </v>
      </c>
      <c r="H70" t="str">
        <f t="shared" si="27"/>
        <v xml:space="preserve">PR:Books     SP:Carol20171019  $0     </v>
      </c>
      <c r="I70" t="str">
        <f t="shared" si="28"/>
        <v>PR:Books SP:Carol20171019 $0</v>
      </c>
      <c r="J70">
        <f t="shared" si="29"/>
        <v>28</v>
      </c>
      <c r="K70">
        <f t="shared" si="30"/>
        <v>48</v>
      </c>
      <c r="L70" t="str">
        <f t="shared" si="31"/>
        <v>Books SP:Carol20171019 $0</v>
      </c>
      <c r="M70" t="str">
        <f t="shared" si="32"/>
        <v>Books Carol20171019 $0</v>
      </c>
      <c r="N70" s="1" t="str">
        <f t="shared" si="33"/>
        <v>Books Carol 20171019 $0</v>
      </c>
      <c r="O70" s="9">
        <f t="shared" si="41"/>
        <v>6</v>
      </c>
      <c r="P70" s="9">
        <f t="shared" si="34"/>
        <v>12</v>
      </c>
      <c r="Q70" s="10">
        <f t="shared" si="35"/>
        <v>21</v>
      </c>
      <c r="R70" s="7" t="str">
        <f t="shared" si="36"/>
        <v>Books</v>
      </c>
      <c r="S70" s="7" t="str">
        <f t="shared" si="37"/>
        <v>Carol</v>
      </c>
      <c r="T70" s="7" t="str">
        <f t="shared" si="38"/>
        <v>20171019</v>
      </c>
      <c r="U70" s="7">
        <f t="shared" si="39"/>
        <v>0</v>
      </c>
      <c r="V70" s="8">
        <f t="shared" si="40"/>
        <v>43027</v>
      </c>
    </row>
    <row r="71" spans="1:22">
      <c r="A71" s="3">
        <f t="shared" si="21"/>
        <v>69</v>
      </c>
      <c r="B71" t="s">
        <v>75</v>
      </c>
      <c r="C71">
        <f t="shared" si="22"/>
        <v>29</v>
      </c>
      <c r="D71" t="str">
        <f t="shared" si="23"/>
        <v xml:space="preserve">////PR:Games____SP:Carol20171010 $0    </v>
      </c>
      <c r="E71">
        <f t="shared" si="24"/>
        <v>32</v>
      </c>
      <c r="F71" t="str">
        <f t="shared" si="25"/>
        <v xml:space="preserve">////PR:Games____SP:Carol20171010 $0    </v>
      </c>
      <c r="G71" t="str">
        <f t="shared" si="26"/>
        <v xml:space="preserve">PR:Games____SP:Carol20171010 $0    </v>
      </c>
      <c r="H71" t="str">
        <f t="shared" si="27"/>
        <v xml:space="preserve">PR:Games    SP:Carol20171010 $0    </v>
      </c>
      <c r="I71" t="str">
        <f t="shared" si="28"/>
        <v>PR:Games SP:Carol20171010 $0</v>
      </c>
      <c r="J71">
        <f t="shared" si="29"/>
        <v>28</v>
      </c>
      <c r="K71">
        <f t="shared" si="30"/>
        <v>48</v>
      </c>
      <c r="L71" t="str">
        <f t="shared" si="31"/>
        <v>Games SP:Carol20171010 $0</v>
      </c>
      <c r="M71" t="str">
        <f t="shared" si="32"/>
        <v>Games Carol20171010 $0</v>
      </c>
      <c r="N71" s="1" t="str">
        <f t="shared" si="33"/>
        <v>Games Carol 20171010 $0</v>
      </c>
      <c r="O71" s="9">
        <f t="shared" si="41"/>
        <v>6</v>
      </c>
      <c r="P71" s="9">
        <f t="shared" si="34"/>
        <v>12</v>
      </c>
      <c r="Q71" s="10">
        <f t="shared" si="35"/>
        <v>21</v>
      </c>
      <c r="R71" s="7" t="str">
        <f t="shared" si="36"/>
        <v>Games</v>
      </c>
      <c r="S71" s="7" t="str">
        <f t="shared" si="37"/>
        <v>Carol</v>
      </c>
      <c r="T71" s="7" t="str">
        <f t="shared" si="38"/>
        <v>20171010</v>
      </c>
      <c r="U71" s="7">
        <f t="shared" si="39"/>
        <v>0</v>
      </c>
      <c r="V71" s="8">
        <f t="shared" si="40"/>
        <v>43018</v>
      </c>
    </row>
    <row r="72" spans="1:22">
      <c r="A72" s="3">
        <f t="shared" si="21"/>
        <v>70</v>
      </c>
      <c r="B72" t="s">
        <v>76</v>
      </c>
      <c r="C72">
        <f t="shared" si="22"/>
        <v>31</v>
      </c>
      <c r="D72" t="str">
        <f t="shared" si="23"/>
        <v xml:space="preserve">/////PR:Music___SP:Barney20171020   $0 </v>
      </c>
      <c r="E72">
        <f t="shared" si="24"/>
        <v>32</v>
      </c>
      <c r="F72" t="str">
        <f t="shared" si="25"/>
        <v xml:space="preserve">/////PR:Music___SP:Barney20171020   $0 </v>
      </c>
      <c r="G72" t="str">
        <f t="shared" si="26"/>
        <v xml:space="preserve">PR:Music___SP:Barney20171020   $0 </v>
      </c>
      <c r="H72" t="str">
        <f t="shared" si="27"/>
        <v xml:space="preserve">PR:Music   SP:Barney20171020   $0 </v>
      </c>
      <c r="I72" t="str">
        <f t="shared" si="28"/>
        <v>PR:Music SP:Barney20171020 $0</v>
      </c>
      <c r="J72">
        <f t="shared" si="29"/>
        <v>29</v>
      </c>
      <c r="K72">
        <f t="shared" si="30"/>
        <v>48</v>
      </c>
      <c r="L72" t="str">
        <f t="shared" si="31"/>
        <v>Music SP:Barney20171020 $0</v>
      </c>
      <c r="M72" t="str">
        <f t="shared" si="32"/>
        <v>Music Barney20171020 $0</v>
      </c>
      <c r="N72" s="1" t="str">
        <f t="shared" si="33"/>
        <v>Music Barney 20171020 $0</v>
      </c>
      <c r="O72" s="9">
        <f t="shared" si="41"/>
        <v>6</v>
      </c>
      <c r="P72" s="9">
        <f t="shared" si="34"/>
        <v>13</v>
      </c>
      <c r="Q72" s="10">
        <f t="shared" si="35"/>
        <v>22</v>
      </c>
      <c r="R72" s="7" t="str">
        <f t="shared" si="36"/>
        <v>Music</v>
      </c>
      <c r="S72" s="7" t="str">
        <f t="shared" si="37"/>
        <v>Barney</v>
      </c>
      <c r="T72" s="7" t="str">
        <f t="shared" si="38"/>
        <v>20171020</v>
      </c>
      <c r="U72" s="7">
        <f t="shared" si="39"/>
        <v>0</v>
      </c>
      <c r="V72" s="8">
        <f t="shared" si="40"/>
        <v>43028</v>
      </c>
    </row>
    <row r="73" spans="1:22">
      <c r="A73" s="3">
        <f t="shared" si="21"/>
        <v>71</v>
      </c>
      <c r="B73" t="s">
        <v>77</v>
      </c>
      <c r="C73">
        <f t="shared" si="22"/>
        <v>30</v>
      </c>
      <c r="D73" t="str">
        <f t="shared" si="23"/>
        <v xml:space="preserve">/PR:Books__SP:Carol20171021 $582  </v>
      </c>
      <c r="E73">
        <f t="shared" si="24"/>
        <v>32</v>
      </c>
      <c r="F73" t="str">
        <f t="shared" si="25"/>
        <v xml:space="preserve">/PR:Books__SP:Carol20171021 $582  </v>
      </c>
      <c r="G73" t="str">
        <f t="shared" si="26"/>
        <v xml:space="preserve">PR:Books__SP:Carol20171021 $582  </v>
      </c>
      <c r="H73" t="str">
        <f t="shared" si="27"/>
        <v xml:space="preserve">PR:Books  SP:Carol20171021 $582  </v>
      </c>
      <c r="I73" t="str">
        <f t="shared" si="28"/>
        <v>PR:Books SP:Carol20171021 $582</v>
      </c>
      <c r="J73">
        <f t="shared" si="29"/>
        <v>30</v>
      </c>
      <c r="K73">
        <f t="shared" si="30"/>
        <v>50</v>
      </c>
      <c r="L73" t="str">
        <f t="shared" si="31"/>
        <v>Books SP:Carol20171021 $582</v>
      </c>
      <c r="M73" t="str">
        <f t="shared" si="32"/>
        <v>Books Carol20171021 $582</v>
      </c>
      <c r="N73" s="1" t="str">
        <f t="shared" si="33"/>
        <v>Books Carol 20171021 $582</v>
      </c>
      <c r="O73" s="9">
        <f t="shared" si="41"/>
        <v>6</v>
      </c>
      <c r="P73" s="9">
        <f t="shared" si="34"/>
        <v>12</v>
      </c>
      <c r="Q73" s="10">
        <f t="shared" si="35"/>
        <v>21</v>
      </c>
      <c r="R73" s="7" t="str">
        <f t="shared" si="36"/>
        <v>Books</v>
      </c>
      <c r="S73" s="7" t="str">
        <f t="shared" si="37"/>
        <v>Carol</v>
      </c>
      <c r="T73" s="7" t="str">
        <f t="shared" si="38"/>
        <v>20171021</v>
      </c>
      <c r="U73" s="7">
        <f t="shared" si="39"/>
        <v>582</v>
      </c>
      <c r="V73" s="8">
        <f t="shared" si="40"/>
        <v>43029</v>
      </c>
    </row>
    <row r="74" spans="1:22">
      <c r="A74" s="3">
        <f t="shared" si="21"/>
        <v>72</v>
      </c>
      <c r="B74" t="s">
        <v>78</v>
      </c>
      <c r="C74">
        <f t="shared" si="22"/>
        <v>30</v>
      </c>
      <c r="D74" t="str">
        <f t="shared" si="23"/>
        <v xml:space="preserve">/////PR:Clothing____SP:Carol20171013   $0   </v>
      </c>
      <c r="E74">
        <f t="shared" si="24"/>
        <v>32</v>
      </c>
      <c r="F74" t="str">
        <f t="shared" si="25"/>
        <v xml:space="preserve">/////PR:Clothing____SP:Carol20171013   $0   </v>
      </c>
      <c r="G74" t="str">
        <f t="shared" si="26"/>
        <v xml:space="preserve">PR:Clothing____SP:Carol20171013   $0   </v>
      </c>
      <c r="H74" t="str">
        <f t="shared" si="27"/>
        <v xml:space="preserve">PR:Clothing    SP:Carol20171013   $0   </v>
      </c>
      <c r="I74" t="str">
        <f t="shared" si="28"/>
        <v>PR:Clothing SP:Carol20171013 $0</v>
      </c>
      <c r="J74">
        <f t="shared" si="29"/>
        <v>31</v>
      </c>
      <c r="K74">
        <f t="shared" si="30"/>
        <v>48</v>
      </c>
      <c r="L74" t="str">
        <f t="shared" si="31"/>
        <v>Clothing SP:Carol20171013 $0</v>
      </c>
      <c r="M74" t="str">
        <f t="shared" si="32"/>
        <v>Clothing Carol20171013 $0</v>
      </c>
      <c r="N74" s="1" t="str">
        <f t="shared" si="33"/>
        <v>Clothing Carol 20171013 $0</v>
      </c>
      <c r="O74" s="9">
        <f t="shared" si="41"/>
        <v>9</v>
      </c>
      <c r="P74" s="9">
        <f t="shared" si="34"/>
        <v>15</v>
      </c>
      <c r="Q74" s="10">
        <f t="shared" si="35"/>
        <v>24</v>
      </c>
      <c r="R74" s="7" t="str">
        <f t="shared" si="36"/>
        <v>Clothing</v>
      </c>
      <c r="S74" s="7" t="str">
        <f t="shared" si="37"/>
        <v>Carol</v>
      </c>
      <c r="T74" s="7" t="str">
        <f t="shared" si="38"/>
        <v>20171013</v>
      </c>
      <c r="U74" s="7">
        <f t="shared" si="39"/>
        <v>0</v>
      </c>
      <c r="V74" s="8">
        <f t="shared" si="40"/>
        <v>43021</v>
      </c>
    </row>
    <row r="75" spans="1:22">
      <c r="A75" s="3">
        <f t="shared" si="21"/>
        <v>73</v>
      </c>
      <c r="B75" t="s">
        <v>79</v>
      </c>
      <c r="C75">
        <f t="shared" si="22"/>
        <v>29</v>
      </c>
      <c r="D75" t="str">
        <f t="shared" si="23"/>
        <v xml:space="preserve">///PR:Games___SP:Carol2017109  $893   </v>
      </c>
      <c r="E75">
        <f t="shared" si="24"/>
        <v>32</v>
      </c>
      <c r="F75" t="str">
        <f t="shared" si="25"/>
        <v xml:space="preserve">///PR:Games___SP:Carol2017109  $893   </v>
      </c>
      <c r="G75" t="str">
        <f t="shared" si="26"/>
        <v xml:space="preserve">PR:Games___SP:Carol2017109  $893   </v>
      </c>
      <c r="H75" t="str">
        <f t="shared" si="27"/>
        <v xml:space="preserve">PR:Games   SP:Carol2017109  $893   </v>
      </c>
      <c r="I75" t="str">
        <f t="shared" si="28"/>
        <v>PR:Games SP:Carol2017109 $893</v>
      </c>
      <c r="J75">
        <f t="shared" si="29"/>
        <v>29</v>
      </c>
      <c r="K75">
        <f t="shared" si="30"/>
        <v>51</v>
      </c>
      <c r="L75" t="str">
        <f t="shared" si="31"/>
        <v>Games SP:Carol2017109 $893</v>
      </c>
      <c r="M75" t="str">
        <f t="shared" si="32"/>
        <v>Games Carol2017109 $893</v>
      </c>
      <c r="N75" s="1" t="str">
        <f t="shared" si="33"/>
        <v>Games Carol 2017109 $893</v>
      </c>
      <c r="O75" s="9">
        <f t="shared" si="41"/>
        <v>6</v>
      </c>
      <c r="P75" s="9">
        <f t="shared" si="34"/>
        <v>12</v>
      </c>
      <c r="Q75" s="10">
        <f t="shared" si="35"/>
        <v>20</v>
      </c>
      <c r="R75" s="7" t="str">
        <f t="shared" si="36"/>
        <v>Games</v>
      </c>
      <c r="S75" s="7" t="str">
        <f t="shared" si="37"/>
        <v>Carol</v>
      </c>
      <c r="T75" s="7" t="str">
        <f t="shared" si="38"/>
        <v>2017109</v>
      </c>
      <c r="U75" s="7">
        <f t="shared" si="39"/>
        <v>893</v>
      </c>
      <c r="V75" s="8">
        <f t="shared" si="40"/>
        <v>43017</v>
      </c>
    </row>
    <row r="76" spans="1:22">
      <c r="A76" s="3">
        <f t="shared" si="21"/>
        <v>74</v>
      </c>
      <c r="B76" t="s">
        <v>80</v>
      </c>
      <c r="C76">
        <f t="shared" si="22"/>
        <v>29</v>
      </c>
      <c r="D76" t="str">
        <f t="shared" si="23"/>
        <v xml:space="preserve">//PR:Music_____SP:Alice20171012  $1447     </v>
      </c>
      <c r="E76">
        <f t="shared" si="24"/>
        <v>32</v>
      </c>
      <c r="F76" t="str">
        <f t="shared" si="25"/>
        <v xml:space="preserve">//PR:Music_____SP:Alice20171012  $1447     </v>
      </c>
      <c r="G76" t="str">
        <f t="shared" si="26"/>
        <v xml:space="preserve">PR:Music_____SP:Alice20171012  $1447     </v>
      </c>
      <c r="H76" t="str">
        <f t="shared" si="27"/>
        <v xml:space="preserve">PR:Music     SP:Alice20171012  $1447     </v>
      </c>
      <c r="I76" t="str">
        <f t="shared" si="28"/>
        <v>PR:Music SP:Alice20171012 $1447</v>
      </c>
      <c r="J76">
        <f t="shared" si="29"/>
        <v>31</v>
      </c>
      <c r="K76">
        <f t="shared" si="30"/>
        <v>55</v>
      </c>
      <c r="L76" t="str">
        <f t="shared" si="31"/>
        <v>Music SP:Alice20171012 $1447</v>
      </c>
      <c r="M76" t="str">
        <f t="shared" si="32"/>
        <v>Music Alice20171012 $1447</v>
      </c>
      <c r="N76" s="1" t="str">
        <f t="shared" si="33"/>
        <v>Music Alice 20171012 $1447</v>
      </c>
      <c r="O76" s="9">
        <f t="shared" si="41"/>
        <v>6</v>
      </c>
      <c r="P76" s="9">
        <f t="shared" si="34"/>
        <v>12</v>
      </c>
      <c r="Q76" s="10">
        <f t="shared" si="35"/>
        <v>21</v>
      </c>
      <c r="R76" s="7" t="str">
        <f t="shared" si="36"/>
        <v>Music</v>
      </c>
      <c r="S76" s="7" t="str">
        <f t="shared" si="37"/>
        <v>Alice</v>
      </c>
      <c r="T76" s="7" t="str">
        <f t="shared" si="38"/>
        <v>20171012</v>
      </c>
      <c r="U76" s="7">
        <f t="shared" si="39"/>
        <v>1447</v>
      </c>
      <c r="V76" s="8">
        <f t="shared" si="40"/>
        <v>43020</v>
      </c>
    </row>
    <row r="77" spans="1:22">
      <c r="A77" s="3">
        <f t="shared" si="21"/>
        <v>75</v>
      </c>
      <c r="B77" t="s">
        <v>81</v>
      </c>
      <c r="C77">
        <f t="shared" si="22"/>
        <v>29</v>
      </c>
      <c r="D77" t="str">
        <f t="shared" si="23"/>
        <v xml:space="preserve">/////PR:Clothing_____SP:Barney20171024    $1395     </v>
      </c>
      <c r="E77">
        <f t="shared" si="24"/>
        <v>32</v>
      </c>
      <c r="F77" t="str">
        <f t="shared" si="25"/>
        <v xml:space="preserve">/////PR:Clothing_____SP:Barney20171024    $1395     </v>
      </c>
      <c r="G77" t="str">
        <f t="shared" si="26"/>
        <v xml:space="preserve">PR:Clothing_____SP:Barney20171024    $1395     </v>
      </c>
      <c r="H77" t="str">
        <f t="shared" si="27"/>
        <v xml:space="preserve">PR:Clothing     SP:Barney20171024    $1395     </v>
      </c>
      <c r="I77" t="str">
        <f t="shared" si="28"/>
        <v>PR:Clothing SP:Barney20171024 $1395</v>
      </c>
      <c r="J77">
        <f t="shared" si="29"/>
        <v>35</v>
      </c>
      <c r="K77">
        <f t="shared" si="30"/>
        <v>53</v>
      </c>
      <c r="L77" t="str">
        <f t="shared" si="31"/>
        <v>Clothing SP:Barney20171024 $1395</v>
      </c>
      <c r="M77" t="str">
        <f t="shared" si="32"/>
        <v>Clothing Barney20171024 $1395</v>
      </c>
      <c r="N77" s="1" t="str">
        <f t="shared" si="33"/>
        <v>Clothing Barney 20171024 $1395</v>
      </c>
      <c r="O77" s="9">
        <f t="shared" si="41"/>
        <v>9</v>
      </c>
      <c r="P77" s="9">
        <f t="shared" si="34"/>
        <v>16</v>
      </c>
      <c r="Q77" s="10">
        <f t="shared" si="35"/>
        <v>25</v>
      </c>
      <c r="R77" s="7" t="str">
        <f t="shared" si="36"/>
        <v>Clothing</v>
      </c>
      <c r="S77" s="7" t="str">
        <f t="shared" si="37"/>
        <v>Barney</v>
      </c>
      <c r="T77" s="7" t="str">
        <f t="shared" si="38"/>
        <v>20171024</v>
      </c>
      <c r="U77" s="7">
        <f t="shared" si="39"/>
        <v>1395</v>
      </c>
      <c r="V77" s="8">
        <f t="shared" si="40"/>
        <v>43032</v>
      </c>
    </row>
    <row r="78" spans="1:22">
      <c r="A78" s="3">
        <f t="shared" si="21"/>
        <v>76</v>
      </c>
      <c r="B78" t="s">
        <v>82</v>
      </c>
      <c r="C78">
        <f t="shared" si="22"/>
        <v>28</v>
      </c>
      <c r="D78" t="str">
        <f t="shared" si="23"/>
        <v xml:space="preserve">//PR:Clothing_____SP:Alice20171025     $729  </v>
      </c>
      <c r="E78">
        <f t="shared" si="24"/>
        <v>32</v>
      </c>
      <c r="F78" t="str">
        <f t="shared" si="25"/>
        <v xml:space="preserve">//PR:Clothing_____SP:Alice20171025     $729  </v>
      </c>
      <c r="G78" t="str">
        <f t="shared" si="26"/>
        <v xml:space="preserve">PR:Clothing_____SP:Alice20171025     $729  </v>
      </c>
      <c r="H78" t="str">
        <f t="shared" si="27"/>
        <v xml:space="preserve">PR:Clothing     SP:Alice20171025     $729  </v>
      </c>
      <c r="I78" t="str">
        <f t="shared" si="28"/>
        <v>PR:Clothing SP:Alice20171025 $729</v>
      </c>
      <c r="J78">
        <f t="shared" si="29"/>
        <v>33</v>
      </c>
      <c r="K78">
        <f t="shared" si="30"/>
        <v>57</v>
      </c>
      <c r="L78" t="str">
        <f t="shared" si="31"/>
        <v>Clothing SP:Alice20171025 $729</v>
      </c>
      <c r="M78" t="str">
        <f t="shared" si="32"/>
        <v>Clothing Alice20171025 $729</v>
      </c>
      <c r="N78" s="1" t="str">
        <f t="shared" si="33"/>
        <v>Clothing Alice 20171025 $729</v>
      </c>
      <c r="O78" s="9">
        <f t="shared" si="41"/>
        <v>9</v>
      </c>
      <c r="P78" s="9">
        <f t="shared" si="34"/>
        <v>15</v>
      </c>
      <c r="Q78" s="10">
        <f t="shared" si="35"/>
        <v>24</v>
      </c>
      <c r="R78" s="7" t="str">
        <f t="shared" si="36"/>
        <v>Clothing</v>
      </c>
      <c r="S78" s="7" t="str">
        <f t="shared" si="37"/>
        <v>Alice</v>
      </c>
      <c r="T78" s="7" t="str">
        <f t="shared" si="38"/>
        <v>20171025</v>
      </c>
      <c r="U78" s="7">
        <f t="shared" si="39"/>
        <v>729</v>
      </c>
      <c r="V78" s="8">
        <f t="shared" si="40"/>
        <v>43033</v>
      </c>
    </row>
    <row r="79" spans="1:22">
      <c r="A79" s="3">
        <f t="shared" si="21"/>
        <v>77</v>
      </c>
      <c r="B79" t="s">
        <v>83</v>
      </c>
      <c r="C79">
        <f t="shared" si="22"/>
        <v>30</v>
      </c>
      <c r="D79" t="str">
        <f t="shared" si="23"/>
        <v xml:space="preserve">////PR:Clothing___SP:Carol2017104     $819   </v>
      </c>
      <c r="E79">
        <f t="shared" si="24"/>
        <v>32</v>
      </c>
      <c r="F79" t="str">
        <f t="shared" si="25"/>
        <v xml:space="preserve">////PR:Clothing___SP:Carol2017104     $819   </v>
      </c>
      <c r="G79" t="str">
        <f t="shared" si="26"/>
        <v xml:space="preserve">PR:Clothing___SP:Carol2017104     $819   </v>
      </c>
      <c r="H79" t="str">
        <f t="shared" si="27"/>
        <v xml:space="preserve">PR:Clothing   SP:Carol2017104     $819   </v>
      </c>
      <c r="I79" t="str">
        <f t="shared" si="28"/>
        <v>PR:Clothing SP:Carol2017104 $819</v>
      </c>
      <c r="J79">
        <f t="shared" si="29"/>
        <v>32</v>
      </c>
      <c r="K79">
        <f t="shared" si="30"/>
        <v>57</v>
      </c>
      <c r="L79" t="str">
        <f t="shared" si="31"/>
        <v>Clothing SP:Carol2017104 $819</v>
      </c>
      <c r="M79" t="str">
        <f t="shared" si="32"/>
        <v>Clothing Carol2017104 $819</v>
      </c>
      <c r="N79" s="1" t="str">
        <f t="shared" si="33"/>
        <v>Clothing Carol 2017104 $819</v>
      </c>
      <c r="O79" s="9">
        <f t="shared" si="41"/>
        <v>9</v>
      </c>
      <c r="P79" s="9">
        <f t="shared" si="34"/>
        <v>15</v>
      </c>
      <c r="Q79" s="10">
        <f t="shared" si="35"/>
        <v>23</v>
      </c>
      <c r="R79" s="7" t="str">
        <f t="shared" si="36"/>
        <v>Clothing</v>
      </c>
      <c r="S79" s="7" t="str">
        <f t="shared" si="37"/>
        <v>Carol</v>
      </c>
      <c r="T79" s="7" t="str">
        <f t="shared" si="38"/>
        <v>2017104</v>
      </c>
      <c r="U79" s="7">
        <f t="shared" si="39"/>
        <v>819</v>
      </c>
      <c r="V79" s="8">
        <f t="shared" si="40"/>
        <v>43012</v>
      </c>
    </row>
    <row r="80" spans="1:22">
      <c r="A80" s="3">
        <f t="shared" si="21"/>
        <v>78</v>
      </c>
      <c r="B80" t="s">
        <v>84</v>
      </c>
      <c r="C80">
        <f t="shared" si="22"/>
        <v>28</v>
      </c>
      <c r="D80" t="str">
        <f t="shared" si="23"/>
        <v xml:space="preserve">/PR:Clothing__SP:David20171024     $0   </v>
      </c>
      <c r="E80">
        <f t="shared" si="24"/>
        <v>32</v>
      </c>
      <c r="F80" t="str">
        <f t="shared" si="25"/>
        <v xml:space="preserve">/PR:Clothing__SP:David20171024     $0   </v>
      </c>
      <c r="G80" t="str">
        <f t="shared" si="26"/>
        <v xml:space="preserve">PR:Clothing__SP:David20171024     $0   </v>
      </c>
      <c r="H80" t="str">
        <f t="shared" si="27"/>
        <v xml:space="preserve">PR:Clothing  SP:David20171024     $0   </v>
      </c>
      <c r="I80" t="str">
        <f t="shared" si="28"/>
        <v>PR:Clothing SP:David20171024 $0</v>
      </c>
      <c r="J80">
        <f t="shared" si="29"/>
        <v>31</v>
      </c>
      <c r="K80">
        <f t="shared" si="30"/>
        <v>48</v>
      </c>
      <c r="L80" t="str">
        <f t="shared" si="31"/>
        <v>Clothing SP:David20171024 $0</v>
      </c>
      <c r="M80" t="str">
        <f t="shared" si="32"/>
        <v>Clothing David20171024 $0</v>
      </c>
      <c r="N80" s="1" t="str">
        <f t="shared" si="33"/>
        <v>Clothing David 20171024 $0</v>
      </c>
      <c r="O80" s="9">
        <f t="shared" si="41"/>
        <v>9</v>
      </c>
      <c r="P80" s="9">
        <f t="shared" si="34"/>
        <v>15</v>
      </c>
      <c r="Q80" s="10">
        <f t="shared" si="35"/>
        <v>24</v>
      </c>
      <c r="R80" s="7" t="str">
        <f t="shared" si="36"/>
        <v>Clothing</v>
      </c>
      <c r="S80" s="7" t="str">
        <f t="shared" si="37"/>
        <v>David</v>
      </c>
      <c r="T80" s="7" t="str">
        <f t="shared" si="38"/>
        <v>20171024</v>
      </c>
      <c r="U80" s="7">
        <f t="shared" si="39"/>
        <v>0</v>
      </c>
      <c r="V80" s="8">
        <f t="shared" si="40"/>
        <v>43032</v>
      </c>
    </row>
    <row r="81" spans="1:22">
      <c r="A81" s="3">
        <f t="shared" si="21"/>
        <v>79</v>
      </c>
      <c r="B81" t="s">
        <v>85</v>
      </c>
      <c r="C81">
        <f t="shared" si="22"/>
        <v>28</v>
      </c>
      <c r="D81" t="str">
        <f t="shared" si="23"/>
        <v xml:space="preserve">///PR:Games__SP:David20171025     $1409     </v>
      </c>
      <c r="E81">
        <f t="shared" si="24"/>
        <v>32</v>
      </c>
      <c r="F81" t="str">
        <f t="shared" si="25"/>
        <v xml:space="preserve">///PR:Games__SP:David20171025     $1409     </v>
      </c>
      <c r="G81" t="str">
        <f t="shared" si="26"/>
        <v xml:space="preserve">PR:Games__SP:David20171025     $1409     </v>
      </c>
      <c r="H81" t="str">
        <f t="shared" si="27"/>
        <v xml:space="preserve">PR:Games  SP:David20171025     $1409     </v>
      </c>
      <c r="I81" t="str">
        <f t="shared" si="28"/>
        <v>PR:Games SP:David20171025 $1409</v>
      </c>
      <c r="J81">
        <f t="shared" si="29"/>
        <v>31</v>
      </c>
      <c r="K81">
        <f t="shared" si="30"/>
        <v>57</v>
      </c>
      <c r="L81" t="str">
        <f t="shared" si="31"/>
        <v>Games SP:David20171025 $1409</v>
      </c>
      <c r="M81" t="str">
        <f t="shared" si="32"/>
        <v>Games David20171025 $1409</v>
      </c>
      <c r="N81" s="1" t="str">
        <f t="shared" si="33"/>
        <v>Games David 20171025 $1409</v>
      </c>
      <c r="O81" s="9">
        <f t="shared" si="41"/>
        <v>6</v>
      </c>
      <c r="P81" s="9">
        <f t="shared" si="34"/>
        <v>12</v>
      </c>
      <c r="Q81" s="10">
        <f t="shared" si="35"/>
        <v>21</v>
      </c>
      <c r="R81" s="7" t="str">
        <f t="shared" si="36"/>
        <v>Games</v>
      </c>
      <c r="S81" s="7" t="str">
        <f t="shared" si="37"/>
        <v>David</v>
      </c>
      <c r="T81" s="7" t="str">
        <f t="shared" si="38"/>
        <v>20171025</v>
      </c>
      <c r="U81" s="7">
        <f t="shared" si="39"/>
        <v>1409</v>
      </c>
      <c r="V81" s="8">
        <f t="shared" si="40"/>
        <v>43033</v>
      </c>
    </row>
    <row r="82" spans="1:22">
      <c r="A82" s="3">
        <f t="shared" si="21"/>
        <v>80</v>
      </c>
      <c r="B82" t="s">
        <v>86</v>
      </c>
      <c r="C82">
        <f t="shared" si="22"/>
        <v>29</v>
      </c>
      <c r="D82" t="str">
        <f t="shared" si="23"/>
        <v xml:space="preserve">/////PR:Games____SP:David20171028    $1628   </v>
      </c>
      <c r="E82">
        <f t="shared" si="24"/>
        <v>32</v>
      </c>
      <c r="F82" t="str">
        <f t="shared" si="25"/>
        <v xml:space="preserve">/////PR:Games____SP:David20171028    $1628   </v>
      </c>
      <c r="G82" t="str">
        <f t="shared" si="26"/>
        <v xml:space="preserve">PR:Games____SP:David20171028    $1628   </v>
      </c>
      <c r="H82" t="str">
        <f t="shared" si="27"/>
        <v xml:space="preserve">PR:Games    SP:David20171028    $1628   </v>
      </c>
      <c r="I82" t="str">
        <f t="shared" si="28"/>
        <v>PR:Games SP:David20171028 $1628</v>
      </c>
      <c r="J82">
        <f t="shared" si="29"/>
        <v>31</v>
      </c>
      <c r="K82">
        <f t="shared" si="30"/>
        <v>56</v>
      </c>
      <c r="L82" t="str">
        <f t="shared" si="31"/>
        <v>Games SP:David20171028 $1628</v>
      </c>
      <c r="M82" t="str">
        <f t="shared" si="32"/>
        <v>Games David20171028 $1628</v>
      </c>
      <c r="N82" s="1" t="str">
        <f t="shared" si="33"/>
        <v>Games David 20171028 $1628</v>
      </c>
      <c r="O82" s="9">
        <f t="shared" si="41"/>
        <v>6</v>
      </c>
      <c r="P82" s="9">
        <f t="shared" si="34"/>
        <v>12</v>
      </c>
      <c r="Q82" s="10">
        <f t="shared" si="35"/>
        <v>21</v>
      </c>
      <c r="R82" s="7" t="str">
        <f t="shared" si="36"/>
        <v>Games</v>
      </c>
      <c r="S82" s="7" t="str">
        <f t="shared" si="37"/>
        <v>David</v>
      </c>
      <c r="T82" s="7" t="str">
        <f t="shared" si="38"/>
        <v>20171028</v>
      </c>
      <c r="U82" s="7">
        <f t="shared" si="39"/>
        <v>1628</v>
      </c>
      <c r="V82" s="8">
        <f t="shared" si="40"/>
        <v>43036</v>
      </c>
    </row>
    <row r="83" spans="1:22">
      <c r="A83" s="3">
        <f t="shared" si="21"/>
        <v>81</v>
      </c>
      <c r="B83" t="s">
        <v>87</v>
      </c>
      <c r="C83">
        <f t="shared" si="22"/>
        <v>31</v>
      </c>
      <c r="D83" t="str">
        <f t="shared" si="23"/>
        <v xml:space="preserve">/PR:Music_SP:David20171030 $0  </v>
      </c>
      <c r="E83">
        <f t="shared" si="24"/>
        <v>32</v>
      </c>
      <c r="F83" t="str">
        <f t="shared" si="25"/>
        <v xml:space="preserve">/PR:Music_SP:David20171030 $0  </v>
      </c>
      <c r="G83" t="str">
        <f t="shared" si="26"/>
        <v xml:space="preserve">PR:Music_SP:David20171030 $0  </v>
      </c>
      <c r="H83" t="str">
        <f t="shared" si="27"/>
        <v xml:space="preserve">PR:Music SP:David20171030 $0  </v>
      </c>
      <c r="I83" t="str">
        <f t="shared" si="28"/>
        <v>PR:Music SP:David20171030 $0</v>
      </c>
      <c r="J83">
        <f t="shared" si="29"/>
        <v>28</v>
      </c>
      <c r="K83">
        <f t="shared" si="30"/>
        <v>48</v>
      </c>
      <c r="L83" t="str">
        <f t="shared" si="31"/>
        <v>Music SP:David20171030 $0</v>
      </c>
      <c r="M83" t="str">
        <f t="shared" si="32"/>
        <v>Music David20171030 $0</v>
      </c>
      <c r="N83" s="1" t="str">
        <f t="shared" si="33"/>
        <v>Music David 20171030 $0</v>
      </c>
      <c r="O83" s="9">
        <f t="shared" si="41"/>
        <v>6</v>
      </c>
      <c r="P83" s="9">
        <f t="shared" si="34"/>
        <v>12</v>
      </c>
      <c r="Q83" s="10">
        <f t="shared" si="35"/>
        <v>21</v>
      </c>
      <c r="R83" s="7" t="str">
        <f t="shared" si="36"/>
        <v>Music</v>
      </c>
      <c r="S83" s="7" t="str">
        <f t="shared" si="37"/>
        <v>David</v>
      </c>
      <c r="T83" s="7" t="str">
        <f t="shared" si="38"/>
        <v>20171030</v>
      </c>
      <c r="U83" s="7">
        <f t="shared" si="39"/>
        <v>0</v>
      </c>
      <c r="V83" s="8">
        <f t="shared" si="40"/>
        <v>43038</v>
      </c>
    </row>
    <row r="84" spans="1:22">
      <c r="A84" s="3">
        <f t="shared" si="21"/>
        <v>82</v>
      </c>
      <c r="B84" t="s">
        <v>88</v>
      </c>
      <c r="C84">
        <f t="shared" si="22"/>
        <v>28</v>
      </c>
      <c r="D84" t="str">
        <f t="shared" si="23"/>
        <v xml:space="preserve">//PR:Games___SP:Alice20171030 $1228 </v>
      </c>
      <c r="E84">
        <f t="shared" si="24"/>
        <v>32</v>
      </c>
      <c r="F84" t="str">
        <f t="shared" si="25"/>
        <v xml:space="preserve">//PR:Games___SP:Alice20171030 $1228 </v>
      </c>
      <c r="G84" t="str">
        <f t="shared" si="26"/>
        <v xml:space="preserve">PR:Games___SP:Alice20171030 $1228 </v>
      </c>
      <c r="H84" t="str">
        <f t="shared" si="27"/>
        <v xml:space="preserve">PR:Games   SP:Alice20171030 $1228 </v>
      </c>
      <c r="I84" t="str">
        <f t="shared" si="28"/>
        <v>PR:Games SP:Alice20171030 $1228</v>
      </c>
      <c r="J84">
        <f t="shared" si="29"/>
        <v>31</v>
      </c>
      <c r="K84">
        <f t="shared" si="30"/>
        <v>56</v>
      </c>
      <c r="L84" t="str">
        <f t="shared" si="31"/>
        <v>Games SP:Alice20171030 $1228</v>
      </c>
      <c r="M84" t="str">
        <f t="shared" si="32"/>
        <v>Games Alice20171030 $1228</v>
      </c>
      <c r="N84" s="1" t="str">
        <f t="shared" si="33"/>
        <v>Games Alice 20171030 $1228</v>
      </c>
      <c r="O84" s="9">
        <f t="shared" si="41"/>
        <v>6</v>
      </c>
      <c r="P84" s="9">
        <f t="shared" si="34"/>
        <v>12</v>
      </c>
      <c r="Q84" s="10">
        <f t="shared" si="35"/>
        <v>21</v>
      </c>
      <c r="R84" s="7" t="str">
        <f t="shared" si="36"/>
        <v>Games</v>
      </c>
      <c r="S84" s="7" t="str">
        <f t="shared" si="37"/>
        <v>Alice</v>
      </c>
      <c r="T84" s="7" t="str">
        <f t="shared" si="38"/>
        <v>20171030</v>
      </c>
      <c r="U84" s="7">
        <f t="shared" si="39"/>
        <v>1228</v>
      </c>
      <c r="V84" s="8">
        <f t="shared" si="40"/>
        <v>43038</v>
      </c>
    </row>
    <row r="85" spans="1:22">
      <c r="A85" s="3">
        <f t="shared" si="21"/>
        <v>83</v>
      </c>
      <c r="B85" t="s">
        <v>89</v>
      </c>
      <c r="C85">
        <f t="shared" si="22"/>
        <v>28</v>
      </c>
      <c r="D85" t="str">
        <f t="shared" si="23"/>
        <v xml:space="preserve">////PR:Music_____SP:Carol20171018   $1232    </v>
      </c>
      <c r="E85">
        <f t="shared" si="24"/>
        <v>32</v>
      </c>
      <c r="F85" t="str">
        <f t="shared" si="25"/>
        <v xml:space="preserve">////PR:Music_____SP:Carol20171018   $1232    </v>
      </c>
      <c r="G85" t="str">
        <f t="shared" si="26"/>
        <v xml:space="preserve">PR:Music_____SP:Carol20171018   $1232    </v>
      </c>
      <c r="H85" t="str">
        <f t="shared" si="27"/>
        <v xml:space="preserve">PR:Music     SP:Carol20171018   $1232    </v>
      </c>
      <c r="I85" t="str">
        <f t="shared" si="28"/>
        <v>PR:Music SP:Carol20171018 $1232</v>
      </c>
      <c r="J85">
        <f t="shared" si="29"/>
        <v>31</v>
      </c>
      <c r="K85">
        <f t="shared" si="30"/>
        <v>50</v>
      </c>
      <c r="L85" t="str">
        <f t="shared" si="31"/>
        <v>Music SP:Carol20171018 $1232</v>
      </c>
      <c r="M85" t="str">
        <f t="shared" si="32"/>
        <v>Music Carol20171018 $1232</v>
      </c>
      <c r="N85" s="1" t="str">
        <f t="shared" si="33"/>
        <v>Music Carol 20171018 $1232</v>
      </c>
      <c r="O85" s="9">
        <f t="shared" si="41"/>
        <v>6</v>
      </c>
      <c r="P85" s="9">
        <f t="shared" si="34"/>
        <v>12</v>
      </c>
      <c r="Q85" s="10">
        <f t="shared" si="35"/>
        <v>21</v>
      </c>
      <c r="R85" s="7" t="str">
        <f t="shared" si="36"/>
        <v>Music</v>
      </c>
      <c r="S85" s="7" t="str">
        <f t="shared" si="37"/>
        <v>Carol</v>
      </c>
      <c r="T85" s="7" t="str">
        <f t="shared" si="38"/>
        <v>20171018</v>
      </c>
      <c r="U85" s="7">
        <f t="shared" si="39"/>
        <v>1232</v>
      </c>
      <c r="V85" s="8">
        <f t="shared" si="40"/>
        <v>43026</v>
      </c>
    </row>
    <row r="86" spans="1:22">
      <c r="A86" s="3">
        <f t="shared" si="21"/>
        <v>84</v>
      </c>
      <c r="B86" t="s">
        <v>90</v>
      </c>
      <c r="C86">
        <f t="shared" si="22"/>
        <v>28</v>
      </c>
      <c r="D86" t="str">
        <f t="shared" si="23"/>
        <v xml:space="preserve">///PR:Clothing___SP:Barney20171029   $754 </v>
      </c>
      <c r="E86">
        <f t="shared" si="24"/>
        <v>32</v>
      </c>
      <c r="F86" t="str">
        <f t="shared" si="25"/>
        <v xml:space="preserve">///PR:Clothing___SP:Barney20171029   $754 </v>
      </c>
      <c r="G86" t="str">
        <f t="shared" si="26"/>
        <v xml:space="preserve">PR:Clothing___SP:Barney20171029   $754 </v>
      </c>
      <c r="H86" t="str">
        <f t="shared" si="27"/>
        <v xml:space="preserve">PR:Clothing   SP:Barney20171029   $754 </v>
      </c>
      <c r="I86" t="str">
        <f t="shared" si="28"/>
        <v>PR:Clothing SP:Barney20171029 $754</v>
      </c>
      <c r="J86">
        <f t="shared" si="29"/>
        <v>34</v>
      </c>
      <c r="K86">
        <f t="shared" si="30"/>
        <v>52</v>
      </c>
      <c r="L86" t="str">
        <f t="shared" si="31"/>
        <v>Clothing SP:Barney20171029 $754</v>
      </c>
      <c r="M86" t="str">
        <f t="shared" si="32"/>
        <v>Clothing Barney20171029 $754</v>
      </c>
      <c r="N86" s="1" t="str">
        <f t="shared" si="33"/>
        <v>Clothing Barney 20171029 $754</v>
      </c>
      <c r="O86" s="9">
        <f t="shared" si="41"/>
        <v>9</v>
      </c>
      <c r="P86" s="9">
        <f t="shared" si="34"/>
        <v>16</v>
      </c>
      <c r="Q86" s="10">
        <f t="shared" si="35"/>
        <v>25</v>
      </c>
      <c r="R86" s="7" t="str">
        <f t="shared" si="36"/>
        <v>Clothing</v>
      </c>
      <c r="S86" s="7" t="str">
        <f t="shared" si="37"/>
        <v>Barney</v>
      </c>
      <c r="T86" s="7" t="str">
        <f t="shared" si="38"/>
        <v>20171029</v>
      </c>
      <c r="U86" s="7">
        <f t="shared" si="39"/>
        <v>754</v>
      </c>
      <c r="V86" s="8">
        <f t="shared" si="40"/>
        <v>43037</v>
      </c>
    </row>
    <row r="87" spans="1:22">
      <c r="A87" s="3">
        <f t="shared" si="21"/>
        <v>85</v>
      </c>
      <c r="B87" t="s">
        <v>91</v>
      </c>
      <c r="C87">
        <f t="shared" si="22"/>
        <v>30</v>
      </c>
      <c r="D87" t="str">
        <f t="shared" si="23"/>
        <v xml:space="preserve">//PR:Clothing_____SP:Carol20171023     $1234     </v>
      </c>
      <c r="E87">
        <f t="shared" si="24"/>
        <v>32</v>
      </c>
      <c r="F87" t="str">
        <f t="shared" si="25"/>
        <v xml:space="preserve">//PR:Clothing_____SP:Carol20171023     $1234     </v>
      </c>
      <c r="G87" t="str">
        <f t="shared" si="26"/>
        <v xml:space="preserve">PR:Clothing_____SP:Carol20171023     $1234     </v>
      </c>
      <c r="H87" t="str">
        <f t="shared" si="27"/>
        <v xml:space="preserve">PR:Clothing     SP:Carol20171023     $1234     </v>
      </c>
      <c r="I87" t="str">
        <f t="shared" si="28"/>
        <v>PR:Clothing SP:Carol20171023 $1234</v>
      </c>
      <c r="J87">
        <f t="shared" si="29"/>
        <v>34</v>
      </c>
      <c r="K87">
        <f t="shared" si="30"/>
        <v>52</v>
      </c>
      <c r="L87" t="str">
        <f t="shared" si="31"/>
        <v>Clothing SP:Carol20171023 $1234</v>
      </c>
      <c r="M87" t="str">
        <f t="shared" si="32"/>
        <v>Clothing Carol20171023 $1234</v>
      </c>
      <c r="N87" s="1" t="str">
        <f t="shared" si="33"/>
        <v>Clothing Carol 20171023 $1234</v>
      </c>
      <c r="O87" s="9">
        <f t="shared" si="41"/>
        <v>9</v>
      </c>
      <c r="P87" s="9">
        <f t="shared" si="34"/>
        <v>15</v>
      </c>
      <c r="Q87" s="10">
        <f t="shared" si="35"/>
        <v>24</v>
      </c>
      <c r="R87" s="7" t="str">
        <f t="shared" si="36"/>
        <v>Clothing</v>
      </c>
      <c r="S87" s="7" t="str">
        <f t="shared" si="37"/>
        <v>Carol</v>
      </c>
      <c r="T87" s="7" t="str">
        <f t="shared" si="38"/>
        <v>20171023</v>
      </c>
      <c r="U87" s="7">
        <f t="shared" si="39"/>
        <v>1234</v>
      </c>
      <c r="V87" s="8">
        <f t="shared" si="40"/>
        <v>43031</v>
      </c>
    </row>
    <row r="88" spans="1:22">
      <c r="A88" s="3">
        <f t="shared" si="21"/>
        <v>86</v>
      </c>
      <c r="B88" t="s">
        <v>92</v>
      </c>
      <c r="C88">
        <f t="shared" si="22"/>
        <v>29</v>
      </c>
      <c r="D88" t="str">
        <f t="shared" si="23"/>
        <v xml:space="preserve">////PR:Music_____SP:Barney2017102    $927     </v>
      </c>
      <c r="E88">
        <f t="shared" si="24"/>
        <v>32</v>
      </c>
      <c r="F88" t="str">
        <f t="shared" si="25"/>
        <v xml:space="preserve">////PR:Music_____SP:Barney2017102    $927     </v>
      </c>
      <c r="G88" t="str">
        <f t="shared" si="26"/>
        <v xml:space="preserve">PR:Music_____SP:Barney2017102    $927     </v>
      </c>
      <c r="H88" t="str">
        <f t="shared" si="27"/>
        <v xml:space="preserve">PR:Music     SP:Barney2017102    $927     </v>
      </c>
      <c r="I88" t="str">
        <f t="shared" si="28"/>
        <v>PR:Music SP:Barney2017102 $927</v>
      </c>
      <c r="J88">
        <f t="shared" si="29"/>
        <v>30</v>
      </c>
      <c r="K88">
        <f t="shared" si="30"/>
        <v>55</v>
      </c>
      <c r="L88" t="str">
        <f t="shared" si="31"/>
        <v>Music SP:Barney2017102 $927</v>
      </c>
      <c r="M88" t="str">
        <f t="shared" si="32"/>
        <v>Music Barney2017102 $927</v>
      </c>
      <c r="N88" s="1" t="str">
        <f t="shared" si="33"/>
        <v>Music Barney 2017102 $927</v>
      </c>
      <c r="O88" s="9">
        <f t="shared" si="41"/>
        <v>6</v>
      </c>
      <c r="P88" s="9">
        <f t="shared" si="34"/>
        <v>13</v>
      </c>
      <c r="Q88" s="10">
        <f t="shared" si="35"/>
        <v>21</v>
      </c>
      <c r="R88" s="7" t="str">
        <f t="shared" si="36"/>
        <v>Music</v>
      </c>
      <c r="S88" s="7" t="str">
        <f t="shared" si="37"/>
        <v>Barney</v>
      </c>
      <c r="T88" s="7" t="str">
        <f t="shared" si="38"/>
        <v>2017102</v>
      </c>
      <c r="U88" s="7">
        <f t="shared" si="39"/>
        <v>927</v>
      </c>
      <c r="V88" s="8">
        <f t="shared" si="40"/>
        <v>43010</v>
      </c>
    </row>
    <row r="89" spans="1:22">
      <c r="A89" s="3">
        <f t="shared" si="21"/>
        <v>87</v>
      </c>
      <c r="B89" t="s">
        <v>93</v>
      </c>
      <c r="C89">
        <f t="shared" si="22"/>
        <v>31</v>
      </c>
      <c r="D89" t="str">
        <f t="shared" si="23"/>
        <v xml:space="preserve">//PR:Clothing_SP:Barney2017107 $1419 </v>
      </c>
      <c r="E89">
        <f t="shared" si="24"/>
        <v>32</v>
      </c>
      <c r="F89" t="str">
        <f t="shared" si="25"/>
        <v xml:space="preserve">//PR:Clothing_SP:Barney2017107 $1419 </v>
      </c>
      <c r="G89" t="str">
        <f t="shared" si="26"/>
        <v xml:space="preserve">PR:Clothing_SP:Barney2017107 $1419 </v>
      </c>
      <c r="H89" t="str">
        <f t="shared" si="27"/>
        <v xml:space="preserve">PR:Clothing SP:Barney2017107 $1419 </v>
      </c>
      <c r="I89" t="str">
        <f t="shared" si="28"/>
        <v>PR:Clothing SP:Barney2017107 $1419</v>
      </c>
      <c r="J89">
        <f t="shared" si="29"/>
        <v>34</v>
      </c>
      <c r="K89">
        <f t="shared" si="30"/>
        <v>57</v>
      </c>
      <c r="L89" t="str">
        <f t="shared" si="31"/>
        <v>Clothing SP:Barney2017107 $1419</v>
      </c>
      <c r="M89" t="str">
        <f t="shared" si="32"/>
        <v>Clothing Barney2017107 $1419</v>
      </c>
      <c r="N89" s="1" t="str">
        <f t="shared" si="33"/>
        <v>Clothing Barney 2017107 $1419</v>
      </c>
      <c r="O89" s="9">
        <f t="shared" si="41"/>
        <v>9</v>
      </c>
      <c r="P89" s="9">
        <f t="shared" si="34"/>
        <v>16</v>
      </c>
      <c r="Q89" s="10">
        <f t="shared" si="35"/>
        <v>24</v>
      </c>
      <c r="R89" s="7" t="str">
        <f t="shared" si="36"/>
        <v>Clothing</v>
      </c>
      <c r="S89" s="7" t="str">
        <f t="shared" si="37"/>
        <v>Barney</v>
      </c>
      <c r="T89" s="7" t="str">
        <f t="shared" si="38"/>
        <v>2017107</v>
      </c>
      <c r="U89" s="7">
        <f t="shared" si="39"/>
        <v>1419</v>
      </c>
      <c r="V89" s="8">
        <f t="shared" si="40"/>
        <v>43015</v>
      </c>
    </row>
    <row r="90" spans="1:22">
      <c r="A90" s="3">
        <f t="shared" si="21"/>
        <v>88</v>
      </c>
      <c r="B90" t="s">
        <v>94</v>
      </c>
      <c r="C90">
        <f t="shared" si="22"/>
        <v>29</v>
      </c>
      <c r="D90" t="str">
        <f t="shared" si="23"/>
        <v xml:space="preserve">////PR:Games___SP:Barney20171022     $2167  </v>
      </c>
      <c r="E90">
        <f t="shared" si="24"/>
        <v>32</v>
      </c>
      <c r="F90" t="str">
        <f t="shared" si="25"/>
        <v xml:space="preserve">////PR:Games___SP:Barney20171022     $2167  </v>
      </c>
      <c r="G90" t="str">
        <f t="shared" si="26"/>
        <v xml:space="preserve">PR:Games___SP:Barney20171022     $2167  </v>
      </c>
      <c r="H90" t="str">
        <f t="shared" si="27"/>
        <v xml:space="preserve">PR:Games   SP:Barney20171022     $2167  </v>
      </c>
      <c r="I90" t="str">
        <f t="shared" si="28"/>
        <v>PR:Games SP:Barney20171022 $2167</v>
      </c>
      <c r="J90">
        <f t="shared" si="29"/>
        <v>32</v>
      </c>
      <c r="K90">
        <f t="shared" si="30"/>
        <v>55</v>
      </c>
      <c r="L90" t="str">
        <f t="shared" si="31"/>
        <v>Games SP:Barney20171022 $2167</v>
      </c>
      <c r="M90" t="str">
        <f t="shared" si="32"/>
        <v>Games Barney20171022 $2167</v>
      </c>
      <c r="N90" s="1" t="str">
        <f t="shared" si="33"/>
        <v>Games Barney 20171022 $2167</v>
      </c>
      <c r="O90" s="9">
        <f t="shared" si="41"/>
        <v>6</v>
      </c>
      <c r="P90" s="9">
        <f t="shared" si="34"/>
        <v>13</v>
      </c>
      <c r="Q90" s="10">
        <f t="shared" si="35"/>
        <v>22</v>
      </c>
      <c r="R90" s="7" t="str">
        <f t="shared" si="36"/>
        <v>Games</v>
      </c>
      <c r="S90" s="7" t="str">
        <f t="shared" si="37"/>
        <v>Barney</v>
      </c>
      <c r="T90" s="7" t="str">
        <f t="shared" si="38"/>
        <v>20171022</v>
      </c>
      <c r="U90" s="7">
        <f t="shared" si="39"/>
        <v>2167</v>
      </c>
      <c r="V90" s="8">
        <f t="shared" si="40"/>
        <v>43030</v>
      </c>
    </row>
    <row r="91" spans="1:22">
      <c r="A91" s="3">
        <f t="shared" si="21"/>
        <v>89</v>
      </c>
      <c r="B91" t="s">
        <v>95</v>
      </c>
      <c r="C91">
        <f t="shared" si="22"/>
        <v>29</v>
      </c>
      <c r="D91" t="str">
        <f t="shared" si="23"/>
        <v xml:space="preserve">/////PR:Games____SP:Barney20171014   $1771  </v>
      </c>
      <c r="E91">
        <f t="shared" si="24"/>
        <v>32</v>
      </c>
      <c r="F91" t="str">
        <f t="shared" si="25"/>
        <v xml:space="preserve">/////PR:Games____SP:Barney20171014   $1771  </v>
      </c>
      <c r="G91" t="str">
        <f t="shared" si="26"/>
        <v xml:space="preserve">PR:Games____SP:Barney20171014   $1771  </v>
      </c>
      <c r="H91" t="str">
        <f t="shared" si="27"/>
        <v xml:space="preserve">PR:Games    SP:Barney20171014   $1771  </v>
      </c>
      <c r="I91" t="str">
        <f t="shared" si="28"/>
        <v>PR:Games SP:Barney20171014 $1771</v>
      </c>
      <c r="J91">
        <f t="shared" si="29"/>
        <v>32</v>
      </c>
      <c r="K91">
        <f t="shared" si="30"/>
        <v>49</v>
      </c>
      <c r="L91" t="str">
        <f t="shared" si="31"/>
        <v>Games SP:Barney20171014 $1771</v>
      </c>
      <c r="M91" t="str">
        <f t="shared" si="32"/>
        <v>Games Barney20171014 $1771</v>
      </c>
      <c r="N91" s="1" t="str">
        <f t="shared" si="33"/>
        <v>Games Barney 20171014 $1771</v>
      </c>
      <c r="O91" s="9">
        <f t="shared" si="41"/>
        <v>6</v>
      </c>
      <c r="P91" s="9">
        <f t="shared" si="34"/>
        <v>13</v>
      </c>
      <c r="Q91" s="10">
        <f t="shared" si="35"/>
        <v>22</v>
      </c>
      <c r="R91" s="7" t="str">
        <f t="shared" si="36"/>
        <v>Games</v>
      </c>
      <c r="S91" s="7" t="str">
        <f t="shared" si="37"/>
        <v>Barney</v>
      </c>
      <c r="T91" s="7" t="str">
        <f t="shared" si="38"/>
        <v>20171014</v>
      </c>
      <c r="U91" s="7">
        <f t="shared" si="39"/>
        <v>1771</v>
      </c>
      <c r="V91" s="8">
        <f t="shared" si="40"/>
        <v>43022</v>
      </c>
    </row>
    <row r="92" spans="1:22">
      <c r="A92" s="3">
        <f t="shared" si="21"/>
        <v>90</v>
      </c>
      <c r="B92" t="s">
        <v>96</v>
      </c>
      <c r="C92">
        <f t="shared" si="22"/>
        <v>31</v>
      </c>
      <c r="D92" t="str">
        <f t="shared" si="23"/>
        <v xml:space="preserve">/////PR:Games__SP:Barney2017109     $0 </v>
      </c>
      <c r="E92">
        <f t="shared" si="24"/>
        <v>32</v>
      </c>
      <c r="F92" t="str">
        <f t="shared" si="25"/>
        <v xml:space="preserve">/////PR:Games__SP:Barney2017109     $0 </v>
      </c>
      <c r="G92" t="str">
        <f t="shared" si="26"/>
        <v xml:space="preserve">PR:Games__SP:Barney2017109     $0 </v>
      </c>
      <c r="H92" t="str">
        <f t="shared" si="27"/>
        <v xml:space="preserve">PR:Games  SP:Barney2017109     $0 </v>
      </c>
      <c r="I92" t="str">
        <f t="shared" si="28"/>
        <v>PR:Games SP:Barney2017109 $0</v>
      </c>
      <c r="J92">
        <f t="shared" si="29"/>
        <v>28</v>
      </c>
      <c r="K92">
        <f t="shared" si="30"/>
        <v>48</v>
      </c>
      <c r="L92" t="str">
        <f t="shared" si="31"/>
        <v>Games SP:Barney2017109 $0</v>
      </c>
      <c r="M92" t="str">
        <f t="shared" si="32"/>
        <v>Games Barney2017109 $0</v>
      </c>
      <c r="N92" s="1" t="str">
        <f t="shared" si="33"/>
        <v>Games Barney 2017109 $0</v>
      </c>
      <c r="O92" s="9">
        <f t="shared" si="41"/>
        <v>6</v>
      </c>
      <c r="P92" s="9">
        <f t="shared" si="34"/>
        <v>13</v>
      </c>
      <c r="Q92" s="10">
        <f t="shared" si="35"/>
        <v>21</v>
      </c>
      <c r="R92" s="7" t="str">
        <f t="shared" si="36"/>
        <v>Games</v>
      </c>
      <c r="S92" s="7" t="str">
        <f t="shared" si="37"/>
        <v>Barney</v>
      </c>
      <c r="T92" s="7" t="str">
        <f t="shared" si="38"/>
        <v>2017109</v>
      </c>
      <c r="U92" s="7">
        <f t="shared" si="39"/>
        <v>0</v>
      </c>
      <c r="V92" s="8">
        <f t="shared" si="40"/>
        <v>43017</v>
      </c>
    </row>
    <row r="93" spans="1:22">
      <c r="A93" s="3">
        <f t="shared" si="21"/>
        <v>91</v>
      </c>
      <c r="B93" t="s">
        <v>97</v>
      </c>
      <c r="C93">
        <f t="shared" si="22"/>
        <v>29</v>
      </c>
      <c r="D93" t="str">
        <f t="shared" si="23"/>
        <v xml:space="preserve">/////PR:Clothing____SP:Alice2017101     $0    </v>
      </c>
      <c r="E93">
        <f t="shared" si="24"/>
        <v>32</v>
      </c>
      <c r="F93" t="str">
        <f t="shared" si="25"/>
        <v xml:space="preserve">/////PR:Clothing____SP:Alice2017101     $0    </v>
      </c>
      <c r="G93" t="str">
        <f t="shared" si="26"/>
        <v xml:space="preserve">PR:Clothing____SP:Alice2017101     $0    </v>
      </c>
      <c r="H93" t="str">
        <f t="shared" si="27"/>
        <v xml:space="preserve">PR:Clothing    SP:Alice2017101     $0    </v>
      </c>
      <c r="I93" t="str">
        <f t="shared" si="28"/>
        <v>PR:Clothing SP:Alice2017101 $0</v>
      </c>
      <c r="J93">
        <f t="shared" si="29"/>
        <v>30</v>
      </c>
      <c r="K93">
        <f t="shared" si="30"/>
        <v>48</v>
      </c>
      <c r="L93" t="str">
        <f t="shared" si="31"/>
        <v>Clothing SP:Alice2017101 $0</v>
      </c>
      <c r="M93" t="str">
        <f t="shared" si="32"/>
        <v>Clothing Alice2017101 $0</v>
      </c>
      <c r="N93" s="1" t="str">
        <f t="shared" si="33"/>
        <v>Clothing Alice 2017101 $0</v>
      </c>
      <c r="O93" s="9">
        <f t="shared" si="41"/>
        <v>9</v>
      </c>
      <c r="P93" s="9">
        <f t="shared" si="34"/>
        <v>15</v>
      </c>
      <c r="Q93" s="10">
        <f t="shared" si="35"/>
        <v>23</v>
      </c>
      <c r="R93" s="7" t="str">
        <f t="shared" si="36"/>
        <v>Clothing</v>
      </c>
      <c r="S93" s="7" t="str">
        <f t="shared" si="37"/>
        <v>Alice</v>
      </c>
      <c r="T93" s="7" t="str">
        <f t="shared" si="38"/>
        <v>2017101</v>
      </c>
      <c r="U93" s="7">
        <f t="shared" si="39"/>
        <v>0</v>
      </c>
      <c r="V93" s="8">
        <f t="shared" si="40"/>
        <v>43009</v>
      </c>
    </row>
    <row r="94" spans="1:22">
      <c r="A94" s="3">
        <f t="shared" si="21"/>
        <v>92</v>
      </c>
      <c r="B94" t="s">
        <v>98</v>
      </c>
      <c r="C94">
        <f t="shared" si="22"/>
        <v>30</v>
      </c>
      <c r="D94" t="str">
        <f t="shared" si="23"/>
        <v xml:space="preserve">/PR:Books__SP:Barney20171015  $0  </v>
      </c>
      <c r="E94">
        <f t="shared" si="24"/>
        <v>32</v>
      </c>
      <c r="F94" t="str">
        <f t="shared" si="25"/>
        <v xml:space="preserve">/PR:Books__SP:Barney20171015  $0  </v>
      </c>
      <c r="G94" t="str">
        <f t="shared" si="26"/>
        <v xml:space="preserve">PR:Books__SP:Barney20171015  $0  </v>
      </c>
      <c r="H94" t="str">
        <f t="shared" si="27"/>
        <v xml:space="preserve">PR:Books  SP:Barney20171015  $0  </v>
      </c>
      <c r="I94" t="str">
        <f t="shared" si="28"/>
        <v>PR:Books SP:Barney20171015 $0</v>
      </c>
      <c r="J94">
        <f t="shared" si="29"/>
        <v>29</v>
      </c>
      <c r="K94">
        <f t="shared" si="30"/>
        <v>48</v>
      </c>
      <c r="L94" t="str">
        <f t="shared" si="31"/>
        <v>Books SP:Barney20171015 $0</v>
      </c>
      <c r="M94" t="str">
        <f t="shared" si="32"/>
        <v>Books Barney20171015 $0</v>
      </c>
      <c r="N94" s="1" t="str">
        <f t="shared" si="33"/>
        <v>Books Barney 20171015 $0</v>
      </c>
      <c r="O94" s="9">
        <f t="shared" si="41"/>
        <v>6</v>
      </c>
      <c r="P94" s="9">
        <f t="shared" si="34"/>
        <v>13</v>
      </c>
      <c r="Q94" s="10">
        <f t="shared" si="35"/>
        <v>22</v>
      </c>
      <c r="R94" s="7" t="str">
        <f t="shared" si="36"/>
        <v>Books</v>
      </c>
      <c r="S94" s="7" t="str">
        <f t="shared" si="37"/>
        <v>Barney</v>
      </c>
      <c r="T94" s="7" t="str">
        <f t="shared" si="38"/>
        <v>20171015</v>
      </c>
      <c r="U94" s="7">
        <f t="shared" si="39"/>
        <v>0</v>
      </c>
      <c r="V94" s="8">
        <f t="shared" si="40"/>
        <v>43023</v>
      </c>
    </row>
    <row r="95" spans="1:22">
      <c r="A95" s="3">
        <f t="shared" si="21"/>
        <v>93</v>
      </c>
      <c r="B95" t="s">
        <v>99</v>
      </c>
      <c r="C95">
        <f t="shared" si="22"/>
        <v>31</v>
      </c>
      <c r="D95" t="str">
        <f t="shared" si="23"/>
        <v xml:space="preserve">/////PR:Clothing___SP:Carol20171012  $1973  </v>
      </c>
      <c r="E95">
        <f t="shared" si="24"/>
        <v>32</v>
      </c>
      <c r="F95" t="str">
        <f t="shared" si="25"/>
        <v xml:space="preserve">/////PR:Clothing___SP:Carol20171012  $1973  </v>
      </c>
      <c r="G95" t="str">
        <f t="shared" si="26"/>
        <v xml:space="preserve">PR:Clothing___SP:Carol20171012  $1973  </v>
      </c>
      <c r="H95" t="str">
        <f t="shared" si="27"/>
        <v xml:space="preserve">PR:Clothing   SP:Carol20171012  $1973  </v>
      </c>
      <c r="I95" t="str">
        <f t="shared" si="28"/>
        <v>PR:Clothing SP:Carol20171012 $1973</v>
      </c>
      <c r="J95">
        <f t="shared" si="29"/>
        <v>34</v>
      </c>
      <c r="K95">
        <f t="shared" si="30"/>
        <v>51</v>
      </c>
      <c r="L95" t="str">
        <f t="shared" si="31"/>
        <v>Clothing SP:Carol20171012 $1973</v>
      </c>
      <c r="M95" t="str">
        <f t="shared" si="32"/>
        <v>Clothing Carol20171012 $1973</v>
      </c>
      <c r="N95" s="1" t="str">
        <f t="shared" si="33"/>
        <v>Clothing Carol 20171012 $1973</v>
      </c>
      <c r="O95" s="9">
        <f t="shared" si="41"/>
        <v>9</v>
      </c>
      <c r="P95" s="9">
        <f t="shared" si="34"/>
        <v>15</v>
      </c>
      <c r="Q95" s="10">
        <f t="shared" si="35"/>
        <v>24</v>
      </c>
      <c r="R95" s="7" t="str">
        <f t="shared" si="36"/>
        <v>Clothing</v>
      </c>
      <c r="S95" s="7" t="str">
        <f t="shared" si="37"/>
        <v>Carol</v>
      </c>
      <c r="T95" s="7" t="str">
        <f t="shared" si="38"/>
        <v>20171012</v>
      </c>
      <c r="U95" s="7">
        <f t="shared" si="39"/>
        <v>1973</v>
      </c>
      <c r="V95" s="8">
        <f t="shared" si="40"/>
        <v>43020</v>
      </c>
    </row>
    <row r="96" spans="1:22">
      <c r="A96" s="3">
        <f t="shared" si="21"/>
        <v>94</v>
      </c>
      <c r="B96" t="s">
        <v>100</v>
      </c>
      <c r="C96">
        <f t="shared" si="22"/>
        <v>30</v>
      </c>
      <c r="D96" t="str">
        <f t="shared" si="23"/>
        <v xml:space="preserve">///PR:Music__SP:David20171028     $941 </v>
      </c>
      <c r="E96">
        <f t="shared" si="24"/>
        <v>32</v>
      </c>
      <c r="F96" t="str">
        <f t="shared" si="25"/>
        <v xml:space="preserve">///PR:Music__SP:David20171028     $941 </v>
      </c>
      <c r="G96" t="str">
        <f t="shared" si="26"/>
        <v xml:space="preserve">PR:Music__SP:David20171028     $941 </v>
      </c>
      <c r="H96" t="str">
        <f t="shared" si="27"/>
        <v xml:space="preserve">PR:Music  SP:David20171028     $941 </v>
      </c>
      <c r="I96" t="str">
        <f t="shared" si="28"/>
        <v>PR:Music SP:David20171028 $941</v>
      </c>
      <c r="J96">
        <f t="shared" si="29"/>
        <v>30</v>
      </c>
      <c r="K96">
        <f t="shared" si="30"/>
        <v>49</v>
      </c>
      <c r="L96" t="str">
        <f t="shared" si="31"/>
        <v>Music SP:David20171028 $941</v>
      </c>
      <c r="M96" t="str">
        <f t="shared" si="32"/>
        <v>Music David20171028 $941</v>
      </c>
      <c r="N96" s="1" t="str">
        <f t="shared" si="33"/>
        <v>Music David 20171028 $941</v>
      </c>
      <c r="O96" s="9">
        <f t="shared" si="41"/>
        <v>6</v>
      </c>
      <c r="P96" s="9">
        <f t="shared" si="34"/>
        <v>12</v>
      </c>
      <c r="Q96" s="10">
        <f t="shared" si="35"/>
        <v>21</v>
      </c>
      <c r="R96" s="7" t="str">
        <f t="shared" si="36"/>
        <v>Music</v>
      </c>
      <c r="S96" s="7" t="str">
        <f t="shared" si="37"/>
        <v>David</v>
      </c>
      <c r="T96" s="7" t="str">
        <f t="shared" si="38"/>
        <v>20171028</v>
      </c>
      <c r="U96" s="7">
        <f t="shared" si="39"/>
        <v>941</v>
      </c>
      <c r="V96" s="8">
        <f t="shared" si="40"/>
        <v>43036</v>
      </c>
    </row>
    <row r="97" spans="1:22">
      <c r="A97" s="3">
        <f t="shared" si="21"/>
        <v>95</v>
      </c>
      <c r="B97" t="s">
        <v>101</v>
      </c>
      <c r="C97">
        <f t="shared" si="22"/>
        <v>31</v>
      </c>
      <c r="D97" t="str">
        <f t="shared" si="23"/>
        <v xml:space="preserve">/////PR:Books_____SP:Carol20171028   $671   </v>
      </c>
      <c r="E97">
        <f t="shared" si="24"/>
        <v>32</v>
      </c>
      <c r="F97" t="str">
        <f t="shared" si="25"/>
        <v xml:space="preserve">/////PR:Books_____SP:Carol20171028   $671   </v>
      </c>
      <c r="G97" t="str">
        <f t="shared" si="26"/>
        <v xml:space="preserve">PR:Books_____SP:Carol20171028   $671   </v>
      </c>
      <c r="H97" t="str">
        <f t="shared" si="27"/>
        <v xml:space="preserve">PR:Books     SP:Carol20171028   $671   </v>
      </c>
      <c r="I97" t="str">
        <f t="shared" si="28"/>
        <v>PR:Books SP:Carol20171028 $671</v>
      </c>
      <c r="J97">
        <f t="shared" si="29"/>
        <v>30</v>
      </c>
      <c r="K97">
        <f t="shared" si="30"/>
        <v>49</v>
      </c>
      <c r="L97" t="str">
        <f t="shared" si="31"/>
        <v>Books SP:Carol20171028 $671</v>
      </c>
      <c r="M97" t="str">
        <f t="shared" si="32"/>
        <v>Books Carol20171028 $671</v>
      </c>
      <c r="N97" s="1" t="str">
        <f t="shared" si="33"/>
        <v>Books Carol 20171028 $671</v>
      </c>
      <c r="O97" s="9">
        <f t="shared" si="41"/>
        <v>6</v>
      </c>
      <c r="P97" s="9">
        <f t="shared" si="34"/>
        <v>12</v>
      </c>
      <c r="Q97" s="10">
        <f t="shared" si="35"/>
        <v>21</v>
      </c>
      <c r="R97" s="7" t="str">
        <f t="shared" si="36"/>
        <v>Books</v>
      </c>
      <c r="S97" s="7" t="str">
        <f t="shared" si="37"/>
        <v>Carol</v>
      </c>
      <c r="T97" s="7" t="str">
        <f t="shared" si="38"/>
        <v>20171028</v>
      </c>
      <c r="U97" s="7">
        <f t="shared" si="39"/>
        <v>671</v>
      </c>
      <c r="V97" s="8">
        <f t="shared" si="40"/>
        <v>43036</v>
      </c>
    </row>
    <row r="98" spans="1:22">
      <c r="A98" s="3">
        <f t="shared" si="21"/>
        <v>96</v>
      </c>
      <c r="B98" t="s">
        <v>102</v>
      </c>
      <c r="C98">
        <f t="shared" si="22"/>
        <v>29</v>
      </c>
      <c r="D98" t="str">
        <f t="shared" si="23"/>
        <v xml:space="preserve">///PR:Clothing____SP:Barney20171015    $1743 </v>
      </c>
      <c r="E98">
        <f t="shared" si="24"/>
        <v>32</v>
      </c>
      <c r="F98" t="str">
        <f t="shared" si="25"/>
        <v xml:space="preserve">///PR:Clothing____SP:Barney20171015    $1743 </v>
      </c>
      <c r="G98" t="str">
        <f t="shared" si="26"/>
        <v xml:space="preserve">PR:Clothing____SP:Barney20171015    $1743 </v>
      </c>
      <c r="H98" t="str">
        <f t="shared" si="27"/>
        <v xml:space="preserve">PR:Clothing    SP:Barney20171015    $1743 </v>
      </c>
      <c r="I98" t="str">
        <f t="shared" si="28"/>
        <v>PR:Clothing SP:Barney20171015 $1743</v>
      </c>
      <c r="J98">
        <f t="shared" si="29"/>
        <v>35</v>
      </c>
      <c r="K98">
        <f t="shared" si="30"/>
        <v>51</v>
      </c>
      <c r="L98" t="str">
        <f t="shared" si="31"/>
        <v>Clothing SP:Barney20171015 $1743</v>
      </c>
      <c r="M98" t="str">
        <f t="shared" si="32"/>
        <v>Clothing Barney20171015 $1743</v>
      </c>
      <c r="N98" s="1" t="str">
        <f t="shared" si="33"/>
        <v>Clothing Barney 20171015 $1743</v>
      </c>
      <c r="O98" s="9">
        <f t="shared" si="41"/>
        <v>9</v>
      </c>
      <c r="P98" s="9">
        <f t="shared" si="34"/>
        <v>16</v>
      </c>
      <c r="Q98" s="10">
        <f t="shared" si="35"/>
        <v>25</v>
      </c>
      <c r="R98" s="7" t="str">
        <f t="shared" si="36"/>
        <v>Clothing</v>
      </c>
      <c r="S98" s="7" t="str">
        <f t="shared" si="37"/>
        <v>Barney</v>
      </c>
      <c r="T98" s="7" t="str">
        <f t="shared" si="38"/>
        <v>20171015</v>
      </c>
      <c r="U98" s="7">
        <f t="shared" si="39"/>
        <v>1743</v>
      </c>
      <c r="V98" s="8">
        <f t="shared" si="40"/>
        <v>43023</v>
      </c>
    </row>
    <row r="99" spans="1:22">
      <c r="A99" s="3">
        <f t="shared" si="21"/>
        <v>97</v>
      </c>
      <c r="B99" t="s">
        <v>103</v>
      </c>
      <c r="C99">
        <f t="shared" si="22"/>
        <v>30</v>
      </c>
      <c r="D99" t="str">
        <f t="shared" si="23"/>
        <v xml:space="preserve">/////PR:Games_SP:David20171017 $963    </v>
      </c>
      <c r="E99">
        <f t="shared" si="24"/>
        <v>32</v>
      </c>
      <c r="F99" t="str">
        <f t="shared" si="25"/>
        <v xml:space="preserve">/////PR:Games_SP:David20171017 $963    </v>
      </c>
      <c r="G99" t="str">
        <f t="shared" si="26"/>
        <v xml:space="preserve">PR:Games_SP:David20171017 $963    </v>
      </c>
      <c r="H99" t="str">
        <f t="shared" si="27"/>
        <v xml:space="preserve">PR:Games SP:David20171017 $963    </v>
      </c>
      <c r="I99" t="str">
        <f t="shared" si="28"/>
        <v>PR:Games SP:David20171017 $963</v>
      </c>
      <c r="J99">
        <f t="shared" si="29"/>
        <v>30</v>
      </c>
      <c r="K99">
        <f t="shared" si="30"/>
        <v>51</v>
      </c>
      <c r="L99" t="str">
        <f t="shared" si="31"/>
        <v>Games SP:David20171017 $963</v>
      </c>
      <c r="M99" t="str">
        <f t="shared" si="32"/>
        <v>Games David20171017 $963</v>
      </c>
      <c r="N99" s="1" t="str">
        <f t="shared" si="33"/>
        <v>Games David 20171017 $963</v>
      </c>
      <c r="O99" s="9">
        <f t="shared" si="41"/>
        <v>6</v>
      </c>
      <c r="P99" s="9">
        <f t="shared" si="34"/>
        <v>12</v>
      </c>
      <c r="Q99" s="10">
        <f t="shared" si="35"/>
        <v>21</v>
      </c>
      <c r="R99" s="7" t="str">
        <f t="shared" si="36"/>
        <v>Games</v>
      </c>
      <c r="S99" s="7" t="str">
        <f t="shared" si="37"/>
        <v>David</v>
      </c>
      <c r="T99" s="7" t="str">
        <f t="shared" si="38"/>
        <v>20171017</v>
      </c>
      <c r="U99" s="7">
        <f t="shared" si="39"/>
        <v>963</v>
      </c>
      <c r="V99" s="8">
        <f t="shared" si="40"/>
        <v>43025</v>
      </c>
    </row>
    <row r="100" spans="1:22">
      <c r="A100" s="3">
        <f t="shared" si="21"/>
        <v>98</v>
      </c>
      <c r="B100" t="s">
        <v>104</v>
      </c>
      <c r="C100">
        <f t="shared" si="22"/>
        <v>31</v>
      </c>
      <c r="D100" t="str">
        <f t="shared" si="23"/>
        <v xml:space="preserve">//PR:Games__SP:Alice20171022     $0     </v>
      </c>
      <c r="E100">
        <f t="shared" si="24"/>
        <v>32</v>
      </c>
      <c r="F100" t="str">
        <f t="shared" si="25"/>
        <v xml:space="preserve">//PR:Games__SP:Alice20171022     $0     </v>
      </c>
      <c r="G100" t="str">
        <f t="shared" si="26"/>
        <v xml:space="preserve">PR:Games__SP:Alice20171022     $0     </v>
      </c>
      <c r="H100" t="str">
        <f t="shared" si="27"/>
        <v xml:space="preserve">PR:Games  SP:Alice20171022     $0     </v>
      </c>
      <c r="I100" t="str">
        <f t="shared" si="28"/>
        <v>PR:Games SP:Alice20171022 $0</v>
      </c>
      <c r="J100">
        <f t="shared" si="29"/>
        <v>28</v>
      </c>
      <c r="K100">
        <f t="shared" si="30"/>
        <v>48</v>
      </c>
      <c r="L100" t="str">
        <f t="shared" si="31"/>
        <v>Games SP:Alice20171022 $0</v>
      </c>
      <c r="M100" t="str">
        <f t="shared" si="32"/>
        <v>Games Alice20171022 $0</v>
      </c>
      <c r="N100" s="1" t="str">
        <f t="shared" si="33"/>
        <v>Games Alice 20171022 $0</v>
      </c>
      <c r="O100" s="9">
        <f t="shared" si="41"/>
        <v>6</v>
      </c>
      <c r="P100" s="9">
        <f t="shared" si="34"/>
        <v>12</v>
      </c>
      <c r="Q100" s="10">
        <f t="shared" si="35"/>
        <v>21</v>
      </c>
      <c r="R100" s="7" t="str">
        <f t="shared" si="36"/>
        <v>Games</v>
      </c>
      <c r="S100" s="7" t="str">
        <f t="shared" si="37"/>
        <v>Alice</v>
      </c>
      <c r="T100" s="7" t="str">
        <f t="shared" si="38"/>
        <v>20171022</v>
      </c>
      <c r="U100" s="7">
        <f t="shared" si="39"/>
        <v>0</v>
      </c>
      <c r="V100" s="8">
        <f t="shared" si="40"/>
        <v>43030</v>
      </c>
    </row>
    <row r="101" spans="1:22">
      <c r="A101" s="3">
        <f t="shared" si="21"/>
        <v>99</v>
      </c>
      <c r="B101" t="s">
        <v>105</v>
      </c>
      <c r="C101">
        <f t="shared" si="22"/>
        <v>28</v>
      </c>
      <c r="D101" t="str">
        <f t="shared" si="23"/>
        <v xml:space="preserve">/PR:Books___SP:Barney20171023 $881    </v>
      </c>
      <c r="E101">
        <f t="shared" si="24"/>
        <v>32</v>
      </c>
      <c r="F101" t="str">
        <f t="shared" si="25"/>
        <v xml:space="preserve">/PR:Books___SP:Barney20171023 $881    </v>
      </c>
      <c r="G101" t="str">
        <f t="shared" si="26"/>
        <v xml:space="preserve">PR:Books___SP:Barney20171023 $881    </v>
      </c>
      <c r="H101" t="str">
        <f t="shared" si="27"/>
        <v xml:space="preserve">PR:Books   SP:Barney20171023 $881    </v>
      </c>
      <c r="I101" t="str">
        <f t="shared" si="28"/>
        <v>PR:Books SP:Barney20171023 $881</v>
      </c>
      <c r="J101">
        <f t="shared" si="29"/>
        <v>31</v>
      </c>
      <c r="K101">
        <f t="shared" si="30"/>
        <v>49</v>
      </c>
      <c r="L101" t="str">
        <f t="shared" si="31"/>
        <v>Books SP:Barney20171023 $881</v>
      </c>
      <c r="M101" t="str">
        <f t="shared" si="32"/>
        <v>Books Barney20171023 $881</v>
      </c>
      <c r="N101" s="1" t="str">
        <f t="shared" si="33"/>
        <v>Books Barney 20171023 $881</v>
      </c>
      <c r="O101" s="9">
        <f t="shared" si="41"/>
        <v>6</v>
      </c>
      <c r="P101" s="9">
        <f t="shared" si="34"/>
        <v>13</v>
      </c>
      <c r="Q101" s="10">
        <f t="shared" si="35"/>
        <v>22</v>
      </c>
      <c r="R101" s="7" t="str">
        <f t="shared" si="36"/>
        <v>Books</v>
      </c>
      <c r="S101" s="7" t="str">
        <f t="shared" si="37"/>
        <v>Barney</v>
      </c>
      <c r="T101" s="7" t="str">
        <f t="shared" si="38"/>
        <v>20171023</v>
      </c>
      <c r="U101" s="7">
        <f t="shared" si="39"/>
        <v>881</v>
      </c>
      <c r="V101" s="8">
        <f t="shared" si="40"/>
        <v>43031</v>
      </c>
    </row>
    <row r="102" spans="1:22">
      <c r="A102" s="3">
        <f t="shared" si="21"/>
        <v>100</v>
      </c>
      <c r="B102" t="s">
        <v>106</v>
      </c>
      <c r="C102">
        <f t="shared" si="22"/>
        <v>30</v>
      </c>
      <c r="D102" t="str">
        <f t="shared" si="23"/>
        <v xml:space="preserve">/////PR:Games__SP:Carol20171025 $2083     </v>
      </c>
      <c r="E102">
        <f t="shared" si="24"/>
        <v>32</v>
      </c>
      <c r="F102" t="str">
        <f t="shared" si="25"/>
        <v xml:space="preserve">/////PR:Games__SP:Carol20171025 $2083     </v>
      </c>
      <c r="G102" t="str">
        <f t="shared" si="26"/>
        <v xml:space="preserve">PR:Games__SP:Carol20171025 $2083     </v>
      </c>
      <c r="H102" t="str">
        <f t="shared" si="27"/>
        <v xml:space="preserve">PR:Games  SP:Carol20171025 $2083     </v>
      </c>
      <c r="I102" t="str">
        <f t="shared" si="28"/>
        <v>PR:Games SP:Carol20171025 $2083</v>
      </c>
      <c r="J102">
        <f t="shared" si="29"/>
        <v>31</v>
      </c>
      <c r="K102">
        <f t="shared" si="30"/>
        <v>51</v>
      </c>
      <c r="L102" t="str">
        <f t="shared" si="31"/>
        <v>Games SP:Carol20171025 $2083</v>
      </c>
      <c r="M102" t="str">
        <f t="shared" si="32"/>
        <v>Games Carol20171025 $2083</v>
      </c>
      <c r="N102" s="1" t="str">
        <f t="shared" si="33"/>
        <v>Games Carol 20171025 $2083</v>
      </c>
      <c r="O102" s="9">
        <f t="shared" si="41"/>
        <v>6</v>
      </c>
      <c r="P102" s="9">
        <f t="shared" si="34"/>
        <v>12</v>
      </c>
      <c r="Q102" s="10">
        <f t="shared" si="35"/>
        <v>21</v>
      </c>
      <c r="R102" s="7" t="str">
        <f t="shared" si="36"/>
        <v>Games</v>
      </c>
      <c r="S102" s="7" t="str">
        <f t="shared" si="37"/>
        <v>Carol</v>
      </c>
      <c r="T102" s="7" t="str">
        <f t="shared" si="38"/>
        <v>20171025</v>
      </c>
      <c r="U102" s="7">
        <f t="shared" si="39"/>
        <v>2083</v>
      </c>
      <c r="V102" s="8">
        <f t="shared" si="40"/>
        <v>43033</v>
      </c>
    </row>
    <row r="103" spans="1:22">
      <c r="A103" s="3">
        <f t="shared" si="21"/>
        <v>101</v>
      </c>
      <c r="B103" t="s">
        <v>107</v>
      </c>
      <c r="C103">
        <f t="shared" si="22"/>
        <v>30</v>
      </c>
      <c r="D103" t="str">
        <f t="shared" si="23"/>
        <v xml:space="preserve">///PR:Clothing___SP:Carol2017108     $772   </v>
      </c>
      <c r="E103">
        <f t="shared" si="24"/>
        <v>32</v>
      </c>
      <c r="F103" t="str">
        <f t="shared" si="25"/>
        <v xml:space="preserve">///PR:Clothing___SP:Carol2017108     $772   </v>
      </c>
      <c r="G103" t="str">
        <f t="shared" si="26"/>
        <v xml:space="preserve">PR:Clothing___SP:Carol2017108     $772   </v>
      </c>
      <c r="H103" t="str">
        <f t="shared" si="27"/>
        <v xml:space="preserve">PR:Clothing   SP:Carol2017108     $772   </v>
      </c>
      <c r="I103" t="str">
        <f t="shared" si="28"/>
        <v>PR:Clothing SP:Carol2017108 $772</v>
      </c>
      <c r="J103">
        <f t="shared" si="29"/>
        <v>32</v>
      </c>
      <c r="K103">
        <f t="shared" si="30"/>
        <v>50</v>
      </c>
      <c r="L103" t="str">
        <f t="shared" si="31"/>
        <v>Clothing SP:Carol2017108 $772</v>
      </c>
      <c r="M103" t="str">
        <f t="shared" si="32"/>
        <v>Clothing Carol2017108 $772</v>
      </c>
      <c r="N103" s="1" t="str">
        <f t="shared" si="33"/>
        <v>Clothing Carol 2017108 $772</v>
      </c>
      <c r="O103" s="9">
        <f t="shared" si="41"/>
        <v>9</v>
      </c>
      <c r="P103" s="9">
        <f t="shared" si="34"/>
        <v>15</v>
      </c>
      <c r="Q103" s="10">
        <f t="shared" si="35"/>
        <v>23</v>
      </c>
      <c r="R103" s="7" t="str">
        <f t="shared" si="36"/>
        <v>Clothing</v>
      </c>
      <c r="S103" s="7" t="str">
        <f t="shared" si="37"/>
        <v>Carol</v>
      </c>
      <c r="T103" s="7" t="str">
        <f t="shared" si="38"/>
        <v>2017108</v>
      </c>
      <c r="U103" s="7">
        <f t="shared" si="39"/>
        <v>772</v>
      </c>
      <c r="V103" s="8">
        <f t="shared" si="40"/>
        <v>43016</v>
      </c>
    </row>
    <row r="104" spans="1:22">
      <c r="A104" s="3">
        <f t="shared" si="21"/>
        <v>102</v>
      </c>
      <c r="B104" t="s">
        <v>108</v>
      </c>
      <c r="C104">
        <f t="shared" si="22"/>
        <v>31</v>
      </c>
      <c r="D104" t="str">
        <f t="shared" si="23"/>
        <v xml:space="preserve">/PR:Books___SP:Barney20171010   $725 </v>
      </c>
      <c r="E104">
        <f t="shared" si="24"/>
        <v>32</v>
      </c>
      <c r="F104" t="str">
        <f t="shared" si="25"/>
        <v xml:space="preserve">/PR:Books___SP:Barney20171010   $725 </v>
      </c>
      <c r="G104" t="str">
        <f t="shared" si="26"/>
        <v xml:space="preserve">PR:Books___SP:Barney20171010   $725 </v>
      </c>
      <c r="H104" t="str">
        <f t="shared" si="27"/>
        <v xml:space="preserve">PR:Books   SP:Barney20171010   $725 </v>
      </c>
      <c r="I104" t="str">
        <f t="shared" si="28"/>
        <v>PR:Books SP:Barney20171010 $725</v>
      </c>
      <c r="J104">
        <f t="shared" si="29"/>
        <v>31</v>
      </c>
      <c r="K104">
        <f t="shared" si="30"/>
        <v>53</v>
      </c>
      <c r="L104" t="str">
        <f t="shared" si="31"/>
        <v>Books SP:Barney20171010 $725</v>
      </c>
      <c r="M104" t="str">
        <f t="shared" si="32"/>
        <v>Books Barney20171010 $725</v>
      </c>
      <c r="N104" s="1" t="str">
        <f t="shared" si="33"/>
        <v>Books Barney 20171010 $725</v>
      </c>
      <c r="O104" s="9">
        <f t="shared" si="41"/>
        <v>6</v>
      </c>
      <c r="P104" s="9">
        <f t="shared" si="34"/>
        <v>13</v>
      </c>
      <c r="Q104" s="10">
        <f t="shared" si="35"/>
        <v>22</v>
      </c>
      <c r="R104" s="7" t="str">
        <f t="shared" si="36"/>
        <v>Books</v>
      </c>
      <c r="S104" s="7" t="str">
        <f t="shared" si="37"/>
        <v>Barney</v>
      </c>
      <c r="T104" s="7" t="str">
        <f t="shared" si="38"/>
        <v>20171010</v>
      </c>
      <c r="U104" s="7">
        <f t="shared" si="39"/>
        <v>725</v>
      </c>
      <c r="V104" s="8">
        <f t="shared" si="40"/>
        <v>43018</v>
      </c>
    </row>
    <row r="105" spans="1:22">
      <c r="A105" s="3">
        <f t="shared" si="21"/>
        <v>103</v>
      </c>
      <c r="B105" t="s">
        <v>109</v>
      </c>
      <c r="C105">
        <f t="shared" si="22"/>
        <v>30</v>
      </c>
      <c r="D105" t="str">
        <f t="shared" si="23"/>
        <v xml:space="preserve">/PR:Music_SP:Barney20171029   $0 </v>
      </c>
      <c r="E105">
        <f t="shared" si="24"/>
        <v>32</v>
      </c>
      <c r="F105" t="str">
        <f t="shared" si="25"/>
        <v xml:space="preserve">/PR:Music_SP:Barney20171029   $0 </v>
      </c>
      <c r="G105" t="str">
        <f t="shared" si="26"/>
        <v xml:space="preserve">PR:Music_SP:Barney20171029   $0 </v>
      </c>
      <c r="H105" t="str">
        <f t="shared" si="27"/>
        <v xml:space="preserve">PR:Music SP:Barney20171029   $0 </v>
      </c>
      <c r="I105" t="str">
        <f t="shared" si="28"/>
        <v>PR:Music SP:Barney20171029 $0</v>
      </c>
      <c r="J105">
        <f t="shared" si="29"/>
        <v>29</v>
      </c>
      <c r="K105">
        <f t="shared" si="30"/>
        <v>48</v>
      </c>
      <c r="L105" t="str">
        <f t="shared" si="31"/>
        <v>Music SP:Barney20171029 $0</v>
      </c>
      <c r="M105" t="str">
        <f t="shared" si="32"/>
        <v>Music Barney20171029 $0</v>
      </c>
      <c r="N105" s="1" t="str">
        <f t="shared" si="33"/>
        <v>Music Barney 20171029 $0</v>
      </c>
      <c r="O105" s="9">
        <f t="shared" si="41"/>
        <v>6</v>
      </c>
      <c r="P105" s="9">
        <f t="shared" si="34"/>
        <v>13</v>
      </c>
      <c r="Q105" s="10">
        <f t="shared" si="35"/>
        <v>22</v>
      </c>
      <c r="R105" s="7" t="str">
        <f t="shared" si="36"/>
        <v>Music</v>
      </c>
      <c r="S105" s="7" t="str">
        <f t="shared" si="37"/>
        <v>Barney</v>
      </c>
      <c r="T105" s="7" t="str">
        <f t="shared" si="38"/>
        <v>20171029</v>
      </c>
      <c r="U105" s="7">
        <f t="shared" si="39"/>
        <v>0</v>
      </c>
      <c r="V105" s="8">
        <f t="shared" si="40"/>
        <v>43037</v>
      </c>
    </row>
    <row r="106" spans="1:22">
      <c r="A106" s="3">
        <f t="shared" si="21"/>
        <v>104</v>
      </c>
      <c r="B106" t="s">
        <v>110</v>
      </c>
      <c r="C106">
        <f t="shared" si="22"/>
        <v>30</v>
      </c>
      <c r="D106" t="str">
        <f t="shared" si="23"/>
        <v xml:space="preserve">////PR:Games__SP:Barney2017107 $1117    </v>
      </c>
      <c r="E106">
        <f t="shared" si="24"/>
        <v>32</v>
      </c>
      <c r="F106" t="str">
        <f t="shared" si="25"/>
        <v xml:space="preserve">////PR:Games__SP:Barney2017107 $1117    </v>
      </c>
      <c r="G106" t="str">
        <f t="shared" si="26"/>
        <v xml:space="preserve">PR:Games__SP:Barney2017107 $1117    </v>
      </c>
      <c r="H106" t="str">
        <f t="shared" si="27"/>
        <v xml:space="preserve">PR:Games  SP:Barney2017107 $1117    </v>
      </c>
      <c r="I106" t="str">
        <f t="shared" si="28"/>
        <v>PR:Games SP:Barney2017107 $1117</v>
      </c>
      <c r="J106">
        <f t="shared" si="29"/>
        <v>31</v>
      </c>
      <c r="K106">
        <f t="shared" si="30"/>
        <v>55</v>
      </c>
      <c r="L106" t="str">
        <f t="shared" si="31"/>
        <v>Games SP:Barney2017107 $1117</v>
      </c>
      <c r="M106" t="str">
        <f t="shared" si="32"/>
        <v>Games Barney2017107 $1117</v>
      </c>
      <c r="N106" s="1" t="str">
        <f t="shared" si="33"/>
        <v>Games Barney 2017107 $1117</v>
      </c>
      <c r="O106" s="9">
        <f t="shared" si="41"/>
        <v>6</v>
      </c>
      <c r="P106" s="9">
        <f t="shared" si="34"/>
        <v>13</v>
      </c>
      <c r="Q106" s="10">
        <f t="shared" si="35"/>
        <v>21</v>
      </c>
      <c r="R106" s="7" t="str">
        <f t="shared" si="36"/>
        <v>Games</v>
      </c>
      <c r="S106" s="7" t="str">
        <f t="shared" si="37"/>
        <v>Barney</v>
      </c>
      <c r="T106" s="7" t="str">
        <f t="shared" si="38"/>
        <v>2017107</v>
      </c>
      <c r="U106" s="7">
        <f t="shared" si="39"/>
        <v>1117</v>
      </c>
      <c r="V106" s="8">
        <f t="shared" si="40"/>
        <v>43015</v>
      </c>
    </row>
    <row r="107" spans="1:22">
      <c r="A107" s="3">
        <f t="shared" si="21"/>
        <v>105</v>
      </c>
      <c r="B107" t="s">
        <v>111</v>
      </c>
      <c r="C107">
        <f t="shared" si="22"/>
        <v>31</v>
      </c>
      <c r="D107" t="str">
        <f t="shared" si="23"/>
        <v xml:space="preserve">////PR:Music___SP:Barney2017105   $1492  </v>
      </c>
      <c r="E107">
        <f t="shared" si="24"/>
        <v>32</v>
      </c>
      <c r="F107" t="str">
        <f t="shared" si="25"/>
        <v xml:space="preserve">////PR:Music___SP:Barney2017105   $1492  </v>
      </c>
      <c r="G107" t="str">
        <f t="shared" si="26"/>
        <v xml:space="preserve">PR:Music___SP:Barney2017105   $1492  </v>
      </c>
      <c r="H107" t="str">
        <f t="shared" si="27"/>
        <v xml:space="preserve">PR:Music   SP:Barney2017105   $1492  </v>
      </c>
      <c r="I107" t="str">
        <f t="shared" si="28"/>
        <v>PR:Music SP:Barney2017105 $1492</v>
      </c>
      <c r="J107">
        <f t="shared" si="29"/>
        <v>31</v>
      </c>
      <c r="K107">
        <f t="shared" si="30"/>
        <v>50</v>
      </c>
      <c r="L107" t="str">
        <f t="shared" si="31"/>
        <v>Music SP:Barney2017105 $1492</v>
      </c>
      <c r="M107" t="str">
        <f t="shared" si="32"/>
        <v>Music Barney2017105 $1492</v>
      </c>
      <c r="N107" s="1" t="str">
        <f t="shared" si="33"/>
        <v>Music Barney 2017105 $1492</v>
      </c>
      <c r="O107" s="9">
        <f t="shared" si="41"/>
        <v>6</v>
      </c>
      <c r="P107" s="9">
        <f t="shared" si="34"/>
        <v>13</v>
      </c>
      <c r="Q107" s="10">
        <f t="shared" si="35"/>
        <v>21</v>
      </c>
      <c r="R107" s="7" t="str">
        <f t="shared" si="36"/>
        <v>Music</v>
      </c>
      <c r="S107" s="7" t="str">
        <f t="shared" si="37"/>
        <v>Barney</v>
      </c>
      <c r="T107" s="7" t="str">
        <f t="shared" si="38"/>
        <v>2017105</v>
      </c>
      <c r="U107" s="7">
        <f t="shared" si="39"/>
        <v>1492</v>
      </c>
      <c r="V107" s="8">
        <f t="shared" si="40"/>
        <v>43013</v>
      </c>
    </row>
    <row r="108" spans="1:22">
      <c r="A108" s="3">
        <f t="shared" si="21"/>
        <v>106</v>
      </c>
      <c r="B108" t="s">
        <v>112</v>
      </c>
      <c r="C108">
        <f t="shared" si="22"/>
        <v>28</v>
      </c>
      <c r="D108" t="str">
        <f t="shared" si="23"/>
        <v xml:space="preserve">/PR:Books_SP:Carol20171012    $500 </v>
      </c>
      <c r="E108">
        <f t="shared" si="24"/>
        <v>32</v>
      </c>
      <c r="F108" t="str">
        <f t="shared" si="25"/>
        <v xml:space="preserve">/PR:Books_SP:Carol20171012    $500 </v>
      </c>
      <c r="G108" t="str">
        <f t="shared" si="26"/>
        <v xml:space="preserve">PR:Books_SP:Carol20171012    $500 </v>
      </c>
      <c r="H108" t="str">
        <f t="shared" si="27"/>
        <v xml:space="preserve">PR:Books SP:Carol20171012    $500 </v>
      </c>
      <c r="I108" t="str">
        <f t="shared" si="28"/>
        <v>PR:Books SP:Carol20171012 $500</v>
      </c>
      <c r="J108">
        <f t="shared" si="29"/>
        <v>30</v>
      </c>
      <c r="K108">
        <f t="shared" si="30"/>
        <v>48</v>
      </c>
      <c r="L108" t="str">
        <f t="shared" si="31"/>
        <v>Books SP:Carol20171012 $500</v>
      </c>
      <c r="M108" t="str">
        <f t="shared" si="32"/>
        <v>Books Carol20171012 $500</v>
      </c>
      <c r="N108" s="1" t="str">
        <f t="shared" si="33"/>
        <v>Books Carol 20171012 $500</v>
      </c>
      <c r="O108" s="9">
        <f t="shared" si="41"/>
        <v>6</v>
      </c>
      <c r="P108" s="9">
        <f t="shared" si="34"/>
        <v>12</v>
      </c>
      <c r="Q108" s="10">
        <f t="shared" si="35"/>
        <v>21</v>
      </c>
      <c r="R108" s="7" t="str">
        <f t="shared" si="36"/>
        <v>Books</v>
      </c>
      <c r="S108" s="7" t="str">
        <f t="shared" si="37"/>
        <v>Carol</v>
      </c>
      <c r="T108" s="7" t="str">
        <f t="shared" si="38"/>
        <v>20171012</v>
      </c>
      <c r="U108" s="7">
        <f t="shared" si="39"/>
        <v>500</v>
      </c>
      <c r="V108" s="8">
        <f t="shared" si="40"/>
        <v>43020</v>
      </c>
    </row>
    <row r="109" spans="1:22">
      <c r="A109" s="3">
        <f t="shared" si="21"/>
        <v>107</v>
      </c>
      <c r="B109" t="s">
        <v>113</v>
      </c>
      <c r="C109">
        <f t="shared" si="22"/>
        <v>30</v>
      </c>
      <c r="D109" t="str">
        <f t="shared" si="23"/>
        <v xml:space="preserve">/////PR:Books_____SP:David20171024     $528  </v>
      </c>
      <c r="E109">
        <f t="shared" si="24"/>
        <v>32</v>
      </c>
      <c r="F109" t="str">
        <f t="shared" si="25"/>
        <v xml:space="preserve">/////PR:Books_____SP:David20171024     $528  </v>
      </c>
      <c r="G109" t="str">
        <f t="shared" si="26"/>
        <v xml:space="preserve">PR:Books_____SP:David20171024     $528  </v>
      </c>
      <c r="H109" t="str">
        <f t="shared" si="27"/>
        <v xml:space="preserve">PR:Books     SP:David20171024     $528  </v>
      </c>
      <c r="I109" t="str">
        <f t="shared" si="28"/>
        <v>PR:Books SP:David20171024 $528</v>
      </c>
      <c r="J109">
        <f t="shared" si="29"/>
        <v>30</v>
      </c>
      <c r="K109">
        <f t="shared" si="30"/>
        <v>56</v>
      </c>
      <c r="L109" t="str">
        <f t="shared" si="31"/>
        <v>Books SP:David20171024 $528</v>
      </c>
      <c r="M109" t="str">
        <f t="shared" si="32"/>
        <v>Books David20171024 $528</v>
      </c>
      <c r="N109" s="1" t="str">
        <f t="shared" si="33"/>
        <v>Books David 20171024 $528</v>
      </c>
      <c r="O109" s="9">
        <f t="shared" si="41"/>
        <v>6</v>
      </c>
      <c r="P109" s="9">
        <f t="shared" si="34"/>
        <v>12</v>
      </c>
      <c r="Q109" s="10">
        <f t="shared" si="35"/>
        <v>21</v>
      </c>
      <c r="R109" s="7" t="str">
        <f t="shared" si="36"/>
        <v>Books</v>
      </c>
      <c r="S109" s="7" t="str">
        <f t="shared" si="37"/>
        <v>David</v>
      </c>
      <c r="T109" s="7" t="str">
        <f t="shared" si="38"/>
        <v>20171024</v>
      </c>
      <c r="U109" s="7">
        <f t="shared" si="39"/>
        <v>528</v>
      </c>
      <c r="V109" s="8">
        <f t="shared" si="40"/>
        <v>43032</v>
      </c>
    </row>
    <row r="110" spans="1:22">
      <c r="A110" s="3">
        <f t="shared" si="21"/>
        <v>108</v>
      </c>
      <c r="B110" t="s">
        <v>114</v>
      </c>
      <c r="C110">
        <f t="shared" si="22"/>
        <v>30</v>
      </c>
      <c r="D110" t="str">
        <f t="shared" si="23"/>
        <v xml:space="preserve">//PR:Books_SP:David20171020    $825 </v>
      </c>
      <c r="E110">
        <f t="shared" si="24"/>
        <v>32</v>
      </c>
      <c r="F110" t="str">
        <f t="shared" si="25"/>
        <v xml:space="preserve">//PR:Books_SP:David20171020    $825 </v>
      </c>
      <c r="G110" t="str">
        <f t="shared" si="26"/>
        <v xml:space="preserve">PR:Books_SP:David20171020    $825 </v>
      </c>
      <c r="H110" t="str">
        <f t="shared" si="27"/>
        <v xml:space="preserve">PR:Books SP:David20171020    $825 </v>
      </c>
      <c r="I110" t="str">
        <f t="shared" si="28"/>
        <v>PR:Books SP:David20171020 $825</v>
      </c>
      <c r="J110">
        <f t="shared" si="29"/>
        <v>30</v>
      </c>
      <c r="K110">
        <f t="shared" si="30"/>
        <v>53</v>
      </c>
      <c r="L110" t="str">
        <f t="shared" si="31"/>
        <v>Books SP:David20171020 $825</v>
      </c>
      <c r="M110" t="str">
        <f t="shared" si="32"/>
        <v>Books David20171020 $825</v>
      </c>
      <c r="N110" s="1" t="str">
        <f t="shared" si="33"/>
        <v>Books David 20171020 $825</v>
      </c>
      <c r="O110" s="9">
        <f t="shared" si="41"/>
        <v>6</v>
      </c>
      <c r="P110" s="9">
        <f t="shared" si="34"/>
        <v>12</v>
      </c>
      <c r="Q110" s="10">
        <f t="shared" si="35"/>
        <v>21</v>
      </c>
      <c r="R110" s="7" t="str">
        <f t="shared" si="36"/>
        <v>Books</v>
      </c>
      <c r="S110" s="7" t="str">
        <f t="shared" si="37"/>
        <v>David</v>
      </c>
      <c r="T110" s="7" t="str">
        <f t="shared" si="38"/>
        <v>20171020</v>
      </c>
      <c r="U110" s="7">
        <f t="shared" si="39"/>
        <v>825</v>
      </c>
      <c r="V110" s="8">
        <f t="shared" si="40"/>
        <v>43028</v>
      </c>
    </row>
    <row r="111" spans="1:22">
      <c r="A111" s="3">
        <f t="shared" si="21"/>
        <v>109</v>
      </c>
      <c r="B111" t="s">
        <v>115</v>
      </c>
      <c r="C111">
        <f t="shared" si="22"/>
        <v>29</v>
      </c>
      <c r="D111" t="str">
        <f t="shared" si="23"/>
        <v xml:space="preserve">////PR:Games__SP:Barney20171026    $1752  </v>
      </c>
      <c r="E111">
        <f t="shared" si="24"/>
        <v>32</v>
      </c>
      <c r="F111" t="str">
        <f t="shared" si="25"/>
        <v xml:space="preserve">////PR:Games__SP:Barney20171026    $1752  </v>
      </c>
      <c r="G111" t="str">
        <f t="shared" si="26"/>
        <v xml:space="preserve">PR:Games__SP:Barney20171026    $1752  </v>
      </c>
      <c r="H111" t="str">
        <f t="shared" si="27"/>
        <v xml:space="preserve">PR:Games  SP:Barney20171026    $1752  </v>
      </c>
      <c r="I111" t="str">
        <f t="shared" si="28"/>
        <v>PR:Games SP:Barney20171026 $1752</v>
      </c>
      <c r="J111">
        <f t="shared" si="29"/>
        <v>32</v>
      </c>
      <c r="K111">
        <f t="shared" si="30"/>
        <v>50</v>
      </c>
      <c r="L111" t="str">
        <f t="shared" si="31"/>
        <v>Games SP:Barney20171026 $1752</v>
      </c>
      <c r="M111" t="str">
        <f t="shared" si="32"/>
        <v>Games Barney20171026 $1752</v>
      </c>
      <c r="N111" s="1" t="str">
        <f t="shared" si="33"/>
        <v>Games Barney 20171026 $1752</v>
      </c>
      <c r="O111" s="9">
        <f t="shared" si="41"/>
        <v>6</v>
      </c>
      <c r="P111" s="9">
        <f t="shared" si="34"/>
        <v>13</v>
      </c>
      <c r="Q111" s="10">
        <f t="shared" si="35"/>
        <v>22</v>
      </c>
      <c r="R111" s="7" t="str">
        <f t="shared" si="36"/>
        <v>Games</v>
      </c>
      <c r="S111" s="7" t="str">
        <f t="shared" si="37"/>
        <v>Barney</v>
      </c>
      <c r="T111" s="7" t="str">
        <f t="shared" si="38"/>
        <v>20171026</v>
      </c>
      <c r="U111" s="7">
        <f t="shared" si="39"/>
        <v>1752</v>
      </c>
      <c r="V111" s="8">
        <f t="shared" si="40"/>
        <v>43034</v>
      </c>
    </row>
    <row r="112" spans="1:22">
      <c r="A112" s="3">
        <f t="shared" si="21"/>
        <v>110</v>
      </c>
      <c r="B112" t="s">
        <v>116</v>
      </c>
      <c r="C112">
        <f t="shared" si="22"/>
        <v>30</v>
      </c>
      <c r="D112" t="str">
        <f t="shared" si="23"/>
        <v xml:space="preserve">/////PR:Games__SP:Barney20171010     $1954     </v>
      </c>
      <c r="E112">
        <f t="shared" si="24"/>
        <v>32</v>
      </c>
      <c r="F112" t="str">
        <f t="shared" si="25"/>
        <v xml:space="preserve">/////PR:Games__SP:Barney20171010     $1954     </v>
      </c>
      <c r="G112" t="str">
        <f t="shared" si="26"/>
        <v xml:space="preserve">PR:Games__SP:Barney20171010     $1954     </v>
      </c>
      <c r="H112" t="str">
        <f t="shared" si="27"/>
        <v xml:space="preserve">PR:Games  SP:Barney20171010     $1954     </v>
      </c>
      <c r="I112" t="str">
        <f t="shared" si="28"/>
        <v>PR:Games SP:Barney20171010 $1954</v>
      </c>
      <c r="J112">
        <f t="shared" si="29"/>
        <v>32</v>
      </c>
      <c r="K112">
        <f t="shared" si="30"/>
        <v>52</v>
      </c>
      <c r="L112" t="str">
        <f t="shared" si="31"/>
        <v>Games SP:Barney20171010 $1954</v>
      </c>
      <c r="M112" t="str">
        <f t="shared" si="32"/>
        <v>Games Barney20171010 $1954</v>
      </c>
      <c r="N112" s="1" t="str">
        <f t="shared" si="33"/>
        <v>Games Barney 20171010 $1954</v>
      </c>
      <c r="O112" s="9">
        <f t="shared" si="41"/>
        <v>6</v>
      </c>
      <c r="P112" s="9">
        <f t="shared" si="34"/>
        <v>13</v>
      </c>
      <c r="Q112" s="10">
        <f t="shared" si="35"/>
        <v>22</v>
      </c>
      <c r="R112" s="7" t="str">
        <f t="shared" si="36"/>
        <v>Games</v>
      </c>
      <c r="S112" s="7" t="str">
        <f t="shared" si="37"/>
        <v>Barney</v>
      </c>
      <c r="T112" s="7" t="str">
        <f t="shared" si="38"/>
        <v>20171010</v>
      </c>
      <c r="U112" s="7">
        <f t="shared" si="39"/>
        <v>1954</v>
      </c>
      <c r="V112" s="8">
        <f t="shared" si="40"/>
        <v>43018</v>
      </c>
    </row>
    <row r="113" spans="1:22">
      <c r="A113" s="3">
        <f t="shared" si="21"/>
        <v>111</v>
      </c>
      <c r="B113" t="s">
        <v>117</v>
      </c>
      <c r="C113">
        <f t="shared" si="22"/>
        <v>28</v>
      </c>
      <c r="D113" t="str">
        <f t="shared" si="23"/>
        <v xml:space="preserve">/PR:Music_____SP:David20171025   $1179    </v>
      </c>
      <c r="E113">
        <f t="shared" si="24"/>
        <v>32</v>
      </c>
      <c r="F113" t="str">
        <f t="shared" si="25"/>
        <v xml:space="preserve">/PR:Music_____SP:David20171025   $1179    </v>
      </c>
      <c r="G113" t="str">
        <f t="shared" si="26"/>
        <v xml:space="preserve">PR:Music_____SP:David20171025   $1179    </v>
      </c>
      <c r="H113" t="str">
        <f t="shared" si="27"/>
        <v xml:space="preserve">PR:Music     SP:David20171025   $1179    </v>
      </c>
      <c r="I113" t="str">
        <f t="shared" si="28"/>
        <v>PR:Music SP:David20171025 $1179</v>
      </c>
      <c r="J113">
        <f t="shared" si="29"/>
        <v>31</v>
      </c>
      <c r="K113">
        <f t="shared" si="30"/>
        <v>57</v>
      </c>
      <c r="L113" t="str">
        <f t="shared" si="31"/>
        <v>Music SP:David20171025 $1179</v>
      </c>
      <c r="M113" t="str">
        <f t="shared" si="32"/>
        <v>Music David20171025 $1179</v>
      </c>
      <c r="N113" s="1" t="str">
        <f t="shared" si="33"/>
        <v>Music David 20171025 $1179</v>
      </c>
      <c r="O113" s="9">
        <f t="shared" si="41"/>
        <v>6</v>
      </c>
      <c r="P113" s="9">
        <f t="shared" si="34"/>
        <v>12</v>
      </c>
      <c r="Q113" s="10">
        <f t="shared" si="35"/>
        <v>21</v>
      </c>
      <c r="R113" s="7" t="str">
        <f t="shared" si="36"/>
        <v>Music</v>
      </c>
      <c r="S113" s="7" t="str">
        <f t="shared" si="37"/>
        <v>David</v>
      </c>
      <c r="T113" s="7" t="str">
        <f t="shared" si="38"/>
        <v>20171025</v>
      </c>
      <c r="U113" s="7">
        <f t="shared" si="39"/>
        <v>1179</v>
      </c>
      <c r="V113" s="8">
        <f t="shared" si="40"/>
        <v>43033</v>
      </c>
    </row>
    <row r="114" spans="1:22">
      <c r="A114" s="3">
        <f t="shared" si="21"/>
        <v>112</v>
      </c>
      <c r="B114" t="s">
        <v>118</v>
      </c>
      <c r="C114">
        <f t="shared" si="22"/>
        <v>28</v>
      </c>
      <c r="D114" t="str">
        <f t="shared" si="23"/>
        <v xml:space="preserve">//PR:Clothing_SP:Barney2017106     $883  </v>
      </c>
      <c r="E114">
        <f t="shared" si="24"/>
        <v>32</v>
      </c>
      <c r="F114" t="str">
        <f t="shared" si="25"/>
        <v xml:space="preserve">//PR:Clothing_SP:Barney2017106     $883  </v>
      </c>
      <c r="G114" t="str">
        <f t="shared" si="26"/>
        <v xml:space="preserve">PR:Clothing_SP:Barney2017106     $883  </v>
      </c>
      <c r="H114" t="str">
        <f t="shared" si="27"/>
        <v xml:space="preserve">PR:Clothing SP:Barney2017106     $883  </v>
      </c>
      <c r="I114" t="str">
        <f t="shared" si="28"/>
        <v>PR:Clothing SP:Barney2017106 $883</v>
      </c>
      <c r="J114">
        <f t="shared" si="29"/>
        <v>33</v>
      </c>
      <c r="K114">
        <f t="shared" si="30"/>
        <v>51</v>
      </c>
      <c r="L114" t="str">
        <f t="shared" si="31"/>
        <v>Clothing SP:Barney2017106 $883</v>
      </c>
      <c r="M114" t="str">
        <f t="shared" si="32"/>
        <v>Clothing Barney2017106 $883</v>
      </c>
      <c r="N114" s="1" t="str">
        <f t="shared" si="33"/>
        <v>Clothing Barney 2017106 $883</v>
      </c>
      <c r="O114" s="9">
        <f t="shared" si="41"/>
        <v>9</v>
      </c>
      <c r="P114" s="9">
        <f t="shared" si="34"/>
        <v>16</v>
      </c>
      <c r="Q114" s="10">
        <f t="shared" si="35"/>
        <v>24</v>
      </c>
      <c r="R114" s="7" t="str">
        <f t="shared" si="36"/>
        <v>Clothing</v>
      </c>
      <c r="S114" s="7" t="str">
        <f t="shared" si="37"/>
        <v>Barney</v>
      </c>
      <c r="T114" s="7" t="str">
        <f t="shared" si="38"/>
        <v>2017106</v>
      </c>
      <c r="U114" s="7">
        <f t="shared" si="39"/>
        <v>883</v>
      </c>
      <c r="V114" s="8">
        <f t="shared" si="40"/>
        <v>43014</v>
      </c>
    </row>
    <row r="115" spans="1:22">
      <c r="A115" s="3">
        <f t="shared" si="21"/>
        <v>113</v>
      </c>
      <c r="B115" t="s">
        <v>119</v>
      </c>
      <c r="C115">
        <f t="shared" si="22"/>
        <v>29</v>
      </c>
      <c r="D115" t="str">
        <f t="shared" si="23"/>
        <v xml:space="preserve">/////PR:Games_____SP:Alice20171010     $2259    </v>
      </c>
      <c r="E115">
        <f t="shared" si="24"/>
        <v>32</v>
      </c>
      <c r="F115" t="str">
        <f t="shared" si="25"/>
        <v xml:space="preserve">/////PR:Games_____SP:Alice20171010     $2259    </v>
      </c>
      <c r="G115" t="str">
        <f t="shared" si="26"/>
        <v xml:space="preserve">PR:Games_____SP:Alice20171010     $2259    </v>
      </c>
      <c r="H115" t="str">
        <f t="shared" si="27"/>
        <v xml:space="preserve">PR:Games     SP:Alice20171010     $2259    </v>
      </c>
      <c r="I115" t="str">
        <f t="shared" si="28"/>
        <v>PR:Games SP:Alice20171010 $2259</v>
      </c>
      <c r="J115">
        <f t="shared" si="29"/>
        <v>31</v>
      </c>
      <c r="K115">
        <f t="shared" si="30"/>
        <v>57</v>
      </c>
      <c r="L115" t="str">
        <f t="shared" si="31"/>
        <v>Games SP:Alice20171010 $2259</v>
      </c>
      <c r="M115" t="str">
        <f t="shared" si="32"/>
        <v>Games Alice20171010 $2259</v>
      </c>
      <c r="N115" s="1" t="str">
        <f t="shared" si="33"/>
        <v>Games Alice 20171010 $2259</v>
      </c>
      <c r="O115" s="9">
        <f t="shared" si="41"/>
        <v>6</v>
      </c>
      <c r="P115" s="9">
        <f t="shared" si="34"/>
        <v>12</v>
      </c>
      <c r="Q115" s="10">
        <f t="shared" si="35"/>
        <v>21</v>
      </c>
      <c r="R115" s="7" t="str">
        <f t="shared" si="36"/>
        <v>Games</v>
      </c>
      <c r="S115" s="7" t="str">
        <f t="shared" si="37"/>
        <v>Alice</v>
      </c>
      <c r="T115" s="7" t="str">
        <f t="shared" si="38"/>
        <v>20171010</v>
      </c>
      <c r="U115" s="7">
        <f t="shared" si="39"/>
        <v>2259</v>
      </c>
      <c r="V115" s="8">
        <f t="shared" si="40"/>
        <v>43018</v>
      </c>
    </row>
    <row r="116" spans="1:22">
      <c r="A116" s="3">
        <f t="shared" si="21"/>
        <v>114</v>
      </c>
      <c r="B116" t="s">
        <v>120</v>
      </c>
      <c r="C116">
        <f t="shared" si="22"/>
        <v>31</v>
      </c>
      <c r="D116" t="str">
        <f t="shared" si="23"/>
        <v xml:space="preserve">///PR:Music_____SP:David20171024 $965  </v>
      </c>
      <c r="E116">
        <f t="shared" si="24"/>
        <v>32</v>
      </c>
      <c r="F116" t="str">
        <f t="shared" si="25"/>
        <v xml:space="preserve">///PR:Music_____SP:David20171024 $965  </v>
      </c>
      <c r="G116" t="str">
        <f t="shared" si="26"/>
        <v xml:space="preserve">PR:Music_____SP:David20171024 $965  </v>
      </c>
      <c r="H116" t="str">
        <f t="shared" si="27"/>
        <v xml:space="preserve">PR:Music     SP:David20171024 $965  </v>
      </c>
      <c r="I116" t="str">
        <f t="shared" si="28"/>
        <v>PR:Music SP:David20171024 $965</v>
      </c>
      <c r="J116">
        <f t="shared" si="29"/>
        <v>30</v>
      </c>
      <c r="K116">
        <f t="shared" si="30"/>
        <v>53</v>
      </c>
      <c r="L116" t="str">
        <f t="shared" si="31"/>
        <v>Music SP:David20171024 $965</v>
      </c>
      <c r="M116" t="str">
        <f t="shared" si="32"/>
        <v>Music David20171024 $965</v>
      </c>
      <c r="N116" s="1" t="str">
        <f t="shared" si="33"/>
        <v>Music David 20171024 $965</v>
      </c>
      <c r="O116" s="9">
        <f t="shared" si="41"/>
        <v>6</v>
      </c>
      <c r="P116" s="9">
        <f t="shared" si="34"/>
        <v>12</v>
      </c>
      <c r="Q116" s="10">
        <f t="shared" si="35"/>
        <v>21</v>
      </c>
      <c r="R116" s="7" t="str">
        <f t="shared" si="36"/>
        <v>Music</v>
      </c>
      <c r="S116" s="7" t="str">
        <f t="shared" si="37"/>
        <v>David</v>
      </c>
      <c r="T116" s="7" t="str">
        <f t="shared" si="38"/>
        <v>20171024</v>
      </c>
      <c r="U116" s="7">
        <f t="shared" si="39"/>
        <v>965</v>
      </c>
      <c r="V116" s="8">
        <f t="shared" si="40"/>
        <v>43032</v>
      </c>
    </row>
    <row r="117" spans="1:22">
      <c r="A117" s="3">
        <f t="shared" si="21"/>
        <v>115</v>
      </c>
      <c r="B117" t="s">
        <v>121</v>
      </c>
      <c r="C117">
        <f t="shared" si="22"/>
        <v>30</v>
      </c>
      <c r="D117" t="str">
        <f t="shared" si="23"/>
        <v xml:space="preserve">//PR:Books__SP:Alice2017103     $0     </v>
      </c>
      <c r="E117">
        <f t="shared" si="24"/>
        <v>32</v>
      </c>
      <c r="F117" t="str">
        <f t="shared" si="25"/>
        <v xml:space="preserve">//PR:Books__SP:Alice2017103     $0     </v>
      </c>
      <c r="G117" t="str">
        <f t="shared" si="26"/>
        <v xml:space="preserve">PR:Books__SP:Alice2017103     $0     </v>
      </c>
      <c r="H117" t="str">
        <f t="shared" si="27"/>
        <v xml:space="preserve">PR:Books  SP:Alice2017103     $0     </v>
      </c>
      <c r="I117" t="str">
        <f t="shared" si="28"/>
        <v>PR:Books SP:Alice2017103 $0</v>
      </c>
      <c r="J117">
        <f t="shared" si="29"/>
        <v>27</v>
      </c>
      <c r="K117">
        <f t="shared" si="30"/>
        <v>48</v>
      </c>
      <c r="L117" t="str">
        <f t="shared" si="31"/>
        <v>Books SP:Alice2017103 $0</v>
      </c>
      <c r="M117" t="str">
        <f t="shared" si="32"/>
        <v>Books Alice2017103 $0</v>
      </c>
      <c r="N117" s="1" t="str">
        <f t="shared" si="33"/>
        <v>Books Alice 2017103 $0</v>
      </c>
      <c r="O117" s="9">
        <f t="shared" si="41"/>
        <v>6</v>
      </c>
      <c r="P117" s="9">
        <f t="shared" si="34"/>
        <v>12</v>
      </c>
      <c r="Q117" s="10">
        <f t="shared" si="35"/>
        <v>20</v>
      </c>
      <c r="R117" s="7" t="str">
        <f t="shared" si="36"/>
        <v>Books</v>
      </c>
      <c r="S117" s="7" t="str">
        <f t="shared" si="37"/>
        <v>Alice</v>
      </c>
      <c r="T117" s="7" t="str">
        <f t="shared" si="38"/>
        <v>2017103</v>
      </c>
      <c r="U117" s="7">
        <f t="shared" si="39"/>
        <v>0</v>
      </c>
      <c r="V117" s="8">
        <f t="shared" si="40"/>
        <v>43011</v>
      </c>
    </row>
    <row r="118" spans="1:22">
      <c r="A118" s="3">
        <f t="shared" si="21"/>
        <v>116</v>
      </c>
      <c r="B118" t="s">
        <v>122</v>
      </c>
      <c r="C118">
        <f t="shared" si="22"/>
        <v>29</v>
      </c>
      <c r="D118" t="str">
        <f t="shared" si="23"/>
        <v xml:space="preserve">////PR:Books_____SP:Carol20171029   $697    </v>
      </c>
      <c r="E118">
        <f t="shared" si="24"/>
        <v>32</v>
      </c>
      <c r="F118" t="str">
        <f t="shared" si="25"/>
        <v xml:space="preserve">////PR:Books_____SP:Carol20171029   $697    </v>
      </c>
      <c r="G118" t="str">
        <f t="shared" si="26"/>
        <v xml:space="preserve">PR:Books_____SP:Carol20171029   $697    </v>
      </c>
      <c r="H118" t="str">
        <f t="shared" si="27"/>
        <v xml:space="preserve">PR:Books     SP:Carol20171029   $697    </v>
      </c>
      <c r="I118" t="str">
        <f t="shared" si="28"/>
        <v>PR:Books SP:Carol20171029 $697</v>
      </c>
      <c r="J118">
        <f t="shared" si="29"/>
        <v>30</v>
      </c>
      <c r="K118">
        <f t="shared" si="30"/>
        <v>55</v>
      </c>
      <c r="L118" t="str">
        <f t="shared" si="31"/>
        <v>Books SP:Carol20171029 $697</v>
      </c>
      <c r="M118" t="str">
        <f t="shared" si="32"/>
        <v>Books Carol20171029 $697</v>
      </c>
      <c r="N118" s="1" t="str">
        <f t="shared" si="33"/>
        <v>Books Carol 20171029 $697</v>
      </c>
      <c r="O118" s="9">
        <f t="shared" si="41"/>
        <v>6</v>
      </c>
      <c r="P118" s="9">
        <f t="shared" si="34"/>
        <v>12</v>
      </c>
      <c r="Q118" s="10">
        <f t="shared" si="35"/>
        <v>21</v>
      </c>
      <c r="R118" s="7" t="str">
        <f t="shared" si="36"/>
        <v>Books</v>
      </c>
      <c r="S118" s="7" t="str">
        <f t="shared" si="37"/>
        <v>Carol</v>
      </c>
      <c r="T118" s="7" t="str">
        <f t="shared" si="38"/>
        <v>20171029</v>
      </c>
      <c r="U118" s="7">
        <f t="shared" si="39"/>
        <v>697</v>
      </c>
      <c r="V118" s="8">
        <f t="shared" si="40"/>
        <v>43037</v>
      </c>
    </row>
    <row r="119" spans="1:22">
      <c r="A119" s="3">
        <f t="shared" si="21"/>
        <v>117</v>
      </c>
      <c r="B119" t="s">
        <v>123</v>
      </c>
      <c r="C119">
        <f t="shared" si="22"/>
        <v>28</v>
      </c>
      <c r="D119" t="str">
        <f t="shared" si="23"/>
        <v xml:space="preserve">/////PR:Clothing_____SP:Carol20171029  $1227  </v>
      </c>
      <c r="E119">
        <f t="shared" si="24"/>
        <v>32</v>
      </c>
      <c r="F119" t="str">
        <f t="shared" si="25"/>
        <v xml:space="preserve">/////PR:Clothing_____SP:Carol20171029  $1227  </v>
      </c>
      <c r="G119" t="str">
        <f t="shared" si="26"/>
        <v xml:space="preserve">PR:Clothing_____SP:Carol20171029  $1227  </v>
      </c>
      <c r="H119" t="str">
        <f t="shared" si="27"/>
        <v xml:space="preserve">PR:Clothing     SP:Carol20171029  $1227  </v>
      </c>
      <c r="I119" t="str">
        <f t="shared" si="28"/>
        <v>PR:Clothing SP:Carol20171029 $1227</v>
      </c>
      <c r="J119">
        <f t="shared" si="29"/>
        <v>34</v>
      </c>
      <c r="K119">
        <f t="shared" si="30"/>
        <v>55</v>
      </c>
      <c r="L119" t="str">
        <f t="shared" si="31"/>
        <v>Clothing SP:Carol20171029 $1227</v>
      </c>
      <c r="M119" t="str">
        <f t="shared" si="32"/>
        <v>Clothing Carol20171029 $1227</v>
      </c>
      <c r="N119" s="1" t="str">
        <f t="shared" si="33"/>
        <v>Clothing Carol 20171029 $1227</v>
      </c>
      <c r="O119" s="9">
        <f t="shared" si="41"/>
        <v>9</v>
      </c>
      <c r="P119" s="9">
        <f t="shared" si="34"/>
        <v>15</v>
      </c>
      <c r="Q119" s="10">
        <f t="shared" si="35"/>
        <v>24</v>
      </c>
      <c r="R119" s="7" t="str">
        <f t="shared" si="36"/>
        <v>Clothing</v>
      </c>
      <c r="S119" s="7" t="str">
        <f t="shared" si="37"/>
        <v>Carol</v>
      </c>
      <c r="T119" s="7" t="str">
        <f t="shared" si="38"/>
        <v>20171029</v>
      </c>
      <c r="U119" s="7">
        <f t="shared" si="39"/>
        <v>1227</v>
      </c>
      <c r="V119" s="8">
        <f t="shared" si="40"/>
        <v>43037</v>
      </c>
    </row>
    <row r="120" spans="1:22">
      <c r="A120" s="3">
        <f t="shared" si="21"/>
        <v>118</v>
      </c>
      <c r="B120" t="s">
        <v>124</v>
      </c>
      <c r="C120">
        <f t="shared" si="22"/>
        <v>29</v>
      </c>
      <c r="D120" t="str">
        <f t="shared" si="23"/>
        <v xml:space="preserve">/PR:Music_____SP:Carol2017103  $1061    </v>
      </c>
      <c r="E120">
        <f t="shared" si="24"/>
        <v>32</v>
      </c>
      <c r="F120" t="str">
        <f t="shared" si="25"/>
        <v xml:space="preserve">/PR:Music_____SP:Carol2017103  $1061    </v>
      </c>
      <c r="G120" t="str">
        <f t="shared" si="26"/>
        <v xml:space="preserve">PR:Music_____SP:Carol2017103  $1061    </v>
      </c>
      <c r="H120" t="str">
        <f t="shared" si="27"/>
        <v xml:space="preserve">PR:Music     SP:Carol2017103  $1061    </v>
      </c>
      <c r="I120" t="str">
        <f t="shared" si="28"/>
        <v>PR:Music SP:Carol2017103 $1061</v>
      </c>
      <c r="J120">
        <f t="shared" si="29"/>
        <v>30</v>
      </c>
      <c r="K120">
        <f t="shared" si="30"/>
        <v>49</v>
      </c>
      <c r="L120" t="str">
        <f t="shared" si="31"/>
        <v>Music SP:Carol2017103 $1061</v>
      </c>
      <c r="M120" t="str">
        <f t="shared" si="32"/>
        <v>Music Carol2017103 $1061</v>
      </c>
      <c r="N120" s="1" t="str">
        <f t="shared" si="33"/>
        <v>Music Carol 2017103 $1061</v>
      </c>
      <c r="O120" s="9">
        <f t="shared" si="41"/>
        <v>6</v>
      </c>
      <c r="P120" s="9">
        <f t="shared" si="34"/>
        <v>12</v>
      </c>
      <c r="Q120" s="10">
        <f t="shared" si="35"/>
        <v>20</v>
      </c>
      <c r="R120" s="7" t="str">
        <f t="shared" si="36"/>
        <v>Music</v>
      </c>
      <c r="S120" s="7" t="str">
        <f t="shared" si="37"/>
        <v>Carol</v>
      </c>
      <c r="T120" s="7" t="str">
        <f t="shared" si="38"/>
        <v>2017103</v>
      </c>
      <c r="U120" s="7">
        <f t="shared" si="39"/>
        <v>1061</v>
      </c>
      <c r="V120" s="8">
        <f t="shared" si="40"/>
        <v>43011</v>
      </c>
    </row>
    <row r="121" spans="1:22">
      <c r="A121" s="3">
        <f t="shared" si="21"/>
        <v>119</v>
      </c>
      <c r="B121" t="s">
        <v>125</v>
      </c>
      <c r="C121">
        <f t="shared" si="22"/>
        <v>30</v>
      </c>
      <c r="D121" t="str">
        <f t="shared" si="23"/>
        <v xml:space="preserve">//PR:Music_____SP:Barney20171028    $925 </v>
      </c>
      <c r="E121">
        <f t="shared" si="24"/>
        <v>32</v>
      </c>
      <c r="F121" t="str">
        <f t="shared" si="25"/>
        <v xml:space="preserve">//PR:Music_____SP:Barney20171028    $925 </v>
      </c>
      <c r="G121" t="str">
        <f t="shared" si="26"/>
        <v xml:space="preserve">PR:Music_____SP:Barney20171028    $925 </v>
      </c>
      <c r="H121" t="str">
        <f t="shared" si="27"/>
        <v xml:space="preserve">PR:Music     SP:Barney20171028    $925 </v>
      </c>
      <c r="I121" t="str">
        <f t="shared" si="28"/>
        <v>PR:Music SP:Barney20171028 $925</v>
      </c>
      <c r="J121">
        <f t="shared" si="29"/>
        <v>31</v>
      </c>
      <c r="K121">
        <f t="shared" si="30"/>
        <v>53</v>
      </c>
      <c r="L121" t="str">
        <f t="shared" si="31"/>
        <v>Music SP:Barney20171028 $925</v>
      </c>
      <c r="M121" t="str">
        <f t="shared" si="32"/>
        <v>Music Barney20171028 $925</v>
      </c>
      <c r="N121" s="1" t="str">
        <f t="shared" si="33"/>
        <v>Music Barney 20171028 $925</v>
      </c>
      <c r="O121" s="9">
        <f t="shared" si="41"/>
        <v>6</v>
      </c>
      <c r="P121" s="9">
        <f t="shared" si="34"/>
        <v>13</v>
      </c>
      <c r="Q121" s="10">
        <f t="shared" si="35"/>
        <v>22</v>
      </c>
      <c r="R121" s="7" t="str">
        <f t="shared" si="36"/>
        <v>Music</v>
      </c>
      <c r="S121" s="7" t="str">
        <f t="shared" si="37"/>
        <v>Barney</v>
      </c>
      <c r="T121" s="7" t="str">
        <f t="shared" si="38"/>
        <v>20171028</v>
      </c>
      <c r="U121" s="7">
        <f t="shared" si="39"/>
        <v>925</v>
      </c>
      <c r="V121" s="8">
        <f t="shared" si="40"/>
        <v>43036</v>
      </c>
    </row>
    <row r="122" spans="1:22">
      <c r="A122" s="3">
        <f t="shared" si="21"/>
        <v>120</v>
      </c>
      <c r="B122" t="s">
        <v>126</v>
      </c>
      <c r="C122">
        <f t="shared" si="22"/>
        <v>31</v>
      </c>
      <c r="D122" t="str">
        <f t="shared" si="23"/>
        <v xml:space="preserve">/////PR:Games__SP:David2017108   $2271    </v>
      </c>
      <c r="E122">
        <f t="shared" si="24"/>
        <v>32</v>
      </c>
      <c r="F122" t="str">
        <f t="shared" si="25"/>
        <v xml:space="preserve">/////PR:Games__SP:David2017108   $2271    </v>
      </c>
      <c r="G122" t="str">
        <f t="shared" si="26"/>
        <v xml:space="preserve">PR:Games__SP:David2017108   $2271    </v>
      </c>
      <c r="H122" t="str">
        <f t="shared" si="27"/>
        <v xml:space="preserve">PR:Games  SP:David2017108   $2271    </v>
      </c>
      <c r="I122" t="str">
        <f t="shared" si="28"/>
        <v>PR:Games SP:David2017108 $2271</v>
      </c>
      <c r="J122">
        <f t="shared" si="29"/>
        <v>30</v>
      </c>
      <c r="K122">
        <f t="shared" si="30"/>
        <v>49</v>
      </c>
      <c r="L122" t="str">
        <f t="shared" si="31"/>
        <v>Games SP:David2017108 $2271</v>
      </c>
      <c r="M122" t="str">
        <f t="shared" si="32"/>
        <v>Games David2017108 $2271</v>
      </c>
      <c r="N122" s="1" t="str">
        <f t="shared" si="33"/>
        <v>Games David 2017108 $2271</v>
      </c>
      <c r="O122" s="9">
        <f t="shared" si="41"/>
        <v>6</v>
      </c>
      <c r="P122" s="9">
        <f t="shared" si="34"/>
        <v>12</v>
      </c>
      <c r="Q122" s="10">
        <f t="shared" si="35"/>
        <v>20</v>
      </c>
      <c r="R122" s="7" t="str">
        <f t="shared" si="36"/>
        <v>Games</v>
      </c>
      <c r="S122" s="7" t="str">
        <f t="shared" si="37"/>
        <v>David</v>
      </c>
      <c r="T122" s="7" t="str">
        <f t="shared" si="38"/>
        <v>2017108</v>
      </c>
      <c r="U122" s="7">
        <f t="shared" si="39"/>
        <v>2271</v>
      </c>
      <c r="V122" s="8">
        <f t="shared" si="40"/>
        <v>43016</v>
      </c>
    </row>
    <row r="123" spans="1:22">
      <c r="A123" s="3">
        <f t="shared" si="21"/>
        <v>121</v>
      </c>
      <c r="B123" t="s">
        <v>127</v>
      </c>
      <c r="C123">
        <f t="shared" si="22"/>
        <v>29</v>
      </c>
      <c r="D123" t="str">
        <f t="shared" si="23"/>
        <v xml:space="preserve">/PR:Music_____SP:Barney2017103    $1170   </v>
      </c>
      <c r="E123">
        <f t="shared" si="24"/>
        <v>32</v>
      </c>
      <c r="F123" t="str">
        <f t="shared" si="25"/>
        <v xml:space="preserve">/PR:Music_____SP:Barney2017103    $1170   </v>
      </c>
      <c r="G123" t="str">
        <f t="shared" si="26"/>
        <v xml:space="preserve">PR:Music_____SP:Barney2017103    $1170   </v>
      </c>
      <c r="H123" t="str">
        <f t="shared" si="27"/>
        <v xml:space="preserve">PR:Music     SP:Barney2017103    $1170   </v>
      </c>
      <c r="I123" t="str">
        <f t="shared" si="28"/>
        <v>PR:Music SP:Barney2017103 $1170</v>
      </c>
      <c r="J123">
        <f t="shared" si="29"/>
        <v>31</v>
      </c>
      <c r="K123">
        <f t="shared" si="30"/>
        <v>48</v>
      </c>
      <c r="L123" t="str">
        <f t="shared" si="31"/>
        <v>Music SP:Barney2017103 $1170</v>
      </c>
      <c r="M123" t="str">
        <f t="shared" si="32"/>
        <v>Music Barney2017103 $1170</v>
      </c>
      <c r="N123" s="1" t="str">
        <f t="shared" si="33"/>
        <v>Music Barney 2017103 $1170</v>
      </c>
      <c r="O123" s="9">
        <f t="shared" si="41"/>
        <v>6</v>
      </c>
      <c r="P123" s="9">
        <f t="shared" si="34"/>
        <v>13</v>
      </c>
      <c r="Q123" s="10">
        <f t="shared" si="35"/>
        <v>21</v>
      </c>
      <c r="R123" s="7" t="str">
        <f t="shared" si="36"/>
        <v>Music</v>
      </c>
      <c r="S123" s="7" t="str">
        <f t="shared" si="37"/>
        <v>Barney</v>
      </c>
      <c r="T123" s="7" t="str">
        <f t="shared" si="38"/>
        <v>2017103</v>
      </c>
      <c r="U123" s="7">
        <f t="shared" si="39"/>
        <v>1170</v>
      </c>
      <c r="V123" s="8">
        <f t="shared" si="40"/>
        <v>43011</v>
      </c>
    </row>
    <row r="124" spans="1:22">
      <c r="A124" s="3">
        <f t="shared" si="21"/>
        <v>122</v>
      </c>
      <c r="B124" t="s">
        <v>128</v>
      </c>
      <c r="C124">
        <f t="shared" si="22"/>
        <v>30</v>
      </c>
      <c r="D124" t="str">
        <f t="shared" si="23"/>
        <v xml:space="preserve">/////PR:Clothing_SP:David20171027    $1154   </v>
      </c>
      <c r="E124">
        <f t="shared" si="24"/>
        <v>32</v>
      </c>
      <c r="F124" t="str">
        <f t="shared" si="25"/>
        <v xml:space="preserve">/////PR:Clothing_SP:David20171027    $1154   </v>
      </c>
      <c r="G124" t="str">
        <f t="shared" si="26"/>
        <v xml:space="preserve">PR:Clothing_SP:David20171027    $1154   </v>
      </c>
      <c r="H124" t="str">
        <f t="shared" si="27"/>
        <v xml:space="preserve">PR:Clothing SP:David20171027    $1154   </v>
      </c>
      <c r="I124" t="str">
        <f t="shared" si="28"/>
        <v>PR:Clothing SP:David20171027 $1154</v>
      </c>
      <c r="J124">
        <f t="shared" si="29"/>
        <v>34</v>
      </c>
      <c r="K124">
        <f t="shared" si="30"/>
        <v>52</v>
      </c>
      <c r="L124" t="str">
        <f t="shared" si="31"/>
        <v>Clothing SP:David20171027 $1154</v>
      </c>
      <c r="M124" t="str">
        <f t="shared" si="32"/>
        <v>Clothing David20171027 $1154</v>
      </c>
      <c r="N124" s="1" t="str">
        <f t="shared" si="33"/>
        <v>Clothing David 20171027 $1154</v>
      </c>
      <c r="O124" s="9">
        <f t="shared" si="41"/>
        <v>9</v>
      </c>
      <c r="P124" s="9">
        <f t="shared" si="34"/>
        <v>15</v>
      </c>
      <c r="Q124" s="10">
        <f t="shared" si="35"/>
        <v>24</v>
      </c>
      <c r="R124" s="7" t="str">
        <f t="shared" si="36"/>
        <v>Clothing</v>
      </c>
      <c r="S124" s="7" t="str">
        <f t="shared" si="37"/>
        <v>David</v>
      </c>
      <c r="T124" s="7" t="str">
        <f t="shared" si="38"/>
        <v>20171027</v>
      </c>
      <c r="U124" s="7">
        <f t="shared" si="39"/>
        <v>1154</v>
      </c>
      <c r="V124" s="8">
        <f t="shared" si="40"/>
        <v>43035</v>
      </c>
    </row>
    <row r="125" spans="1:22">
      <c r="A125" s="3">
        <f t="shared" si="21"/>
        <v>123</v>
      </c>
      <c r="B125" t="s">
        <v>129</v>
      </c>
      <c r="C125">
        <f t="shared" si="22"/>
        <v>28</v>
      </c>
      <c r="D125" t="str">
        <f t="shared" si="23"/>
        <v xml:space="preserve">/////PR:Books___SP:David20171016  $598   </v>
      </c>
      <c r="E125">
        <f t="shared" si="24"/>
        <v>32</v>
      </c>
      <c r="F125" t="str">
        <f t="shared" si="25"/>
        <v xml:space="preserve">/////PR:Books___SP:David20171016  $598   </v>
      </c>
      <c r="G125" t="str">
        <f t="shared" si="26"/>
        <v xml:space="preserve">PR:Books___SP:David20171016  $598   </v>
      </c>
      <c r="H125" t="str">
        <f t="shared" si="27"/>
        <v xml:space="preserve">PR:Books   SP:David20171016  $598   </v>
      </c>
      <c r="I125" t="str">
        <f t="shared" si="28"/>
        <v>PR:Books SP:David20171016 $598</v>
      </c>
      <c r="J125">
        <f t="shared" si="29"/>
        <v>30</v>
      </c>
      <c r="K125">
        <f t="shared" si="30"/>
        <v>56</v>
      </c>
      <c r="L125" t="str">
        <f t="shared" si="31"/>
        <v>Books SP:David20171016 $598</v>
      </c>
      <c r="M125" t="str">
        <f t="shared" si="32"/>
        <v>Books David20171016 $598</v>
      </c>
      <c r="N125" s="1" t="str">
        <f t="shared" si="33"/>
        <v>Books David 20171016 $598</v>
      </c>
      <c r="O125" s="9">
        <f t="shared" si="41"/>
        <v>6</v>
      </c>
      <c r="P125" s="9">
        <f t="shared" si="34"/>
        <v>12</v>
      </c>
      <c r="Q125" s="10">
        <f t="shared" si="35"/>
        <v>21</v>
      </c>
      <c r="R125" s="7" t="str">
        <f t="shared" si="36"/>
        <v>Books</v>
      </c>
      <c r="S125" s="7" t="str">
        <f t="shared" si="37"/>
        <v>David</v>
      </c>
      <c r="T125" s="7" t="str">
        <f t="shared" si="38"/>
        <v>20171016</v>
      </c>
      <c r="U125" s="7">
        <f t="shared" si="39"/>
        <v>598</v>
      </c>
      <c r="V125" s="8">
        <f t="shared" si="40"/>
        <v>43024</v>
      </c>
    </row>
    <row r="126" spans="1:22">
      <c r="A126" s="3">
        <f t="shared" si="21"/>
        <v>124</v>
      </c>
      <c r="B126" t="s">
        <v>130</v>
      </c>
      <c r="C126">
        <f t="shared" si="22"/>
        <v>28</v>
      </c>
      <c r="D126" t="str">
        <f t="shared" si="23"/>
        <v xml:space="preserve">///PR:Games___SP:Alice20171016  $1101     </v>
      </c>
      <c r="E126">
        <f t="shared" si="24"/>
        <v>32</v>
      </c>
      <c r="F126" t="str">
        <f t="shared" si="25"/>
        <v xml:space="preserve">///PR:Games___SP:Alice20171016  $1101     </v>
      </c>
      <c r="G126" t="str">
        <f t="shared" si="26"/>
        <v xml:space="preserve">PR:Games___SP:Alice20171016  $1101     </v>
      </c>
      <c r="H126" t="str">
        <f t="shared" si="27"/>
        <v xml:space="preserve">PR:Games   SP:Alice20171016  $1101     </v>
      </c>
      <c r="I126" t="str">
        <f t="shared" si="28"/>
        <v>PR:Games SP:Alice20171016 $1101</v>
      </c>
      <c r="J126">
        <f t="shared" si="29"/>
        <v>31</v>
      </c>
      <c r="K126">
        <f t="shared" si="30"/>
        <v>49</v>
      </c>
      <c r="L126" t="str">
        <f t="shared" si="31"/>
        <v>Games SP:Alice20171016 $1101</v>
      </c>
      <c r="M126" t="str">
        <f t="shared" si="32"/>
        <v>Games Alice20171016 $1101</v>
      </c>
      <c r="N126" s="1" t="str">
        <f t="shared" si="33"/>
        <v>Games Alice 20171016 $1101</v>
      </c>
      <c r="O126" s="9">
        <f t="shared" si="41"/>
        <v>6</v>
      </c>
      <c r="P126" s="9">
        <f t="shared" si="34"/>
        <v>12</v>
      </c>
      <c r="Q126" s="10">
        <f t="shared" si="35"/>
        <v>21</v>
      </c>
      <c r="R126" s="7" t="str">
        <f t="shared" si="36"/>
        <v>Games</v>
      </c>
      <c r="S126" s="7" t="str">
        <f t="shared" si="37"/>
        <v>Alice</v>
      </c>
      <c r="T126" s="7" t="str">
        <f t="shared" si="38"/>
        <v>20171016</v>
      </c>
      <c r="U126" s="7">
        <f t="shared" si="39"/>
        <v>1101</v>
      </c>
      <c r="V126" s="8">
        <f t="shared" si="40"/>
        <v>43024</v>
      </c>
    </row>
    <row r="127" spans="1:22">
      <c r="A127" s="3">
        <f t="shared" si="21"/>
        <v>125</v>
      </c>
      <c r="B127" t="s">
        <v>131</v>
      </c>
      <c r="C127">
        <f t="shared" si="22"/>
        <v>28</v>
      </c>
      <c r="D127" t="str">
        <f t="shared" si="23"/>
        <v xml:space="preserve">///PR:Books____SP:Barney20171028    $905 </v>
      </c>
      <c r="E127">
        <f t="shared" si="24"/>
        <v>32</v>
      </c>
      <c r="F127" t="str">
        <f t="shared" si="25"/>
        <v xml:space="preserve">///PR:Books____SP:Barney20171028    $905 </v>
      </c>
      <c r="G127" t="str">
        <f t="shared" si="26"/>
        <v xml:space="preserve">PR:Books____SP:Barney20171028    $905 </v>
      </c>
      <c r="H127" t="str">
        <f t="shared" si="27"/>
        <v xml:space="preserve">PR:Books    SP:Barney20171028    $905 </v>
      </c>
      <c r="I127" t="str">
        <f t="shared" si="28"/>
        <v>PR:Books SP:Barney20171028 $905</v>
      </c>
      <c r="J127">
        <f t="shared" si="29"/>
        <v>31</v>
      </c>
      <c r="K127">
        <f t="shared" si="30"/>
        <v>53</v>
      </c>
      <c r="L127" t="str">
        <f t="shared" si="31"/>
        <v>Books SP:Barney20171028 $905</v>
      </c>
      <c r="M127" t="str">
        <f t="shared" si="32"/>
        <v>Books Barney20171028 $905</v>
      </c>
      <c r="N127" s="1" t="str">
        <f t="shared" si="33"/>
        <v>Books Barney 20171028 $905</v>
      </c>
      <c r="O127" s="9">
        <f t="shared" si="41"/>
        <v>6</v>
      </c>
      <c r="P127" s="9">
        <f t="shared" si="34"/>
        <v>13</v>
      </c>
      <c r="Q127" s="10">
        <f t="shared" si="35"/>
        <v>22</v>
      </c>
      <c r="R127" s="7" t="str">
        <f t="shared" si="36"/>
        <v>Books</v>
      </c>
      <c r="S127" s="7" t="str">
        <f t="shared" si="37"/>
        <v>Barney</v>
      </c>
      <c r="T127" s="7" t="str">
        <f t="shared" si="38"/>
        <v>20171028</v>
      </c>
      <c r="U127" s="7">
        <f t="shared" si="39"/>
        <v>905</v>
      </c>
      <c r="V127" s="8">
        <f t="shared" si="40"/>
        <v>43036</v>
      </c>
    </row>
    <row r="128" spans="1:22">
      <c r="A128" s="3">
        <f t="shared" si="21"/>
        <v>126</v>
      </c>
      <c r="B128" t="s">
        <v>132</v>
      </c>
      <c r="C128">
        <f t="shared" si="22"/>
        <v>29</v>
      </c>
      <c r="D128" t="str">
        <f t="shared" si="23"/>
        <v xml:space="preserve">////PR:Books____SP:Barney2017104    $818  </v>
      </c>
      <c r="E128">
        <f t="shared" si="24"/>
        <v>32</v>
      </c>
      <c r="F128" t="str">
        <f t="shared" si="25"/>
        <v xml:space="preserve">////PR:Books____SP:Barney2017104    $818  </v>
      </c>
      <c r="G128" t="str">
        <f t="shared" si="26"/>
        <v xml:space="preserve">PR:Books____SP:Barney2017104    $818  </v>
      </c>
      <c r="H128" t="str">
        <f t="shared" si="27"/>
        <v xml:space="preserve">PR:Books    SP:Barney2017104    $818  </v>
      </c>
      <c r="I128" t="str">
        <f t="shared" si="28"/>
        <v>PR:Books SP:Barney2017104 $818</v>
      </c>
      <c r="J128">
        <f t="shared" si="29"/>
        <v>30</v>
      </c>
      <c r="K128">
        <f t="shared" si="30"/>
        <v>56</v>
      </c>
      <c r="L128" t="str">
        <f t="shared" si="31"/>
        <v>Books SP:Barney2017104 $818</v>
      </c>
      <c r="M128" t="str">
        <f t="shared" si="32"/>
        <v>Books Barney2017104 $818</v>
      </c>
      <c r="N128" s="1" t="str">
        <f t="shared" si="33"/>
        <v>Books Barney 2017104 $818</v>
      </c>
      <c r="O128" s="9">
        <f t="shared" si="41"/>
        <v>6</v>
      </c>
      <c r="P128" s="9">
        <f t="shared" si="34"/>
        <v>13</v>
      </c>
      <c r="Q128" s="10">
        <f t="shared" si="35"/>
        <v>21</v>
      </c>
      <c r="R128" s="7" t="str">
        <f t="shared" si="36"/>
        <v>Books</v>
      </c>
      <c r="S128" s="7" t="str">
        <f t="shared" si="37"/>
        <v>Barney</v>
      </c>
      <c r="T128" s="7" t="str">
        <f t="shared" si="38"/>
        <v>2017104</v>
      </c>
      <c r="U128" s="7">
        <f t="shared" si="39"/>
        <v>818</v>
      </c>
      <c r="V128" s="8">
        <f t="shared" si="40"/>
        <v>43012</v>
      </c>
    </row>
    <row r="129" spans="1:22">
      <c r="A129" s="3">
        <f t="shared" si="21"/>
        <v>127</v>
      </c>
      <c r="B129" t="s">
        <v>133</v>
      </c>
      <c r="C129">
        <f t="shared" si="22"/>
        <v>28</v>
      </c>
      <c r="D129" t="str">
        <f t="shared" si="23"/>
        <v xml:space="preserve">/PR:Games____SP:David2017104     $0   </v>
      </c>
      <c r="E129">
        <f t="shared" si="24"/>
        <v>32</v>
      </c>
      <c r="F129" t="str">
        <f t="shared" si="25"/>
        <v xml:space="preserve">/PR:Games____SP:David2017104     $0   </v>
      </c>
      <c r="G129" t="str">
        <f t="shared" si="26"/>
        <v xml:space="preserve">PR:Games____SP:David2017104     $0   </v>
      </c>
      <c r="H129" t="str">
        <f t="shared" si="27"/>
        <v xml:space="preserve">PR:Games    SP:David2017104     $0   </v>
      </c>
      <c r="I129" t="str">
        <f t="shared" si="28"/>
        <v>PR:Games SP:David2017104 $0</v>
      </c>
      <c r="J129">
        <f t="shared" si="29"/>
        <v>27</v>
      </c>
      <c r="K129">
        <f t="shared" si="30"/>
        <v>48</v>
      </c>
      <c r="L129" t="str">
        <f t="shared" si="31"/>
        <v>Games SP:David2017104 $0</v>
      </c>
      <c r="M129" t="str">
        <f t="shared" si="32"/>
        <v>Games David2017104 $0</v>
      </c>
      <c r="N129" s="1" t="str">
        <f t="shared" si="33"/>
        <v>Games David 2017104 $0</v>
      </c>
      <c r="O129" s="9">
        <f t="shared" si="41"/>
        <v>6</v>
      </c>
      <c r="P129" s="9">
        <f t="shared" si="34"/>
        <v>12</v>
      </c>
      <c r="Q129" s="10">
        <f t="shared" si="35"/>
        <v>20</v>
      </c>
      <c r="R129" s="7" t="str">
        <f t="shared" si="36"/>
        <v>Games</v>
      </c>
      <c r="S129" s="7" t="str">
        <f t="shared" si="37"/>
        <v>David</v>
      </c>
      <c r="T129" s="7" t="str">
        <f t="shared" si="38"/>
        <v>2017104</v>
      </c>
      <c r="U129" s="7">
        <f t="shared" si="39"/>
        <v>0</v>
      </c>
      <c r="V129" s="8">
        <f t="shared" si="40"/>
        <v>43012</v>
      </c>
    </row>
    <row r="130" spans="1:22">
      <c r="A130" s="3">
        <f t="shared" si="21"/>
        <v>128</v>
      </c>
      <c r="B130" t="s">
        <v>134</v>
      </c>
      <c r="C130">
        <f t="shared" si="22"/>
        <v>30</v>
      </c>
      <c r="D130" t="str">
        <f t="shared" si="23"/>
        <v xml:space="preserve">//PR:Books___SP:Alice20171017  $820     </v>
      </c>
      <c r="E130">
        <f t="shared" si="24"/>
        <v>32</v>
      </c>
      <c r="F130" t="str">
        <f t="shared" si="25"/>
        <v xml:space="preserve">//PR:Books___SP:Alice20171017  $820     </v>
      </c>
      <c r="G130" t="str">
        <f t="shared" si="26"/>
        <v xml:space="preserve">PR:Books___SP:Alice20171017  $820     </v>
      </c>
      <c r="H130" t="str">
        <f t="shared" si="27"/>
        <v xml:space="preserve">PR:Books   SP:Alice20171017  $820     </v>
      </c>
      <c r="I130" t="str">
        <f t="shared" si="28"/>
        <v>PR:Books SP:Alice20171017 $820</v>
      </c>
      <c r="J130">
        <f t="shared" si="29"/>
        <v>30</v>
      </c>
      <c r="K130">
        <f t="shared" si="30"/>
        <v>48</v>
      </c>
      <c r="L130" t="str">
        <f t="shared" si="31"/>
        <v>Books SP:Alice20171017 $820</v>
      </c>
      <c r="M130" t="str">
        <f t="shared" si="32"/>
        <v>Books Alice20171017 $820</v>
      </c>
      <c r="N130" s="1" t="str">
        <f t="shared" si="33"/>
        <v>Books Alice 20171017 $820</v>
      </c>
      <c r="O130" s="9">
        <f t="shared" si="41"/>
        <v>6</v>
      </c>
      <c r="P130" s="9">
        <f t="shared" si="34"/>
        <v>12</v>
      </c>
      <c r="Q130" s="10">
        <f t="shared" si="35"/>
        <v>21</v>
      </c>
      <c r="R130" s="7" t="str">
        <f t="shared" si="36"/>
        <v>Books</v>
      </c>
      <c r="S130" s="7" t="str">
        <f t="shared" si="37"/>
        <v>Alice</v>
      </c>
      <c r="T130" s="7" t="str">
        <f t="shared" si="38"/>
        <v>20171017</v>
      </c>
      <c r="U130" s="7">
        <f t="shared" si="39"/>
        <v>820</v>
      </c>
      <c r="V130" s="8">
        <f t="shared" si="40"/>
        <v>43025</v>
      </c>
    </row>
    <row r="131" spans="1:22">
      <c r="A131" s="3">
        <f t="shared" si="21"/>
        <v>129</v>
      </c>
      <c r="B131" t="s">
        <v>135</v>
      </c>
      <c r="C131">
        <f t="shared" si="22"/>
        <v>28</v>
      </c>
      <c r="D131" t="str">
        <f t="shared" si="23"/>
        <v xml:space="preserve">/PR:Games__SP:Carol2017103 $2228   </v>
      </c>
      <c r="E131">
        <f t="shared" si="24"/>
        <v>32</v>
      </c>
      <c r="F131" t="str">
        <f t="shared" si="25"/>
        <v xml:space="preserve">/PR:Games__SP:Carol2017103 $2228   </v>
      </c>
      <c r="G131" t="str">
        <f t="shared" si="26"/>
        <v xml:space="preserve">PR:Games__SP:Carol2017103 $2228   </v>
      </c>
      <c r="H131" t="str">
        <f t="shared" si="27"/>
        <v xml:space="preserve">PR:Games  SP:Carol2017103 $2228   </v>
      </c>
      <c r="I131" t="str">
        <f t="shared" si="28"/>
        <v>PR:Games SP:Carol2017103 $2228</v>
      </c>
      <c r="J131">
        <f t="shared" si="29"/>
        <v>30</v>
      </c>
      <c r="K131">
        <f t="shared" si="30"/>
        <v>56</v>
      </c>
      <c r="L131" t="str">
        <f t="shared" si="31"/>
        <v>Games SP:Carol2017103 $2228</v>
      </c>
      <c r="M131" t="str">
        <f t="shared" si="32"/>
        <v>Games Carol2017103 $2228</v>
      </c>
      <c r="N131" s="1" t="str">
        <f t="shared" si="33"/>
        <v>Games Carol 2017103 $2228</v>
      </c>
      <c r="O131" s="9">
        <f t="shared" si="41"/>
        <v>6</v>
      </c>
      <c r="P131" s="9">
        <f t="shared" si="34"/>
        <v>12</v>
      </c>
      <c r="Q131" s="10">
        <f t="shared" si="35"/>
        <v>20</v>
      </c>
      <c r="R131" s="7" t="str">
        <f t="shared" si="36"/>
        <v>Games</v>
      </c>
      <c r="S131" s="7" t="str">
        <f t="shared" si="37"/>
        <v>Carol</v>
      </c>
      <c r="T131" s="7" t="str">
        <f t="shared" si="38"/>
        <v>2017103</v>
      </c>
      <c r="U131" s="7">
        <f t="shared" si="39"/>
        <v>2228</v>
      </c>
      <c r="V131" s="8">
        <f t="shared" si="40"/>
        <v>43011</v>
      </c>
    </row>
    <row r="132" spans="1:22">
      <c r="A132" s="3">
        <f t="shared" ref="A132:A195" si="42">A131+1</f>
        <v>130</v>
      </c>
      <c r="B132" t="s">
        <v>136</v>
      </c>
      <c r="C132">
        <f t="shared" ref="C132:C195" si="43">CODE(RIGHT(B132,1))</f>
        <v>31</v>
      </c>
      <c r="D132" t="str">
        <f t="shared" ref="D132:D195" si="44">CLEAN(B132)</f>
        <v xml:space="preserve">///PR:Games____SP:David20171012    $0  </v>
      </c>
      <c r="E132">
        <f t="shared" ref="E132:E195" si="45">CODE(RIGHT(D132,1))</f>
        <v>32</v>
      </c>
      <c r="F132" t="str">
        <f t="shared" ref="F132:F195" si="46">SUBSTITUTE(D132,CHAR(160)," ")</f>
        <v xml:space="preserve">///PR:Games____SP:David20171012    $0  </v>
      </c>
      <c r="G132" t="str">
        <f t="shared" ref="G132:G195" si="47">SUBSTITUTE(F132,"/","")</f>
        <v xml:space="preserve">PR:Games____SP:David20171012    $0  </v>
      </c>
      <c r="H132" t="str">
        <f t="shared" ref="H132:H195" si="48">SUBSTITUTE(G132,"_"," ")</f>
        <v xml:space="preserve">PR:Games    SP:David20171012    $0  </v>
      </c>
      <c r="I132" t="str">
        <f t="shared" ref="I132:I195" si="49">TRIM(H132)</f>
        <v>PR:Games SP:David20171012 $0</v>
      </c>
      <c r="J132">
        <f t="shared" ref="J132:J195" si="50">LEN(I132)</f>
        <v>28</v>
      </c>
      <c r="K132">
        <f t="shared" ref="K132:K195" si="51">CODE(RIGHT(I132,1))</f>
        <v>48</v>
      </c>
      <c r="L132" t="str">
        <f t="shared" ref="L132:L195" si="52">SUBSTITUTE(I132,"PR:","")</f>
        <v>Games SP:David20171012 $0</v>
      </c>
      <c r="M132" t="str">
        <f t="shared" ref="M132:M195" si="53">SUBSTITUTE(L132,"SP:","")</f>
        <v>Games David20171012 $0</v>
      </c>
      <c r="N132" s="1" t="str">
        <f t="shared" ref="N132:N195" si="54">SUBSTITUTE(M132,"201710"," 201710")</f>
        <v>Games David 20171012 $0</v>
      </c>
      <c r="O132" s="9">
        <f t="shared" si="41"/>
        <v>6</v>
      </c>
      <c r="P132" s="9">
        <f t="shared" ref="P132:P195" si="55">FIND(" ",N132,O132+1)</f>
        <v>12</v>
      </c>
      <c r="Q132" s="10">
        <f t="shared" ref="Q132:Q195" si="56">FIND("$",N132,1)-1</f>
        <v>21</v>
      </c>
      <c r="R132" s="7" t="str">
        <f t="shared" ref="R132:R195" si="57">LEFT(N132,O132-1)</f>
        <v>Games</v>
      </c>
      <c r="S132" s="7" t="str">
        <f t="shared" ref="S132:S195" si="58">MID(N132,O132+1,P132-O132-1)</f>
        <v>David</v>
      </c>
      <c r="T132" s="7" t="str">
        <f t="shared" ref="T132:T195" si="59">MID(N132,P132+1,Q132-P132-1)</f>
        <v>20171012</v>
      </c>
      <c r="U132" s="7">
        <f t="shared" ref="U132:U195" si="60">VALUE(MID(N132,Q132+2,99))</f>
        <v>0</v>
      </c>
      <c r="V132" s="8">
        <f t="shared" ref="V132:V195" si="61">DATE(2017,10,MID(T132,7,99))</f>
        <v>43020</v>
      </c>
    </row>
    <row r="133" spans="1:22">
      <c r="A133" s="3">
        <f t="shared" si="42"/>
        <v>131</v>
      </c>
      <c r="B133" t="s">
        <v>137</v>
      </c>
      <c r="C133">
        <f t="shared" si="43"/>
        <v>29</v>
      </c>
      <c r="D133" t="str">
        <f t="shared" si="44"/>
        <v xml:space="preserve">///PR:Books____SP:Carol2017109  $970     </v>
      </c>
      <c r="E133">
        <f t="shared" si="45"/>
        <v>32</v>
      </c>
      <c r="F133" t="str">
        <f t="shared" si="46"/>
        <v xml:space="preserve">///PR:Books____SP:Carol2017109  $970     </v>
      </c>
      <c r="G133" t="str">
        <f t="shared" si="47"/>
        <v xml:space="preserve">PR:Books____SP:Carol2017109  $970     </v>
      </c>
      <c r="H133" t="str">
        <f t="shared" si="48"/>
        <v xml:space="preserve">PR:Books    SP:Carol2017109  $970     </v>
      </c>
      <c r="I133" t="str">
        <f t="shared" si="49"/>
        <v>PR:Books SP:Carol2017109 $970</v>
      </c>
      <c r="J133">
        <f t="shared" si="50"/>
        <v>29</v>
      </c>
      <c r="K133">
        <f t="shared" si="51"/>
        <v>48</v>
      </c>
      <c r="L133" t="str">
        <f t="shared" si="52"/>
        <v>Books SP:Carol2017109 $970</v>
      </c>
      <c r="M133" t="str">
        <f t="shared" si="53"/>
        <v>Books Carol2017109 $970</v>
      </c>
      <c r="N133" s="1" t="str">
        <f t="shared" si="54"/>
        <v>Books Carol 2017109 $970</v>
      </c>
      <c r="O133" s="9">
        <f t="shared" ref="O133:O196" si="62">FIND(" ",N133,1)</f>
        <v>6</v>
      </c>
      <c r="P133" s="9">
        <f t="shared" si="55"/>
        <v>12</v>
      </c>
      <c r="Q133" s="10">
        <f t="shared" si="56"/>
        <v>20</v>
      </c>
      <c r="R133" s="7" t="str">
        <f t="shared" si="57"/>
        <v>Books</v>
      </c>
      <c r="S133" s="7" t="str">
        <f t="shared" si="58"/>
        <v>Carol</v>
      </c>
      <c r="T133" s="7" t="str">
        <f t="shared" si="59"/>
        <v>2017109</v>
      </c>
      <c r="U133" s="7">
        <f t="shared" si="60"/>
        <v>970</v>
      </c>
      <c r="V133" s="8">
        <f t="shared" si="61"/>
        <v>43017</v>
      </c>
    </row>
    <row r="134" spans="1:22">
      <c r="A134" s="3">
        <f t="shared" si="42"/>
        <v>132</v>
      </c>
      <c r="B134" t="s">
        <v>138</v>
      </c>
      <c r="C134">
        <f t="shared" si="43"/>
        <v>31</v>
      </c>
      <c r="D134" t="str">
        <f t="shared" si="44"/>
        <v xml:space="preserve">//PR:Games_____SP:David2017103    $944  </v>
      </c>
      <c r="E134">
        <f t="shared" si="45"/>
        <v>32</v>
      </c>
      <c r="F134" t="str">
        <f t="shared" si="46"/>
        <v xml:space="preserve">//PR:Games_____SP:David2017103    $944  </v>
      </c>
      <c r="G134" t="str">
        <f t="shared" si="47"/>
        <v xml:space="preserve">PR:Games_____SP:David2017103    $944  </v>
      </c>
      <c r="H134" t="str">
        <f t="shared" si="48"/>
        <v xml:space="preserve">PR:Games     SP:David2017103    $944  </v>
      </c>
      <c r="I134" t="str">
        <f t="shared" si="49"/>
        <v>PR:Games SP:David2017103 $944</v>
      </c>
      <c r="J134">
        <f t="shared" si="50"/>
        <v>29</v>
      </c>
      <c r="K134">
        <f t="shared" si="51"/>
        <v>52</v>
      </c>
      <c r="L134" t="str">
        <f t="shared" si="52"/>
        <v>Games SP:David2017103 $944</v>
      </c>
      <c r="M134" t="str">
        <f t="shared" si="53"/>
        <v>Games David2017103 $944</v>
      </c>
      <c r="N134" s="1" t="str">
        <f t="shared" si="54"/>
        <v>Games David 2017103 $944</v>
      </c>
      <c r="O134" s="9">
        <f t="shared" si="62"/>
        <v>6</v>
      </c>
      <c r="P134" s="9">
        <f t="shared" si="55"/>
        <v>12</v>
      </c>
      <c r="Q134" s="10">
        <f t="shared" si="56"/>
        <v>20</v>
      </c>
      <c r="R134" s="7" t="str">
        <f t="shared" si="57"/>
        <v>Games</v>
      </c>
      <c r="S134" s="7" t="str">
        <f t="shared" si="58"/>
        <v>David</v>
      </c>
      <c r="T134" s="7" t="str">
        <f t="shared" si="59"/>
        <v>2017103</v>
      </c>
      <c r="U134" s="7">
        <f t="shared" si="60"/>
        <v>944</v>
      </c>
      <c r="V134" s="8">
        <f t="shared" si="61"/>
        <v>43011</v>
      </c>
    </row>
    <row r="135" spans="1:22">
      <c r="A135" s="3">
        <f t="shared" si="42"/>
        <v>133</v>
      </c>
      <c r="B135" t="s">
        <v>139</v>
      </c>
      <c r="C135">
        <f t="shared" si="43"/>
        <v>29</v>
      </c>
      <c r="D135" t="str">
        <f t="shared" si="44"/>
        <v xml:space="preserve">/PR:Music___SP:Barney20171026   $1404    </v>
      </c>
      <c r="E135">
        <f t="shared" si="45"/>
        <v>32</v>
      </c>
      <c r="F135" t="str">
        <f t="shared" si="46"/>
        <v xml:space="preserve">/PR:Music___SP:Barney20171026   $1404    </v>
      </c>
      <c r="G135" t="str">
        <f t="shared" si="47"/>
        <v xml:space="preserve">PR:Music___SP:Barney20171026   $1404    </v>
      </c>
      <c r="H135" t="str">
        <f t="shared" si="48"/>
        <v xml:space="preserve">PR:Music   SP:Barney20171026   $1404    </v>
      </c>
      <c r="I135" t="str">
        <f t="shared" si="49"/>
        <v>PR:Music SP:Barney20171026 $1404</v>
      </c>
      <c r="J135">
        <f t="shared" si="50"/>
        <v>32</v>
      </c>
      <c r="K135">
        <f t="shared" si="51"/>
        <v>52</v>
      </c>
      <c r="L135" t="str">
        <f t="shared" si="52"/>
        <v>Music SP:Barney20171026 $1404</v>
      </c>
      <c r="M135" t="str">
        <f t="shared" si="53"/>
        <v>Music Barney20171026 $1404</v>
      </c>
      <c r="N135" s="1" t="str">
        <f t="shared" si="54"/>
        <v>Music Barney 20171026 $1404</v>
      </c>
      <c r="O135" s="9">
        <f t="shared" si="62"/>
        <v>6</v>
      </c>
      <c r="P135" s="9">
        <f t="shared" si="55"/>
        <v>13</v>
      </c>
      <c r="Q135" s="10">
        <f t="shared" si="56"/>
        <v>22</v>
      </c>
      <c r="R135" s="7" t="str">
        <f t="shared" si="57"/>
        <v>Music</v>
      </c>
      <c r="S135" s="7" t="str">
        <f t="shared" si="58"/>
        <v>Barney</v>
      </c>
      <c r="T135" s="7" t="str">
        <f t="shared" si="59"/>
        <v>20171026</v>
      </c>
      <c r="U135" s="7">
        <f t="shared" si="60"/>
        <v>1404</v>
      </c>
      <c r="V135" s="8">
        <f t="shared" si="61"/>
        <v>43034</v>
      </c>
    </row>
    <row r="136" spans="1:22">
      <c r="A136" s="3">
        <f t="shared" si="42"/>
        <v>134</v>
      </c>
      <c r="B136" t="s">
        <v>140</v>
      </c>
      <c r="C136">
        <f t="shared" si="43"/>
        <v>28</v>
      </c>
      <c r="D136" t="str">
        <f t="shared" si="44"/>
        <v xml:space="preserve">/////PR:Clothing_____SP:Alice20171030    $1305     </v>
      </c>
      <c r="E136">
        <f t="shared" si="45"/>
        <v>32</v>
      </c>
      <c r="F136" t="str">
        <f t="shared" si="46"/>
        <v xml:space="preserve">/////PR:Clothing_____SP:Alice20171030    $1305     </v>
      </c>
      <c r="G136" t="str">
        <f t="shared" si="47"/>
        <v xml:space="preserve">PR:Clothing_____SP:Alice20171030    $1305     </v>
      </c>
      <c r="H136" t="str">
        <f t="shared" si="48"/>
        <v xml:space="preserve">PR:Clothing     SP:Alice20171030    $1305     </v>
      </c>
      <c r="I136" t="str">
        <f t="shared" si="49"/>
        <v>PR:Clothing SP:Alice20171030 $1305</v>
      </c>
      <c r="J136">
        <f t="shared" si="50"/>
        <v>34</v>
      </c>
      <c r="K136">
        <f t="shared" si="51"/>
        <v>53</v>
      </c>
      <c r="L136" t="str">
        <f t="shared" si="52"/>
        <v>Clothing SP:Alice20171030 $1305</v>
      </c>
      <c r="M136" t="str">
        <f t="shared" si="53"/>
        <v>Clothing Alice20171030 $1305</v>
      </c>
      <c r="N136" s="1" t="str">
        <f t="shared" si="54"/>
        <v>Clothing Alice 20171030 $1305</v>
      </c>
      <c r="O136" s="9">
        <f t="shared" si="62"/>
        <v>9</v>
      </c>
      <c r="P136" s="9">
        <f t="shared" si="55"/>
        <v>15</v>
      </c>
      <c r="Q136" s="10">
        <f t="shared" si="56"/>
        <v>24</v>
      </c>
      <c r="R136" s="7" t="str">
        <f t="shared" si="57"/>
        <v>Clothing</v>
      </c>
      <c r="S136" s="7" t="str">
        <f t="shared" si="58"/>
        <v>Alice</v>
      </c>
      <c r="T136" s="7" t="str">
        <f t="shared" si="59"/>
        <v>20171030</v>
      </c>
      <c r="U136" s="7">
        <f t="shared" si="60"/>
        <v>1305</v>
      </c>
      <c r="V136" s="8">
        <f t="shared" si="61"/>
        <v>43038</v>
      </c>
    </row>
    <row r="137" spans="1:22">
      <c r="A137" s="3">
        <f t="shared" si="42"/>
        <v>135</v>
      </c>
      <c r="B137" t="s">
        <v>141</v>
      </c>
      <c r="C137">
        <f t="shared" si="43"/>
        <v>29</v>
      </c>
      <c r="D137" t="str">
        <f t="shared" si="44"/>
        <v xml:space="preserve">///PR:Games_____SP:David20171020  $869   </v>
      </c>
      <c r="E137">
        <f t="shared" si="45"/>
        <v>32</v>
      </c>
      <c r="F137" t="str">
        <f t="shared" si="46"/>
        <v xml:space="preserve">///PR:Games_____SP:David20171020  $869   </v>
      </c>
      <c r="G137" t="str">
        <f t="shared" si="47"/>
        <v xml:space="preserve">PR:Games_____SP:David20171020  $869   </v>
      </c>
      <c r="H137" t="str">
        <f t="shared" si="48"/>
        <v xml:space="preserve">PR:Games     SP:David20171020  $869   </v>
      </c>
      <c r="I137" t="str">
        <f t="shared" si="49"/>
        <v>PR:Games SP:David20171020 $869</v>
      </c>
      <c r="J137">
        <f t="shared" si="50"/>
        <v>30</v>
      </c>
      <c r="K137">
        <f t="shared" si="51"/>
        <v>57</v>
      </c>
      <c r="L137" t="str">
        <f t="shared" si="52"/>
        <v>Games SP:David20171020 $869</v>
      </c>
      <c r="M137" t="str">
        <f t="shared" si="53"/>
        <v>Games David20171020 $869</v>
      </c>
      <c r="N137" s="1" t="str">
        <f t="shared" si="54"/>
        <v>Games David 20171020 $869</v>
      </c>
      <c r="O137" s="9">
        <f t="shared" si="62"/>
        <v>6</v>
      </c>
      <c r="P137" s="9">
        <f t="shared" si="55"/>
        <v>12</v>
      </c>
      <c r="Q137" s="10">
        <f t="shared" si="56"/>
        <v>21</v>
      </c>
      <c r="R137" s="7" t="str">
        <f t="shared" si="57"/>
        <v>Games</v>
      </c>
      <c r="S137" s="7" t="str">
        <f t="shared" si="58"/>
        <v>David</v>
      </c>
      <c r="T137" s="7" t="str">
        <f t="shared" si="59"/>
        <v>20171020</v>
      </c>
      <c r="U137" s="7">
        <f t="shared" si="60"/>
        <v>869</v>
      </c>
      <c r="V137" s="8">
        <f t="shared" si="61"/>
        <v>43028</v>
      </c>
    </row>
    <row r="138" spans="1:22">
      <c r="A138" s="3">
        <f t="shared" si="42"/>
        <v>136</v>
      </c>
      <c r="B138" t="s">
        <v>142</v>
      </c>
      <c r="C138">
        <f t="shared" si="43"/>
        <v>29</v>
      </c>
      <c r="D138" t="str">
        <f t="shared" si="44"/>
        <v xml:space="preserve">/////PR:Clothing__SP:Carol2017102     $0   </v>
      </c>
      <c r="E138">
        <f t="shared" si="45"/>
        <v>32</v>
      </c>
      <c r="F138" t="str">
        <f t="shared" si="46"/>
        <v xml:space="preserve">/////PR:Clothing__SP:Carol2017102     $0   </v>
      </c>
      <c r="G138" t="str">
        <f t="shared" si="47"/>
        <v xml:space="preserve">PR:Clothing__SP:Carol2017102     $0   </v>
      </c>
      <c r="H138" t="str">
        <f t="shared" si="48"/>
        <v xml:space="preserve">PR:Clothing  SP:Carol2017102     $0   </v>
      </c>
      <c r="I138" t="str">
        <f t="shared" si="49"/>
        <v>PR:Clothing SP:Carol2017102 $0</v>
      </c>
      <c r="J138">
        <f t="shared" si="50"/>
        <v>30</v>
      </c>
      <c r="K138">
        <f t="shared" si="51"/>
        <v>48</v>
      </c>
      <c r="L138" t="str">
        <f t="shared" si="52"/>
        <v>Clothing SP:Carol2017102 $0</v>
      </c>
      <c r="M138" t="str">
        <f t="shared" si="53"/>
        <v>Clothing Carol2017102 $0</v>
      </c>
      <c r="N138" s="1" t="str">
        <f t="shared" si="54"/>
        <v>Clothing Carol 2017102 $0</v>
      </c>
      <c r="O138" s="9">
        <f t="shared" si="62"/>
        <v>9</v>
      </c>
      <c r="P138" s="9">
        <f t="shared" si="55"/>
        <v>15</v>
      </c>
      <c r="Q138" s="10">
        <f t="shared" si="56"/>
        <v>23</v>
      </c>
      <c r="R138" s="7" t="str">
        <f t="shared" si="57"/>
        <v>Clothing</v>
      </c>
      <c r="S138" s="7" t="str">
        <f t="shared" si="58"/>
        <v>Carol</v>
      </c>
      <c r="T138" s="7" t="str">
        <f t="shared" si="59"/>
        <v>2017102</v>
      </c>
      <c r="U138" s="7">
        <f t="shared" si="60"/>
        <v>0</v>
      </c>
      <c r="V138" s="8">
        <f t="shared" si="61"/>
        <v>43010</v>
      </c>
    </row>
    <row r="139" spans="1:22">
      <c r="A139" s="3">
        <f t="shared" si="42"/>
        <v>137</v>
      </c>
      <c r="B139" t="s">
        <v>143</v>
      </c>
      <c r="C139">
        <f t="shared" si="43"/>
        <v>30</v>
      </c>
      <c r="D139" t="str">
        <f t="shared" si="44"/>
        <v xml:space="preserve">///PR:Games_SP:Barney20171025 $0   </v>
      </c>
      <c r="E139">
        <f t="shared" si="45"/>
        <v>32</v>
      </c>
      <c r="F139" t="str">
        <f t="shared" si="46"/>
        <v xml:space="preserve">///PR:Games_SP:Barney20171025 $0   </v>
      </c>
      <c r="G139" t="str">
        <f t="shared" si="47"/>
        <v xml:space="preserve">PR:Games_SP:Barney20171025 $0   </v>
      </c>
      <c r="H139" t="str">
        <f t="shared" si="48"/>
        <v xml:space="preserve">PR:Games SP:Barney20171025 $0   </v>
      </c>
      <c r="I139" t="str">
        <f t="shared" si="49"/>
        <v>PR:Games SP:Barney20171025 $0</v>
      </c>
      <c r="J139">
        <f t="shared" si="50"/>
        <v>29</v>
      </c>
      <c r="K139">
        <f t="shared" si="51"/>
        <v>48</v>
      </c>
      <c r="L139" t="str">
        <f t="shared" si="52"/>
        <v>Games SP:Barney20171025 $0</v>
      </c>
      <c r="M139" t="str">
        <f t="shared" si="53"/>
        <v>Games Barney20171025 $0</v>
      </c>
      <c r="N139" s="1" t="str">
        <f t="shared" si="54"/>
        <v>Games Barney 20171025 $0</v>
      </c>
      <c r="O139" s="9">
        <f t="shared" si="62"/>
        <v>6</v>
      </c>
      <c r="P139" s="9">
        <f t="shared" si="55"/>
        <v>13</v>
      </c>
      <c r="Q139" s="10">
        <f t="shared" si="56"/>
        <v>22</v>
      </c>
      <c r="R139" s="7" t="str">
        <f t="shared" si="57"/>
        <v>Games</v>
      </c>
      <c r="S139" s="7" t="str">
        <f t="shared" si="58"/>
        <v>Barney</v>
      </c>
      <c r="T139" s="7" t="str">
        <f t="shared" si="59"/>
        <v>20171025</v>
      </c>
      <c r="U139" s="7">
        <f t="shared" si="60"/>
        <v>0</v>
      </c>
      <c r="V139" s="8">
        <f t="shared" si="61"/>
        <v>43033</v>
      </c>
    </row>
    <row r="140" spans="1:22">
      <c r="A140" s="3">
        <f t="shared" si="42"/>
        <v>138</v>
      </c>
      <c r="B140" t="s">
        <v>144</v>
      </c>
      <c r="C140">
        <f t="shared" si="43"/>
        <v>28</v>
      </c>
      <c r="D140" t="str">
        <f t="shared" si="44"/>
        <v xml:space="preserve">////PR:Books___SP:Carol20171014   $0  </v>
      </c>
      <c r="E140">
        <f t="shared" si="45"/>
        <v>32</v>
      </c>
      <c r="F140" t="str">
        <f t="shared" si="46"/>
        <v xml:space="preserve">////PR:Books___SP:Carol20171014   $0  </v>
      </c>
      <c r="G140" t="str">
        <f t="shared" si="47"/>
        <v xml:space="preserve">PR:Books___SP:Carol20171014   $0  </v>
      </c>
      <c r="H140" t="str">
        <f t="shared" si="48"/>
        <v xml:space="preserve">PR:Books   SP:Carol20171014   $0  </v>
      </c>
      <c r="I140" t="str">
        <f t="shared" si="49"/>
        <v>PR:Books SP:Carol20171014 $0</v>
      </c>
      <c r="J140">
        <f t="shared" si="50"/>
        <v>28</v>
      </c>
      <c r="K140">
        <f t="shared" si="51"/>
        <v>48</v>
      </c>
      <c r="L140" t="str">
        <f t="shared" si="52"/>
        <v>Books SP:Carol20171014 $0</v>
      </c>
      <c r="M140" t="str">
        <f t="shared" si="53"/>
        <v>Books Carol20171014 $0</v>
      </c>
      <c r="N140" s="1" t="str">
        <f t="shared" si="54"/>
        <v>Books Carol 20171014 $0</v>
      </c>
      <c r="O140" s="9">
        <f t="shared" si="62"/>
        <v>6</v>
      </c>
      <c r="P140" s="9">
        <f t="shared" si="55"/>
        <v>12</v>
      </c>
      <c r="Q140" s="10">
        <f t="shared" si="56"/>
        <v>21</v>
      </c>
      <c r="R140" s="7" t="str">
        <f t="shared" si="57"/>
        <v>Books</v>
      </c>
      <c r="S140" s="7" t="str">
        <f t="shared" si="58"/>
        <v>Carol</v>
      </c>
      <c r="T140" s="7" t="str">
        <f t="shared" si="59"/>
        <v>20171014</v>
      </c>
      <c r="U140" s="7">
        <f t="shared" si="60"/>
        <v>0</v>
      </c>
      <c r="V140" s="8">
        <f t="shared" si="61"/>
        <v>43022</v>
      </c>
    </row>
    <row r="141" spans="1:22">
      <c r="A141" s="3">
        <f t="shared" si="42"/>
        <v>139</v>
      </c>
      <c r="B141" t="s">
        <v>145</v>
      </c>
      <c r="C141">
        <f t="shared" si="43"/>
        <v>29</v>
      </c>
      <c r="D141" t="str">
        <f t="shared" si="44"/>
        <v xml:space="preserve">////PR:Music___SP:Alice2017104    $1461     </v>
      </c>
      <c r="E141">
        <f t="shared" si="45"/>
        <v>32</v>
      </c>
      <c r="F141" t="str">
        <f t="shared" si="46"/>
        <v xml:space="preserve">////PR:Music___SP:Alice2017104    $1461     </v>
      </c>
      <c r="G141" t="str">
        <f t="shared" si="47"/>
        <v xml:space="preserve">PR:Music___SP:Alice2017104    $1461     </v>
      </c>
      <c r="H141" t="str">
        <f t="shared" si="48"/>
        <v xml:space="preserve">PR:Music   SP:Alice2017104    $1461     </v>
      </c>
      <c r="I141" t="str">
        <f t="shared" si="49"/>
        <v>PR:Music SP:Alice2017104 $1461</v>
      </c>
      <c r="J141">
        <f t="shared" si="50"/>
        <v>30</v>
      </c>
      <c r="K141">
        <f t="shared" si="51"/>
        <v>49</v>
      </c>
      <c r="L141" t="str">
        <f t="shared" si="52"/>
        <v>Music SP:Alice2017104 $1461</v>
      </c>
      <c r="M141" t="str">
        <f t="shared" si="53"/>
        <v>Music Alice2017104 $1461</v>
      </c>
      <c r="N141" s="1" t="str">
        <f t="shared" si="54"/>
        <v>Music Alice 2017104 $1461</v>
      </c>
      <c r="O141" s="9">
        <f t="shared" si="62"/>
        <v>6</v>
      </c>
      <c r="P141" s="9">
        <f t="shared" si="55"/>
        <v>12</v>
      </c>
      <c r="Q141" s="10">
        <f t="shared" si="56"/>
        <v>20</v>
      </c>
      <c r="R141" s="7" t="str">
        <f t="shared" si="57"/>
        <v>Music</v>
      </c>
      <c r="S141" s="7" t="str">
        <f t="shared" si="58"/>
        <v>Alice</v>
      </c>
      <c r="T141" s="7" t="str">
        <f t="shared" si="59"/>
        <v>2017104</v>
      </c>
      <c r="U141" s="7">
        <f t="shared" si="60"/>
        <v>1461</v>
      </c>
      <c r="V141" s="8">
        <f t="shared" si="61"/>
        <v>43012</v>
      </c>
    </row>
    <row r="142" spans="1:22">
      <c r="A142" s="3">
        <f t="shared" si="42"/>
        <v>140</v>
      </c>
      <c r="B142" t="s">
        <v>146</v>
      </c>
      <c r="C142">
        <f t="shared" si="43"/>
        <v>30</v>
      </c>
      <c r="D142" t="str">
        <f t="shared" si="44"/>
        <v xml:space="preserve">//PR:Books____SP:Barney20171011    $999     </v>
      </c>
      <c r="E142">
        <f t="shared" si="45"/>
        <v>32</v>
      </c>
      <c r="F142" t="str">
        <f t="shared" si="46"/>
        <v xml:space="preserve">//PR:Books____SP:Barney20171011    $999     </v>
      </c>
      <c r="G142" t="str">
        <f t="shared" si="47"/>
        <v xml:space="preserve">PR:Books____SP:Barney20171011    $999     </v>
      </c>
      <c r="H142" t="str">
        <f t="shared" si="48"/>
        <v xml:space="preserve">PR:Books    SP:Barney20171011    $999     </v>
      </c>
      <c r="I142" t="str">
        <f t="shared" si="49"/>
        <v>PR:Books SP:Barney20171011 $999</v>
      </c>
      <c r="J142">
        <f t="shared" si="50"/>
        <v>31</v>
      </c>
      <c r="K142">
        <f t="shared" si="51"/>
        <v>57</v>
      </c>
      <c r="L142" t="str">
        <f t="shared" si="52"/>
        <v>Books SP:Barney20171011 $999</v>
      </c>
      <c r="M142" t="str">
        <f t="shared" si="53"/>
        <v>Books Barney20171011 $999</v>
      </c>
      <c r="N142" s="1" t="str">
        <f t="shared" si="54"/>
        <v>Books Barney 20171011 $999</v>
      </c>
      <c r="O142" s="9">
        <f t="shared" si="62"/>
        <v>6</v>
      </c>
      <c r="P142" s="9">
        <f t="shared" si="55"/>
        <v>13</v>
      </c>
      <c r="Q142" s="10">
        <f t="shared" si="56"/>
        <v>22</v>
      </c>
      <c r="R142" s="7" t="str">
        <f t="shared" si="57"/>
        <v>Books</v>
      </c>
      <c r="S142" s="7" t="str">
        <f t="shared" si="58"/>
        <v>Barney</v>
      </c>
      <c r="T142" s="7" t="str">
        <f t="shared" si="59"/>
        <v>20171011</v>
      </c>
      <c r="U142" s="7">
        <f t="shared" si="60"/>
        <v>999</v>
      </c>
      <c r="V142" s="8">
        <f t="shared" si="61"/>
        <v>43019</v>
      </c>
    </row>
    <row r="143" spans="1:22">
      <c r="A143" s="3">
        <f t="shared" si="42"/>
        <v>141</v>
      </c>
      <c r="B143" t="s">
        <v>147</v>
      </c>
      <c r="C143">
        <f t="shared" si="43"/>
        <v>30</v>
      </c>
      <c r="D143" t="str">
        <f t="shared" si="44"/>
        <v xml:space="preserve">/////PR:Books__SP:Barney20171022     $510    </v>
      </c>
      <c r="E143">
        <f t="shared" si="45"/>
        <v>32</v>
      </c>
      <c r="F143" t="str">
        <f t="shared" si="46"/>
        <v xml:space="preserve">/////PR:Books__SP:Barney20171022     $510    </v>
      </c>
      <c r="G143" t="str">
        <f t="shared" si="47"/>
        <v xml:space="preserve">PR:Books__SP:Barney20171022     $510    </v>
      </c>
      <c r="H143" t="str">
        <f t="shared" si="48"/>
        <v xml:space="preserve">PR:Books  SP:Barney20171022     $510    </v>
      </c>
      <c r="I143" t="str">
        <f t="shared" si="49"/>
        <v>PR:Books SP:Barney20171022 $510</v>
      </c>
      <c r="J143">
        <f t="shared" si="50"/>
        <v>31</v>
      </c>
      <c r="K143">
        <f t="shared" si="51"/>
        <v>48</v>
      </c>
      <c r="L143" t="str">
        <f t="shared" si="52"/>
        <v>Books SP:Barney20171022 $510</v>
      </c>
      <c r="M143" t="str">
        <f t="shared" si="53"/>
        <v>Books Barney20171022 $510</v>
      </c>
      <c r="N143" s="1" t="str">
        <f t="shared" si="54"/>
        <v>Books Barney 20171022 $510</v>
      </c>
      <c r="O143" s="9">
        <f t="shared" si="62"/>
        <v>6</v>
      </c>
      <c r="P143" s="9">
        <f t="shared" si="55"/>
        <v>13</v>
      </c>
      <c r="Q143" s="10">
        <f t="shared" si="56"/>
        <v>22</v>
      </c>
      <c r="R143" s="7" t="str">
        <f t="shared" si="57"/>
        <v>Books</v>
      </c>
      <c r="S143" s="7" t="str">
        <f t="shared" si="58"/>
        <v>Barney</v>
      </c>
      <c r="T143" s="7" t="str">
        <f t="shared" si="59"/>
        <v>20171022</v>
      </c>
      <c r="U143" s="7">
        <f t="shared" si="60"/>
        <v>510</v>
      </c>
      <c r="V143" s="8">
        <f t="shared" si="61"/>
        <v>43030</v>
      </c>
    </row>
    <row r="144" spans="1:22">
      <c r="A144" s="3">
        <f t="shared" si="42"/>
        <v>142</v>
      </c>
      <c r="B144" t="s">
        <v>148</v>
      </c>
      <c r="C144">
        <f t="shared" si="43"/>
        <v>30</v>
      </c>
      <c r="D144" t="str">
        <f t="shared" si="44"/>
        <v xml:space="preserve">////PR:Music____SP:Alice20171013 $1103    </v>
      </c>
      <c r="E144">
        <f t="shared" si="45"/>
        <v>32</v>
      </c>
      <c r="F144" t="str">
        <f t="shared" si="46"/>
        <v xml:space="preserve">////PR:Music____SP:Alice20171013 $1103    </v>
      </c>
      <c r="G144" t="str">
        <f t="shared" si="47"/>
        <v xml:space="preserve">PR:Music____SP:Alice20171013 $1103    </v>
      </c>
      <c r="H144" t="str">
        <f t="shared" si="48"/>
        <v xml:space="preserve">PR:Music    SP:Alice20171013 $1103    </v>
      </c>
      <c r="I144" t="str">
        <f t="shared" si="49"/>
        <v>PR:Music SP:Alice20171013 $1103</v>
      </c>
      <c r="J144">
        <f t="shared" si="50"/>
        <v>31</v>
      </c>
      <c r="K144">
        <f t="shared" si="51"/>
        <v>51</v>
      </c>
      <c r="L144" t="str">
        <f t="shared" si="52"/>
        <v>Music SP:Alice20171013 $1103</v>
      </c>
      <c r="M144" t="str">
        <f t="shared" si="53"/>
        <v>Music Alice20171013 $1103</v>
      </c>
      <c r="N144" s="1" t="str">
        <f t="shared" si="54"/>
        <v>Music Alice 20171013 $1103</v>
      </c>
      <c r="O144" s="9">
        <f t="shared" si="62"/>
        <v>6</v>
      </c>
      <c r="P144" s="9">
        <f t="shared" si="55"/>
        <v>12</v>
      </c>
      <c r="Q144" s="10">
        <f t="shared" si="56"/>
        <v>21</v>
      </c>
      <c r="R144" s="7" t="str">
        <f t="shared" si="57"/>
        <v>Music</v>
      </c>
      <c r="S144" s="7" t="str">
        <f t="shared" si="58"/>
        <v>Alice</v>
      </c>
      <c r="T144" s="7" t="str">
        <f t="shared" si="59"/>
        <v>20171013</v>
      </c>
      <c r="U144" s="7">
        <f t="shared" si="60"/>
        <v>1103</v>
      </c>
      <c r="V144" s="8">
        <f t="shared" si="61"/>
        <v>43021</v>
      </c>
    </row>
    <row r="145" spans="1:22">
      <c r="A145" s="3">
        <f t="shared" si="42"/>
        <v>143</v>
      </c>
      <c r="B145" t="s">
        <v>149</v>
      </c>
      <c r="C145">
        <f t="shared" si="43"/>
        <v>29</v>
      </c>
      <c r="D145" t="str">
        <f t="shared" si="44"/>
        <v xml:space="preserve">////PR:Music____SP:Carol20171016     $1412   </v>
      </c>
      <c r="E145">
        <f t="shared" si="45"/>
        <v>32</v>
      </c>
      <c r="F145" t="str">
        <f t="shared" si="46"/>
        <v xml:space="preserve">////PR:Music____SP:Carol20171016     $1412   </v>
      </c>
      <c r="G145" t="str">
        <f t="shared" si="47"/>
        <v xml:space="preserve">PR:Music____SP:Carol20171016     $1412   </v>
      </c>
      <c r="H145" t="str">
        <f t="shared" si="48"/>
        <v xml:space="preserve">PR:Music    SP:Carol20171016     $1412   </v>
      </c>
      <c r="I145" t="str">
        <f t="shared" si="49"/>
        <v>PR:Music SP:Carol20171016 $1412</v>
      </c>
      <c r="J145">
        <f t="shared" si="50"/>
        <v>31</v>
      </c>
      <c r="K145">
        <f t="shared" si="51"/>
        <v>50</v>
      </c>
      <c r="L145" t="str">
        <f t="shared" si="52"/>
        <v>Music SP:Carol20171016 $1412</v>
      </c>
      <c r="M145" t="str">
        <f t="shared" si="53"/>
        <v>Music Carol20171016 $1412</v>
      </c>
      <c r="N145" s="1" t="str">
        <f t="shared" si="54"/>
        <v>Music Carol 20171016 $1412</v>
      </c>
      <c r="O145" s="9">
        <f t="shared" si="62"/>
        <v>6</v>
      </c>
      <c r="P145" s="9">
        <f t="shared" si="55"/>
        <v>12</v>
      </c>
      <c r="Q145" s="10">
        <f t="shared" si="56"/>
        <v>21</v>
      </c>
      <c r="R145" s="7" t="str">
        <f t="shared" si="57"/>
        <v>Music</v>
      </c>
      <c r="S145" s="7" t="str">
        <f t="shared" si="58"/>
        <v>Carol</v>
      </c>
      <c r="T145" s="7" t="str">
        <f t="shared" si="59"/>
        <v>20171016</v>
      </c>
      <c r="U145" s="7">
        <f t="shared" si="60"/>
        <v>1412</v>
      </c>
      <c r="V145" s="8">
        <f t="shared" si="61"/>
        <v>43024</v>
      </c>
    </row>
    <row r="146" spans="1:22">
      <c r="A146" s="3">
        <f t="shared" si="42"/>
        <v>144</v>
      </c>
      <c r="B146" t="s">
        <v>150</v>
      </c>
      <c r="C146">
        <f t="shared" si="43"/>
        <v>31</v>
      </c>
      <c r="D146" t="str">
        <f t="shared" si="44"/>
        <v xml:space="preserve">////PR:Books_SP:Barney20171016     $0 </v>
      </c>
      <c r="E146">
        <f t="shared" si="45"/>
        <v>32</v>
      </c>
      <c r="F146" t="str">
        <f t="shared" si="46"/>
        <v xml:space="preserve">////PR:Books_SP:Barney20171016     $0 </v>
      </c>
      <c r="G146" t="str">
        <f t="shared" si="47"/>
        <v xml:space="preserve">PR:Books_SP:Barney20171016     $0 </v>
      </c>
      <c r="H146" t="str">
        <f t="shared" si="48"/>
        <v xml:space="preserve">PR:Books SP:Barney20171016     $0 </v>
      </c>
      <c r="I146" t="str">
        <f t="shared" si="49"/>
        <v>PR:Books SP:Barney20171016 $0</v>
      </c>
      <c r="J146">
        <f t="shared" si="50"/>
        <v>29</v>
      </c>
      <c r="K146">
        <f t="shared" si="51"/>
        <v>48</v>
      </c>
      <c r="L146" t="str">
        <f t="shared" si="52"/>
        <v>Books SP:Barney20171016 $0</v>
      </c>
      <c r="M146" t="str">
        <f t="shared" si="53"/>
        <v>Books Barney20171016 $0</v>
      </c>
      <c r="N146" s="1" t="str">
        <f t="shared" si="54"/>
        <v>Books Barney 20171016 $0</v>
      </c>
      <c r="O146" s="9">
        <f t="shared" si="62"/>
        <v>6</v>
      </c>
      <c r="P146" s="9">
        <f t="shared" si="55"/>
        <v>13</v>
      </c>
      <c r="Q146" s="10">
        <f t="shared" si="56"/>
        <v>22</v>
      </c>
      <c r="R146" s="7" t="str">
        <f t="shared" si="57"/>
        <v>Books</v>
      </c>
      <c r="S146" s="7" t="str">
        <f t="shared" si="58"/>
        <v>Barney</v>
      </c>
      <c r="T146" s="7" t="str">
        <f t="shared" si="59"/>
        <v>20171016</v>
      </c>
      <c r="U146" s="7">
        <f t="shared" si="60"/>
        <v>0</v>
      </c>
      <c r="V146" s="8">
        <f t="shared" si="61"/>
        <v>43024</v>
      </c>
    </row>
    <row r="147" spans="1:22">
      <c r="A147" s="3">
        <f t="shared" si="42"/>
        <v>145</v>
      </c>
      <c r="B147" t="s">
        <v>151</v>
      </c>
      <c r="C147">
        <f t="shared" si="43"/>
        <v>29</v>
      </c>
      <c r="D147" t="str">
        <f t="shared" si="44"/>
        <v xml:space="preserve">//PR:Books__SP:Alice2017108   $763 </v>
      </c>
      <c r="E147">
        <f t="shared" si="45"/>
        <v>32</v>
      </c>
      <c r="F147" t="str">
        <f t="shared" si="46"/>
        <v xml:space="preserve">//PR:Books__SP:Alice2017108   $763 </v>
      </c>
      <c r="G147" t="str">
        <f t="shared" si="47"/>
        <v xml:space="preserve">PR:Books__SP:Alice2017108   $763 </v>
      </c>
      <c r="H147" t="str">
        <f t="shared" si="48"/>
        <v xml:space="preserve">PR:Books  SP:Alice2017108   $763 </v>
      </c>
      <c r="I147" t="str">
        <f t="shared" si="49"/>
        <v>PR:Books SP:Alice2017108 $763</v>
      </c>
      <c r="J147">
        <f t="shared" si="50"/>
        <v>29</v>
      </c>
      <c r="K147">
        <f t="shared" si="51"/>
        <v>51</v>
      </c>
      <c r="L147" t="str">
        <f t="shared" si="52"/>
        <v>Books SP:Alice2017108 $763</v>
      </c>
      <c r="M147" t="str">
        <f t="shared" si="53"/>
        <v>Books Alice2017108 $763</v>
      </c>
      <c r="N147" s="1" t="str">
        <f t="shared" si="54"/>
        <v>Books Alice 2017108 $763</v>
      </c>
      <c r="O147" s="9">
        <f t="shared" si="62"/>
        <v>6</v>
      </c>
      <c r="P147" s="9">
        <f t="shared" si="55"/>
        <v>12</v>
      </c>
      <c r="Q147" s="10">
        <f t="shared" si="56"/>
        <v>20</v>
      </c>
      <c r="R147" s="7" t="str">
        <f t="shared" si="57"/>
        <v>Books</v>
      </c>
      <c r="S147" s="7" t="str">
        <f t="shared" si="58"/>
        <v>Alice</v>
      </c>
      <c r="T147" s="7" t="str">
        <f t="shared" si="59"/>
        <v>2017108</v>
      </c>
      <c r="U147" s="7">
        <f t="shared" si="60"/>
        <v>763</v>
      </c>
      <c r="V147" s="8">
        <f t="shared" si="61"/>
        <v>43016</v>
      </c>
    </row>
    <row r="148" spans="1:22">
      <c r="A148" s="3">
        <f t="shared" si="42"/>
        <v>146</v>
      </c>
      <c r="B148" t="s">
        <v>152</v>
      </c>
      <c r="C148">
        <f t="shared" si="43"/>
        <v>31</v>
      </c>
      <c r="D148" t="str">
        <f t="shared" si="44"/>
        <v xml:space="preserve">///PR:Clothing___SP:Barney20171011     $1419  </v>
      </c>
      <c r="E148">
        <f t="shared" si="45"/>
        <v>32</v>
      </c>
      <c r="F148" t="str">
        <f t="shared" si="46"/>
        <v xml:space="preserve">///PR:Clothing___SP:Barney20171011     $1419  </v>
      </c>
      <c r="G148" t="str">
        <f t="shared" si="47"/>
        <v xml:space="preserve">PR:Clothing___SP:Barney20171011     $1419  </v>
      </c>
      <c r="H148" t="str">
        <f t="shared" si="48"/>
        <v xml:space="preserve">PR:Clothing   SP:Barney20171011     $1419  </v>
      </c>
      <c r="I148" t="str">
        <f t="shared" si="49"/>
        <v>PR:Clothing SP:Barney20171011 $1419</v>
      </c>
      <c r="J148">
        <f t="shared" si="50"/>
        <v>35</v>
      </c>
      <c r="K148">
        <f t="shared" si="51"/>
        <v>57</v>
      </c>
      <c r="L148" t="str">
        <f t="shared" si="52"/>
        <v>Clothing SP:Barney20171011 $1419</v>
      </c>
      <c r="M148" t="str">
        <f t="shared" si="53"/>
        <v>Clothing Barney20171011 $1419</v>
      </c>
      <c r="N148" s="1" t="str">
        <f t="shared" si="54"/>
        <v>Clothing Barney 20171011 $1419</v>
      </c>
      <c r="O148" s="9">
        <f t="shared" si="62"/>
        <v>9</v>
      </c>
      <c r="P148" s="9">
        <f t="shared" si="55"/>
        <v>16</v>
      </c>
      <c r="Q148" s="10">
        <f t="shared" si="56"/>
        <v>25</v>
      </c>
      <c r="R148" s="7" t="str">
        <f t="shared" si="57"/>
        <v>Clothing</v>
      </c>
      <c r="S148" s="7" t="str">
        <f t="shared" si="58"/>
        <v>Barney</v>
      </c>
      <c r="T148" s="7" t="str">
        <f t="shared" si="59"/>
        <v>20171011</v>
      </c>
      <c r="U148" s="7">
        <f t="shared" si="60"/>
        <v>1419</v>
      </c>
      <c r="V148" s="8">
        <f t="shared" si="61"/>
        <v>43019</v>
      </c>
    </row>
    <row r="149" spans="1:22">
      <c r="A149" s="3">
        <f t="shared" si="42"/>
        <v>147</v>
      </c>
      <c r="B149" t="s">
        <v>153</v>
      </c>
      <c r="C149">
        <f t="shared" si="43"/>
        <v>30</v>
      </c>
      <c r="D149" t="str">
        <f t="shared" si="44"/>
        <v xml:space="preserve">/PR:Books_SP:Alice20171031 $906     </v>
      </c>
      <c r="E149">
        <f t="shared" si="45"/>
        <v>32</v>
      </c>
      <c r="F149" t="str">
        <f t="shared" si="46"/>
        <v xml:space="preserve">/PR:Books_SP:Alice20171031 $906     </v>
      </c>
      <c r="G149" t="str">
        <f t="shared" si="47"/>
        <v xml:space="preserve">PR:Books_SP:Alice20171031 $906     </v>
      </c>
      <c r="H149" t="str">
        <f t="shared" si="48"/>
        <v xml:space="preserve">PR:Books SP:Alice20171031 $906     </v>
      </c>
      <c r="I149" t="str">
        <f t="shared" si="49"/>
        <v>PR:Books SP:Alice20171031 $906</v>
      </c>
      <c r="J149">
        <f t="shared" si="50"/>
        <v>30</v>
      </c>
      <c r="K149">
        <f t="shared" si="51"/>
        <v>54</v>
      </c>
      <c r="L149" t="str">
        <f t="shared" si="52"/>
        <v>Books SP:Alice20171031 $906</v>
      </c>
      <c r="M149" t="str">
        <f t="shared" si="53"/>
        <v>Books Alice20171031 $906</v>
      </c>
      <c r="N149" s="1" t="str">
        <f t="shared" si="54"/>
        <v>Books Alice 20171031 $906</v>
      </c>
      <c r="O149" s="9">
        <f t="shared" si="62"/>
        <v>6</v>
      </c>
      <c r="P149" s="9">
        <f t="shared" si="55"/>
        <v>12</v>
      </c>
      <c r="Q149" s="10">
        <f t="shared" si="56"/>
        <v>21</v>
      </c>
      <c r="R149" s="7" t="str">
        <f t="shared" si="57"/>
        <v>Books</v>
      </c>
      <c r="S149" s="7" t="str">
        <f t="shared" si="58"/>
        <v>Alice</v>
      </c>
      <c r="T149" s="7" t="str">
        <f t="shared" si="59"/>
        <v>20171031</v>
      </c>
      <c r="U149" s="7">
        <f t="shared" si="60"/>
        <v>906</v>
      </c>
      <c r="V149" s="8">
        <f t="shared" si="61"/>
        <v>43039</v>
      </c>
    </row>
    <row r="150" spans="1:22">
      <c r="A150" s="3">
        <f t="shared" si="42"/>
        <v>148</v>
      </c>
      <c r="B150" t="s">
        <v>154</v>
      </c>
      <c r="C150">
        <f t="shared" si="43"/>
        <v>31</v>
      </c>
      <c r="D150" t="str">
        <f t="shared" si="44"/>
        <v xml:space="preserve">///PR:Books___SP:Carol20171010  $725 </v>
      </c>
      <c r="E150">
        <f t="shared" si="45"/>
        <v>32</v>
      </c>
      <c r="F150" t="str">
        <f t="shared" si="46"/>
        <v xml:space="preserve">///PR:Books___SP:Carol20171010  $725 </v>
      </c>
      <c r="G150" t="str">
        <f t="shared" si="47"/>
        <v xml:space="preserve">PR:Books___SP:Carol20171010  $725 </v>
      </c>
      <c r="H150" t="str">
        <f t="shared" si="48"/>
        <v xml:space="preserve">PR:Books   SP:Carol20171010  $725 </v>
      </c>
      <c r="I150" t="str">
        <f t="shared" si="49"/>
        <v>PR:Books SP:Carol20171010 $725</v>
      </c>
      <c r="J150">
        <f t="shared" si="50"/>
        <v>30</v>
      </c>
      <c r="K150">
        <f t="shared" si="51"/>
        <v>53</v>
      </c>
      <c r="L150" t="str">
        <f t="shared" si="52"/>
        <v>Books SP:Carol20171010 $725</v>
      </c>
      <c r="M150" t="str">
        <f t="shared" si="53"/>
        <v>Books Carol20171010 $725</v>
      </c>
      <c r="N150" s="1" t="str">
        <f t="shared" si="54"/>
        <v>Books Carol 20171010 $725</v>
      </c>
      <c r="O150" s="9">
        <f t="shared" si="62"/>
        <v>6</v>
      </c>
      <c r="P150" s="9">
        <f t="shared" si="55"/>
        <v>12</v>
      </c>
      <c r="Q150" s="10">
        <f t="shared" si="56"/>
        <v>21</v>
      </c>
      <c r="R150" s="7" t="str">
        <f t="shared" si="57"/>
        <v>Books</v>
      </c>
      <c r="S150" s="7" t="str">
        <f t="shared" si="58"/>
        <v>Carol</v>
      </c>
      <c r="T150" s="7" t="str">
        <f t="shared" si="59"/>
        <v>20171010</v>
      </c>
      <c r="U150" s="7">
        <f t="shared" si="60"/>
        <v>725</v>
      </c>
      <c r="V150" s="8">
        <f t="shared" si="61"/>
        <v>43018</v>
      </c>
    </row>
    <row r="151" spans="1:22">
      <c r="A151" s="3">
        <f t="shared" si="42"/>
        <v>149</v>
      </c>
      <c r="B151" t="s">
        <v>155</v>
      </c>
      <c r="C151">
        <f t="shared" si="43"/>
        <v>31</v>
      </c>
      <c r="D151" t="str">
        <f t="shared" si="44"/>
        <v xml:space="preserve">////PR:Clothing__SP:Carol20171015  $1304    </v>
      </c>
      <c r="E151">
        <f t="shared" si="45"/>
        <v>32</v>
      </c>
      <c r="F151" t="str">
        <f t="shared" si="46"/>
        <v xml:space="preserve">////PR:Clothing__SP:Carol20171015  $1304    </v>
      </c>
      <c r="G151" t="str">
        <f t="shared" si="47"/>
        <v xml:space="preserve">PR:Clothing__SP:Carol20171015  $1304    </v>
      </c>
      <c r="H151" t="str">
        <f t="shared" si="48"/>
        <v xml:space="preserve">PR:Clothing  SP:Carol20171015  $1304    </v>
      </c>
      <c r="I151" t="str">
        <f t="shared" si="49"/>
        <v>PR:Clothing SP:Carol20171015 $1304</v>
      </c>
      <c r="J151">
        <f t="shared" si="50"/>
        <v>34</v>
      </c>
      <c r="K151">
        <f t="shared" si="51"/>
        <v>52</v>
      </c>
      <c r="L151" t="str">
        <f t="shared" si="52"/>
        <v>Clothing SP:Carol20171015 $1304</v>
      </c>
      <c r="M151" t="str">
        <f t="shared" si="53"/>
        <v>Clothing Carol20171015 $1304</v>
      </c>
      <c r="N151" s="1" t="str">
        <f t="shared" si="54"/>
        <v>Clothing Carol 20171015 $1304</v>
      </c>
      <c r="O151" s="9">
        <f t="shared" si="62"/>
        <v>9</v>
      </c>
      <c r="P151" s="9">
        <f t="shared" si="55"/>
        <v>15</v>
      </c>
      <c r="Q151" s="10">
        <f t="shared" si="56"/>
        <v>24</v>
      </c>
      <c r="R151" s="7" t="str">
        <f t="shared" si="57"/>
        <v>Clothing</v>
      </c>
      <c r="S151" s="7" t="str">
        <f t="shared" si="58"/>
        <v>Carol</v>
      </c>
      <c r="T151" s="7" t="str">
        <f t="shared" si="59"/>
        <v>20171015</v>
      </c>
      <c r="U151" s="7">
        <f t="shared" si="60"/>
        <v>1304</v>
      </c>
      <c r="V151" s="8">
        <f t="shared" si="61"/>
        <v>43023</v>
      </c>
    </row>
    <row r="152" spans="1:22">
      <c r="A152" s="3">
        <f t="shared" si="42"/>
        <v>150</v>
      </c>
      <c r="B152" t="s">
        <v>156</v>
      </c>
      <c r="C152">
        <f t="shared" si="43"/>
        <v>28</v>
      </c>
      <c r="D152" t="str">
        <f t="shared" si="44"/>
        <v xml:space="preserve">//PR:Games_____SP:Carol20171026   $1050    </v>
      </c>
      <c r="E152">
        <f t="shared" si="45"/>
        <v>32</v>
      </c>
      <c r="F152" t="str">
        <f t="shared" si="46"/>
        <v xml:space="preserve">//PR:Games_____SP:Carol20171026   $1050    </v>
      </c>
      <c r="G152" t="str">
        <f t="shared" si="47"/>
        <v xml:space="preserve">PR:Games_____SP:Carol20171026   $1050    </v>
      </c>
      <c r="H152" t="str">
        <f t="shared" si="48"/>
        <v xml:space="preserve">PR:Games     SP:Carol20171026   $1050    </v>
      </c>
      <c r="I152" t="str">
        <f t="shared" si="49"/>
        <v>PR:Games SP:Carol20171026 $1050</v>
      </c>
      <c r="J152">
        <f t="shared" si="50"/>
        <v>31</v>
      </c>
      <c r="K152">
        <f t="shared" si="51"/>
        <v>48</v>
      </c>
      <c r="L152" t="str">
        <f t="shared" si="52"/>
        <v>Games SP:Carol20171026 $1050</v>
      </c>
      <c r="M152" t="str">
        <f t="shared" si="53"/>
        <v>Games Carol20171026 $1050</v>
      </c>
      <c r="N152" s="1" t="str">
        <f t="shared" si="54"/>
        <v>Games Carol 20171026 $1050</v>
      </c>
      <c r="O152" s="9">
        <f t="shared" si="62"/>
        <v>6</v>
      </c>
      <c r="P152" s="9">
        <f t="shared" si="55"/>
        <v>12</v>
      </c>
      <c r="Q152" s="10">
        <f t="shared" si="56"/>
        <v>21</v>
      </c>
      <c r="R152" s="7" t="str">
        <f t="shared" si="57"/>
        <v>Games</v>
      </c>
      <c r="S152" s="7" t="str">
        <f t="shared" si="58"/>
        <v>Carol</v>
      </c>
      <c r="T152" s="7" t="str">
        <f t="shared" si="59"/>
        <v>20171026</v>
      </c>
      <c r="U152" s="7">
        <f t="shared" si="60"/>
        <v>1050</v>
      </c>
      <c r="V152" s="8">
        <f t="shared" si="61"/>
        <v>43034</v>
      </c>
    </row>
    <row r="153" spans="1:22">
      <c r="A153" s="3">
        <f t="shared" si="42"/>
        <v>151</v>
      </c>
      <c r="B153" t="s">
        <v>157</v>
      </c>
      <c r="C153">
        <f t="shared" si="43"/>
        <v>31</v>
      </c>
      <c r="D153" t="str">
        <f t="shared" si="44"/>
        <v xml:space="preserve">/////PR:Books_SP:David2017103   $765 </v>
      </c>
      <c r="E153">
        <f t="shared" si="45"/>
        <v>32</v>
      </c>
      <c r="F153" t="str">
        <f t="shared" si="46"/>
        <v xml:space="preserve">/////PR:Books_SP:David2017103   $765 </v>
      </c>
      <c r="G153" t="str">
        <f t="shared" si="47"/>
        <v xml:space="preserve">PR:Books_SP:David2017103   $765 </v>
      </c>
      <c r="H153" t="str">
        <f t="shared" si="48"/>
        <v xml:space="preserve">PR:Books SP:David2017103   $765 </v>
      </c>
      <c r="I153" t="str">
        <f t="shared" si="49"/>
        <v>PR:Books SP:David2017103 $765</v>
      </c>
      <c r="J153">
        <f t="shared" si="50"/>
        <v>29</v>
      </c>
      <c r="K153">
        <f t="shared" si="51"/>
        <v>53</v>
      </c>
      <c r="L153" t="str">
        <f t="shared" si="52"/>
        <v>Books SP:David2017103 $765</v>
      </c>
      <c r="M153" t="str">
        <f t="shared" si="53"/>
        <v>Books David2017103 $765</v>
      </c>
      <c r="N153" s="1" t="str">
        <f t="shared" si="54"/>
        <v>Books David 2017103 $765</v>
      </c>
      <c r="O153" s="9">
        <f t="shared" si="62"/>
        <v>6</v>
      </c>
      <c r="P153" s="9">
        <f t="shared" si="55"/>
        <v>12</v>
      </c>
      <c r="Q153" s="10">
        <f t="shared" si="56"/>
        <v>20</v>
      </c>
      <c r="R153" s="7" t="str">
        <f t="shared" si="57"/>
        <v>Books</v>
      </c>
      <c r="S153" s="7" t="str">
        <f t="shared" si="58"/>
        <v>David</v>
      </c>
      <c r="T153" s="7" t="str">
        <f t="shared" si="59"/>
        <v>2017103</v>
      </c>
      <c r="U153" s="7">
        <f t="shared" si="60"/>
        <v>765</v>
      </c>
      <c r="V153" s="8">
        <f t="shared" si="61"/>
        <v>43011</v>
      </c>
    </row>
    <row r="154" spans="1:22">
      <c r="A154" s="3">
        <f t="shared" si="42"/>
        <v>152</v>
      </c>
      <c r="B154" t="s">
        <v>158</v>
      </c>
      <c r="C154">
        <f t="shared" si="43"/>
        <v>29</v>
      </c>
      <c r="D154" t="str">
        <f t="shared" si="44"/>
        <v xml:space="preserve">//PR:Music__SP:Barney2017101  $1272   </v>
      </c>
      <c r="E154">
        <f t="shared" si="45"/>
        <v>32</v>
      </c>
      <c r="F154" t="str">
        <f t="shared" si="46"/>
        <v xml:space="preserve">//PR:Music__SP:Barney2017101  $1272   </v>
      </c>
      <c r="G154" t="str">
        <f t="shared" si="47"/>
        <v xml:space="preserve">PR:Music__SP:Barney2017101  $1272   </v>
      </c>
      <c r="H154" t="str">
        <f t="shared" si="48"/>
        <v xml:space="preserve">PR:Music  SP:Barney2017101  $1272   </v>
      </c>
      <c r="I154" t="str">
        <f t="shared" si="49"/>
        <v>PR:Music SP:Barney2017101 $1272</v>
      </c>
      <c r="J154">
        <f t="shared" si="50"/>
        <v>31</v>
      </c>
      <c r="K154">
        <f t="shared" si="51"/>
        <v>50</v>
      </c>
      <c r="L154" t="str">
        <f t="shared" si="52"/>
        <v>Music SP:Barney2017101 $1272</v>
      </c>
      <c r="M154" t="str">
        <f t="shared" si="53"/>
        <v>Music Barney2017101 $1272</v>
      </c>
      <c r="N154" s="1" t="str">
        <f t="shared" si="54"/>
        <v>Music Barney 2017101 $1272</v>
      </c>
      <c r="O154" s="9">
        <f t="shared" si="62"/>
        <v>6</v>
      </c>
      <c r="P154" s="9">
        <f t="shared" si="55"/>
        <v>13</v>
      </c>
      <c r="Q154" s="10">
        <f t="shared" si="56"/>
        <v>21</v>
      </c>
      <c r="R154" s="7" t="str">
        <f t="shared" si="57"/>
        <v>Music</v>
      </c>
      <c r="S154" s="7" t="str">
        <f t="shared" si="58"/>
        <v>Barney</v>
      </c>
      <c r="T154" s="7" t="str">
        <f t="shared" si="59"/>
        <v>2017101</v>
      </c>
      <c r="U154" s="7">
        <f t="shared" si="60"/>
        <v>1272</v>
      </c>
      <c r="V154" s="8">
        <f t="shared" si="61"/>
        <v>43009</v>
      </c>
    </row>
    <row r="155" spans="1:22">
      <c r="A155" s="3">
        <f t="shared" si="42"/>
        <v>153</v>
      </c>
      <c r="B155" t="s">
        <v>159</v>
      </c>
      <c r="C155">
        <f t="shared" si="43"/>
        <v>30</v>
      </c>
      <c r="D155" t="str">
        <f t="shared" si="44"/>
        <v xml:space="preserve">//PR:Music_SP:David2017107  $1424    </v>
      </c>
      <c r="E155">
        <f t="shared" si="45"/>
        <v>32</v>
      </c>
      <c r="F155" t="str">
        <f t="shared" si="46"/>
        <v xml:space="preserve">//PR:Music_SP:David2017107  $1424    </v>
      </c>
      <c r="G155" t="str">
        <f t="shared" si="47"/>
        <v xml:space="preserve">PR:Music_SP:David2017107  $1424    </v>
      </c>
      <c r="H155" t="str">
        <f t="shared" si="48"/>
        <v xml:space="preserve">PR:Music SP:David2017107  $1424    </v>
      </c>
      <c r="I155" t="str">
        <f t="shared" si="49"/>
        <v>PR:Music SP:David2017107 $1424</v>
      </c>
      <c r="J155">
        <f t="shared" si="50"/>
        <v>30</v>
      </c>
      <c r="K155">
        <f t="shared" si="51"/>
        <v>52</v>
      </c>
      <c r="L155" t="str">
        <f t="shared" si="52"/>
        <v>Music SP:David2017107 $1424</v>
      </c>
      <c r="M155" t="str">
        <f t="shared" si="53"/>
        <v>Music David2017107 $1424</v>
      </c>
      <c r="N155" s="1" t="str">
        <f t="shared" si="54"/>
        <v>Music David 2017107 $1424</v>
      </c>
      <c r="O155" s="9">
        <f t="shared" si="62"/>
        <v>6</v>
      </c>
      <c r="P155" s="9">
        <f t="shared" si="55"/>
        <v>12</v>
      </c>
      <c r="Q155" s="10">
        <f t="shared" si="56"/>
        <v>20</v>
      </c>
      <c r="R155" s="7" t="str">
        <f t="shared" si="57"/>
        <v>Music</v>
      </c>
      <c r="S155" s="7" t="str">
        <f t="shared" si="58"/>
        <v>David</v>
      </c>
      <c r="T155" s="7" t="str">
        <f t="shared" si="59"/>
        <v>2017107</v>
      </c>
      <c r="U155" s="7">
        <f t="shared" si="60"/>
        <v>1424</v>
      </c>
      <c r="V155" s="8">
        <f t="shared" si="61"/>
        <v>43015</v>
      </c>
    </row>
    <row r="156" spans="1:22">
      <c r="A156" s="3">
        <f t="shared" si="42"/>
        <v>154</v>
      </c>
      <c r="B156" t="s">
        <v>160</v>
      </c>
      <c r="C156">
        <f t="shared" si="43"/>
        <v>29</v>
      </c>
      <c r="D156" t="str">
        <f t="shared" si="44"/>
        <v xml:space="preserve">/////PR:Music____SP:Alice2017105 $1047     </v>
      </c>
      <c r="E156">
        <f t="shared" si="45"/>
        <v>32</v>
      </c>
      <c r="F156" t="str">
        <f t="shared" si="46"/>
        <v xml:space="preserve">/////PR:Music____SP:Alice2017105 $1047     </v>
      </c>
      <c r="G156" t="str">
        <f t="shared" si="47"/>
        <v xml:space="preserve">PR:Music____SP:Alice2017105 $1047     </v>
      </c>
      <c r="H156" t="str">
        <f t="shared" si="48"/>
        <v xml:space="preserve">PR:Music    SP:Alice2017105 $1047     </v>
      </c>
      <c r="I156" t="str">
        <f t="shared" si="49"/>
        <v>PR:Music SP:Alice2017105 $1047</v>
      </c>
      <c r="J156">
        <f t="shared" si="50"/>
        <v>30</v>
      </c>
      <c r="K156">
        <f t="shared" si="51"/>
        <v>55</v>
      </c>
      <c r="L156" t="str">
        <f t="shared" si="52"/>
        <v>Music SP:Alice2017105 $1047</v>
      </c>
      <c r="M156" t="str">
        <f t="shared" si="53"/>
        <v>Music Alice2017105 $1047</v>
      </c>
      <c r="N156" s="1" t="str">
        <f t="shared" si="54"/>
        <v>Music Alice 2017105 $1047</v>
      </c>
      <c r="O156" s="9">
        <f t="shared" si="62"/>
        <v>6</v>
      </c>
      <c r="P156" s="9">
        <f t="shared" si="55"/>
        <v>12</v>
      </c>
      <c r="Q156" s="10">
        <f t="shared" si="56"/>
        <v>20</v>
      </c>
      <c r="R156" s="7" t="str">
        <f t="shared" si="57"/>
        <v>Music</v>
      </c>
      <c r="S156" s="7" t="str">
        <f t="shared" si="58"/>
        <v>Alice</v>
      </c>
      <c r="T156" s="7" t="str">
        <f t="shared" si="59"/>
        <v>2017105</v>
      </c>
      <c r="U156" s="7">
        <f t="shared" si="60"/>
        <v>1047</v>
      </c>
      <c r="V156" s="8">
        <f t="shared" si="61"/>
        <v>43013</v>
      </c>
    </row>
    <row r="157" spans="1:22">
      <c r="A157" s="3">
        <f t="shared" si="42"/>
        <v>155</v>
      </c>
      <c r="B157" t="s">
        <v>161</v>
      </c>
      <c r="C157">
        <f t="shared" si="43"/>
        <v>29</v>
      </c>
      <c r="D157" t="str">
        <f t="shared" si="44"/>
        <v xml:space="preserve">////PR:Games_SP:Carol2017101    $1451   </v>
      </c>
      <c r="E157">
        <f t="shared" si="45"/>
        <v>32</v>
      </c>
      <c r="F157" t="str">
        <f t="shared" si="46"/>
        <v xml:space="preserve">////PR:Games_SP:Carol2017101    $1451   </v>
      </c>
      <c r="G157" t="str">
        <f t="shared" si="47"/>
        <v xml:space="preserve">PR:Games_SP:Carol2017101    $1451   </v>
      </c>
      <c r="H157" t="str">
        <f t="shared" si="48"/>
        <v xml:space="preserve">PR:Games SP:Carol2017101    $1451   </v>
      </c>
      <c r="I157" t="str">
        <f t="shared" si="49"/>
        <v>PR:Games SP:Carol2017101 $1451</v>
      </c>
      <c r="J157">
        <f t="shared" si="50"/>
        <v>30</v>
      </c>
      <c r="K157">
        <f t="shared" si="51"/>
        <v>49</v>
      </c>
      <c r="L157" t="str">
        <f t="shared" si="52"/>
        <v>Games SP:Carol2017101 $1451</v>
      </c>
      <c r="M157" t="str">
        <f t="shared" si="53"/>
        <v>Games Carol2017101 $1451</v>
      </c>
      <c r="N157" s="1" t="str">
        <f t="shared" si="54"/>
        <v>Games Carol 2017101 $1451</v>
      </c>
      <c r="O157" s="9">
        <f t="shared" si="62"/>
        <v>6</v>
      </c>
      <c r="P157" s="9">
        <f t="shared" si="55"/>
        <v>12</v>
      </c>
      <c r="Q157" s="10">
        <f t="shared" si="56"/>
        <v>20</v>
      </c>
      <c r="R157" s="7" t="str">
        <f t="shared" si="57"/>
        <v>Games</v>
      </c>
      <c r="S157" s="7" t="str">
        <f t="shared" si="58"/>
        <v>Carol</v>
      </c>
      <c r="T157" s="7" t="str">
        <f t="shared" si="59"/>
        <v>2017101</v>
      </c>
      <c r="U157" s="7">
        <f t="shared" si="60"/>
        <v>1451</v>
      </c>
      <c r="V157" s="8">
        <f t="shared" si="61"/>
        <v>43009</v>
      </c>
    </row>
    <row r="158" spans="1:22">
      <c r="A158" s="3">
        <f t="shared" si="42"/>
        <v>156</v>
      </c>
      <c r="B158" t="s">
        <v>162</v>
      </c>
      <c r="C158">
        <f t="shared" si="43"/>
        <v>28</v>
      </c>
      <c r="D158" t="str">
        <f t="shared" si="44"/>
        <v xml:space="preserve">/////PR:Clothing___SP:Barney20171010    $667   </v>
      </c>
      <c r="E158">
        <f t="shared" si="45"/>
        <v>32</v>
      </c>
      <c r="F158" t="str">
        <f t="shared" si="46"/>
        <v xml:space="preserve">/////PR:Clothing___SP:Barney20171010    $667   </v>
      </c>
      <c r="G158" t="str">
        <f t="shared" si="47"/>
        <v xml:space="preserve">PR:Clothing___SP:Barney20171010    $667   </v>
      </c>
      <c r="H158" t="str">
        <f t="shared" si="48"/>
        <v xml:space="preserve">PR:Clothing   SP:Barney20171010    $667   </v>
      </c>
      <c r="I158" t="str">
        <f t="shared" si="49"/>
        <v>PR:Clothing SP:Barney20171010 $667</v>
      </c>
      <c r="J158">
        <f t="shared" si="50"/>
        <v>34</v>
      </c>
      <c r="K158">
        <f t="shared" si="51"/>
        <v>55</v>
      </c>
      <c r="L158" t="str">
        <f t="shared" si="52"/>
        <v>Clothing SP:Barney20171010 $667</v>
      </c>
      <c r="M158" t="str">
        <f t="shared" si="53"/>
        <v>Clothing Barney20171010 $667</v>
      </c>
      <c r="N158" s="1" t="str">
        <f t="shared" si="54"/>
        <v>Clothing Barney 20171010 $667</v>
      </c>
      <c r="O158" s="9">
        <f t="shared" si="62"/>
        <v>9</v>
      </c>
      <c r="P158" s="9">
        <f t="shared" si="55"/>
        <v>16</v>
      </c>
      <c r="Q158" s="10">
        <f t="shared" si="56"/>
        <v>25</v>
      </c>
      <c r="R158" s="7" t="str">
        <f t="shared" si="57"/>
        <v>Clothing</v>
      </c>
      <c r="S158" s="7" t="str">
        <f t="shared" si="58"/>
        <v>Barney</v>
      </c>
      <c r="T158" s="7" t="str">
        <f t="shared" si="59"/>
        <v>20171010</v>
      </c>
      <c r="U158" s="7">
        <f t="shared" si="60"/>
        <v>667</v>
      </c>
      <c r="V158" s="8">
        <f t="shared" si="61"/>
        <v>43018</v>
      </c>
    </row>
    <row r="159" spans="1:22">
      <c r="A159" s="3">
        <f t="shared" si="42"/>
        <v>157</v>
      </c>
      <c r="B159" t="s">
        <v>163</v>
      </c>
      <c r="C159">
        <f t="shared" si="43"/>
        <v>29</v>
      </c>
      <c r="D159" t="str">
        <f t="shared" si="44"/>
        <v xml:space="preserve">///PR:Books_____SP:Carol2017101     $670    </v>
      </c>
      <c r="E159">
        <f t="shared" si="45"/>
        <v>32</v>
      </c>
      <c r="F159" t="str">
        <f t="shared" si="46"/>
        <v xml:space="preserve">///PR:Books_____SP:Carol2017101     $670    </v>
      </c>
      <c r="G159" t="str">
        <f t="shared" si="47"/>
        <v xml:space="preserve">PR:Books_____SP:Carol2017101     $670    </v>
      </c>
      <c r="H159" t="str">
        <f t="shared" si="48"/>
        <v xml:space="preserve">PR:Books     SP:Carol2017101     $670    </v>
      </c>
      <c r="I159" t="str">
        <f t="shared" si="49"/>
        <v>PR:Books SP:Carol2017101 $670</v>
      </c>
      <c r="J159">
        <f t="shared" si="50"/>
        <v>29</v>
      </c>
      <c r="K159">
        <f t="shared" si="51"/>
        <v>48</v>
      </c>
      <c r="L159" t="str">
        <f t="shared" si="52"/>
        <v>Books SP:Carol2017101 $670</v>
      </c>
      <c r="M159" t="str">
        <f t="shared" si="53"/>
        <v>Books Carol2017101 $670</v>
      </c>
      <c r="N159" s="1" t="str">
        <f t="shared" si="54"/>
        <v>Books Carol 2017101 $670</v>
      </c>
      <c r="O159" s="9">
        <f t="shared" si="62"/>
        <v>6</v>
      </c>
      <c r="P159" s="9">
        <f t="shared" si="55"/>
        <v>12</v>
      </c>
      <c r="Q159" s="10">
        <f t="shared" si="56"/>
        <v>20</v>
      </c>
      <c r="R159" s="7" t="str">
        <f t="shared" si="57"/>
        <v>Books</v>
      </c>
      <c r="S159" s="7" t="str">
        <f t="shared" si="58"/>
        <v>Carol</v>
      </c>
      <c r="T159" s="7" t="str">
        <f t="shared" si="59"/>
        <v>2017101</v>
      </c>
      <c r="U159" s="7">
        <f t="shared" si="60"/>
        <v>670</v>
      </c>
      <c r="V159" s="8">
        <f t="shared" si="61"/>
        <v>43009</v>
      </c>
    </row>
    <row r="160" spans="1:22">
      <c r="A160" s="3">
        <f t="shared" si="42"/>
        <v>158</v>
      </c>
      <c r="B160" t="s">
        <v>164</v>
      </c>
      <c r="C160">
        <f t="shared" si="43"/>
        <v>31</v>
      </c>
      <c r="D160" t="str">
        <f t="shared" si="44"/>
        <v xml:space="preserve">//PR:Books____SP:David2017104  $729   </v>
      </c>
      <c r="E160">
        <f t="shared" si="45"/>
        <v>32</v>
      </c>
      <c r="F160" t="str">
        <f t="shared" si="46"/>
        <v xml:space="preserve">//PR:Books____SP:David2017104  $729   </v>
      </c>
      <c r="G160" t="str">
        <f t="shared" si="47"/>
        <v xml:space="preserve">PR:Books____SP:David2017104  $729   </v>
      </c>
      <c r="H160" t="str">
        <f t="shared" si="48"/>
        <v xml:space="preserve">PR:Books    SP:David2017104  $729   </v>
      </c>
      <c r="I160" t="str">
        <f t="shared" si="49"/>
        <v>PR:Books SP:David2017104 $729</v>
      </c>
      <c r="J160">
        <f t="shared" si="50"/>
        <v>29</v>
      </c>
      <c r="K160">
        <f t="shared" si="51"/>
        <v>57</v>
      </c>
      <c r="L160" t="str">
        <f t="shared" si="52"/>
        <v>Books SP:David2017104 $729</v>
      </c>
      <c r="M160" t="str">
        <f t="shared" si="53"/>
        <v>Books David2017104 $729</v>
      </c>
      <c r="N160" s="1" t="str">
        <f t="shared" si="54"/>
        <v>Books David 2017104 $729</v>
      </c>
      <c r="O160" s="9">
        <f t="shared" si="62"/>
        <v>6</v>
      </c>
      <c r="P160" s="9">
        <f t="shared" si="55"/>
        <v>12</v>
      </c>
      <c r="Q160" s="10">
        <f t="shared" si="56"/>
        <v>20</v>
      </c>
      <c r="R160" s="7" t="str">
        <f t="shared" si="57"/>
        <v>Books</v>
      </c>
      <c r="S160" s="7" t="str">
        <f t="shared" si="58"/>
        <v>David</v>
      </c>
      <c r="T160" s="7" t="str">
        <f t="shared" si="59"/>
        <v>2017104</v>
      </c>
      <c r="U160" s="7">
        <f t="shared" si="60"/>
        <v>729</v>
      </c>
      <c r="V160" s="8">
        <f t="shared" si="61"/>
        <v>43012</v>
      </c>
    </row>
    <row r="161" spans="1:22">
      <c r="A161" s="3">
        <f t="shared" si="42"/>
        <v>159</v>
      </c>
      <c r="B161" t="s">
        <v>165</v>
      </c>
      <c r="C161">
        <f t="shared" si="43"/>
        <v>31</v>
      </c>
      <c r="D161" t="str">
        <f t="shared" si="44"/>
        <v xml:space="preserve">/////PR:Clothing_____SP:Carol20171021  $1864     </v>
      </c>
      <c r="E161">
        <f t="shared" si="45"/>
        <v>32</v>
      </c>
      <c r="F161" t="str">
        <f t="shared" si="46"/>
        <v xml:space="preserve">/////PR:Clothing_____SP:Carol20171021  $1864     </v>
      </c>
      <c r="G161" t="str">
        <f t="shared" si="47"/>
        <v xml:space="preserve">PR:Clothing_____SP:Carol20171021  $1864     </v>
      </c>
      <c r="H161" t="str">
        <f t="shared" si="48"/>
        <v xml:space="preserve">PR:Clothing     SP:Carol20171021  $1864     </v>
      </c>
      <c r="I161" t="str">
        <f t="shared" si="49"/>
        <v>PR:Clothing SP:Carol20171021 $1864</v>
      </c>
      <c r="J161">
        <f t="shared" si="50"/>
        <v>34</v>
      </c>
      <c r="K161">
        <f t="shared" si="51"/>
        <v>52</v>
      </c>
      <c r="L161" t="str">
        <f t="shared" si="52"/>
        <v>Clothing SP:Carol20171021 $1864</v>
      </c>
      <c r="M161" t="str">
        <f t="shared" si="53"/>
        <v>Clothing Carol20171021 $1864</v>
      </c>
      <c r="N161" s="1" t="str">
        <f t="shared" si="54"/>
        <v>Clothing Carol 20171021 $1864</v>
      </c>
      <c r="O161" s="9">
        <f t="shared" si="62"/>
        <v>9</v>
      </c>
      <c r="P161" s="9">
        <f t="shared" si="55"/>
        <v>15</v>
      </c>
      <c r="Q161" s="10">
        <f t="shared" si="56"/>
        <v>24</v>
      </c>
      <c r="R161" s="7" t="str">
        <f t="shared" si="57"/>
        <v>Clothing</v>
      </c>
      <c r="S161" s="7" t="str">
        <f t="shared" si="58"/>
        <v>Carol</v>
      </c>
      <c r="T161" s="7" t="str">
        <f t="shared" si="59"/>
        <v>20171021</v>
      </c>
      <c r="U161" s="7">
        <f t="shared" si="60"/>
        <v>1864</v>
      </c>
      <c r="V161" s="8">
        <f t="shared" si="61"/>
        <v>43029</v>
      </c>
    </row>
    <row r="162" spans="1:22">
      <c r="A162" s="3">
        <f t="shared" si="42"/>
        <v>160</v>
      </c>
      <c r="B162" t="s">
        <v>166</v>
      </c>
      <c r="C162">
        <f t="shared" si="43"/>
        <v>30</v>
      </c>
      <c r="D162" t="str">
        <f t="shared" si="44"/>
        <v xml:space="preserve">////PR:Books__SP:Carol20171013    $0   </v>
      </c>
      <c r="E162">
        <f t="shared" si="45"/>
        <v>32</v>
      </c>
      <c r="F162" t="str">
        <f t="shared" si="46"/>
        <v xml:space="preserve">////PR:Books__SP:Carol20171013    $0   </v>
      </c>
      <c r="G162" t="str">
        <f t="shared" si="47"/>
        <v xml:space="preserve">PR:Books__SP:Carol20171013    $0   </v>
      </c>
      <c r="H162" t="str">
        <f t="shared" si="48"/>
        <v xml:space="preserve">PR:Books  SP:Carol20171013    $0   </v>
      </c>
      <c r="I162" t="str">
        <f t="shared" si="49"/>
        <v>PR:Books SP:Carol20171013 $0</v>
      </c>
      <c r="J162">
        <f t="shared" si="50"/>
        <v>28</v>
      </c>
      <c r="K162">
        <f t="shared" si="51"/>
        <v>48</v>
      </c>
      <c r="L162" t="str">
        <f t="shared" si="52"/>
        <v>Books SP:Carol20171013 $0</v>
      </c>
      <c r="M162" t="str">
        <f t="shared" si="53"/>
        <v>Books Carol20171013 $0</v>
      </c>
      <c r="N162" s="1" t="str">
        <f t="shared" si="54"/>
        <v>Books Carol 20171013 $0</v>
      </c>
      <c r="O162" s="9">
        <f t="shared" si="62"/>
        <v>6</v>
      </c>
      <c r="P162" s="9">
        <f t="shared" si="55"/>
        <v>12</v>
      </c>
      <c r="Q162" s="10">
        <f t="shared" si="56"/>
        <v>21</v>
      </c>
      <c r="R162" s="7" t="str">
        <f t="shared" si="57"/>
        <v>Books</v>
      </c>
      <c r="S162" s="7" t="str">
        <f t="shared" si="58"/>
        <v>Carol</v>
      </c>
      <c r="T162" s="7" t="str">
        <f t="shared" si="59"/>
        <v>20171013</v>
      </c>
      <c r="U162" s="7">
        <f t="shared" si="60"/>
        <v>0</v>
      </c>
      <c r="V162" s="8">
        <f t="shared" si="61"/>
        <v>43021</v>
      </c>
    </row>
    <row r="163" spans="1:22">
      <c r="A163" s="3">
        <f t="shared" si="42"/>
        <v>161</v>
      </c>
      <c r="B163" t="s">
        <v>167</v>
      </c>
      <c r="C163">
        <f t="shared" si="43"/>
        <v>31</v>
      </c>
      <c r="D163" t="str">
        <f t="shared" si="44"/>
        <v xml:space="preserve">//PR:Clothing_____SP:Carol20171019  $0  </v>
      </c>
      <c r="E163">
        <f t="shared" si="45"/>
        <v>32</v>
      </c>
      <c r="F163" t="str">
        <f t="shared" si="46"/>
        <v xml:space="preserve">//PR:Clothing_____SP:Carol20171019  $0  </v>
      </c>
      <c r="G163" t="str">
        <f t="shared" si="47"/>
        <v xml:space="preserve">PR:Clothing_____SP:Carol20171019  $0  </v>
      </c>
      <c r="H163" t="str">
        <f t="shared" si="48"/>
        <v xml:space="preserve">PR:Clothing     SP:Carol20171019  $0  </v>
      </c>
      <c r="I163" t="str">
        <f t="shared" si="49"/>
        <v>PR:Clothing SP:Carol20171019 $0</v>
      </c>
      <c r="J163">
        <f t="shared" si="50"/>
        <v>31</v>
      </c>
      <c r="K163">
        <f t="shared" si="51"/>
        <v>48</v>
      </c>
      <c r="L163" t="str">
        <f t="shared" si="52"/>
        <v>Clothing SP:Carol20171019 $0</v>
      </c>
      <c r="M163" t="str">
        <f t="shared" si="53"/>
        <v>Clothing Carol20171019 $0</v>
      </c>
      <c r="N163" s="1" t="str">
        <f t="shared" si="54"/>
        <v>Clothing Carol 20171019 $0</v>
      </c>
      <c r="O163" s="9">
        <f t="shared" si="62"/>
        <v>9</v>
      </c>
      <c r="P163" s="9">
        <f t="shared" si="55"/>
        <v>15</v>
      </c>
      <c r="Q163" s="10">
        <f t="shared" si="56"/>
        <v>24</v>
      </c>
      <c r="R163" s="7" t="str">
        <f t="shared" si="57"/>
        <v>Clothing</v>
      </c>
      <c r="S163" s="7" t="str">
        <f t="shared" si="58"/>
        <v>Carol</v>
      </c>
      <c r="T163" s="7" t="str">
        <f t="shared" si="59"/>
        <v>20171019</v>
      </c>
      <c r="U163" s="7">
        <f t="shared" si="60"/>
        <v>0</v>
      </c>
      <c r="V163" s="8">
        <f t="shared" si="61"/>
        <v>43027</v>
      </c>
    </row>
    <row r="164" spans="1:22">
      <c r="A164" s="3">
        <f t="shared" si="42"/>
        <v>162</v>
      </c>
      <c r="B164" t="s">
        <v>168</v>
      </c>
      <c r="C164">
        <f t="shared" si="43"/>
        <v>31</v>
      </c>
      <c r="D164" t="str">
        <f t="shared" si="44"/>
        <v xml:space="preserve">/PR:Clothing____SP:David20171028   $850     </v>
      </c>
      <c r="E164">
        <f t="shared" si="45"/>
        <v>32</v>
      </c>
      <c r="F164" t="str">
        <f t="shared" si="46"/>
        <v xml:space="preserve">/PR:Clothing____SP:David20171028   $850     </v>
      </c>
      <c r="G164" t="str">
        <f t="shared" si="47"/>
        <v xml:space="preserve">PR:Clothing____SP:David20171028   $850     </v>
      </c>
      <c r="H164" t="str">
        <f t="shared" si="48"/>
        <v xml:space="preserve">PR:Clothing    SP:David20171028   $850     </v>
      </c>
      <c r="I164" t="str">
        <f t="shared" si="49"/>
        <v>PR:Clothing SP:David20171028 $850</v>
      </c>
      <c r="J164">
        <f t="shared" si="50"/>
        <v>33</v>
      </c>
      <c r="K164">
        <f t="shared" si="51"/>
        <v>48</v>
      </c>
      <c r="L164" t="str">
        <f t="shared" si="52"/>
        <v>Clothing SP:David20171028 $850</v>
      </c>
      <c r="M164" t="str">
        <f t="shared" si="53"/>
        <v>Clothing David20171028 $850</v>
      </c>
      <c r="N164" s="1" t="str">
        <f t="shared" si="54"/>
        <v>Clothing David 20171028 $850</v>
      </c>
      <c r="O164" s="9">
        <f t="shared" si="62"/>
        <v>9</v>
      </c>
      <c r="P164" s="9">
        <f t="shared" si="55"/>
        <v>15</v>
      </c>
      <c r="Q164" s="10">
        <f t="shared" si="56"/>
        <v>24</v>
      </c>
      <c r="R164" s="7" t="str">
        <f t="shared" si="57"/>
        <v>Clothing</v>
      </c>
      <c r="S164" s="7" t="str">
        <f t="shared" si="58"/>
        <v>David</v>
      </c>
      <c r="T164" s="7" t="str">
        <f t="shared" si="59"/>
        <v>20171028</v>
      </c>
      <c r="U164" s="7">
        <f t="shared" si="60"/>
        <v>850</v>
      </c>
      <c r="V164" s="8">
        <f t="shared" si="61"/>
        <v>43036</v>
      </c>
    </row>
    <row r="165" spans="1:22">
      <c r="A165" s="3">
        <f t="shared" si="42"/>
        <v>163</v>
      </c>
      <c r="B165" t="s">
        <v>169</v>
      </c>
      <c r="C165">
        <f t="shared" si="43"/>
        <v>31</v>
      </c>
      <c r="D165" t="str">
        <f t="shared" si="44"/>
        <v xml:space="preserve">/PR:Games__SP:Carol20171015     $1500    </v>
      </c>
      <c r="E165">
        <f t="shared" si="45"/>
        <v>32</v>
      </c>
      <c r="F165" t="str">
        <f t="shared" si="46"/>
        <v xml:space="preserve">/PR:Games__SP:Carol20171015     $1500    </v>
      </c>
      <c r="G165" t="str">
        <f t="shared" si="47"/>
        <v xml:space="preserve">PR:Games__SP:Carol20171015     $1500    </v>
      </c>
      <c r="H165" t="str">
        <f t="shared" si="48"/>
        <v xml:space="preserve">PR:Games  SP:Carol20171015     $1500    </v>
      </c>
      <c r="I165" t="str">
        <f t="shared" si="49"/>
        <v>PR:Games SP:Carol20171015 $1500</v>
      </c>
      <c r="J165">
        <f t="shared" si="50"/>
        <v>31</v>
      </c>
      <c r="K165">
        <f t="shared" si="51"/>
        <v>48</v>
      </c>
      <c r="L165" t="str">
        <f t="shared" si="52"/>
        <v>Games SP:Carol20171015 $1500</v>
      </c>
      <c r="M165" t="str">
        <f t="shared" si="53"/>
        <v>Games Carol20171015 $1500</v>
      </c>
      <c r="N165" s="1" t="str">
        <f t="shared" si="54"/>
        <v>Games Carol 20171015 $1500</v>
      </c>
      <c r="O165" s="9">
        <f t="shared" si="62"/>
        <v>6</v>
      </c>
      <c r="P165" s="9">
        <f t="shared" si="55"/>
        <v>12</v>
      </c>
      <c r="Q165" s="10">
        <f t="shared" si="56"/>
        <v>21</v>
      </c>
      <c r="R165" s="7" t="str">
        <f t="shared" si="57"/>
        <v>Games</v>
      </c>
      <c r="S165" s="7" t="str">
        <f t="shared" si="58"/>
        <v>Carol</v>
      </c>
      <c r="T165" s="7" t="str">
        <f t="shared" si="59"/>
        <v>20171015</v>
      </c>
      <c r="U165" s="7">
        <f t="shared" si="60"/>
        <v>1500</v>
      </c>
      <c r="V165" s="8">
        <f t="shared" si="61"/>
        <v>43023</v>
      </c>
    </row>
    <row r="166" spans="1:22">
      <c r="A166" s="3">
        <f t="shared" si="42"/>
        <v>164</v>
      </c>
      <c r="B166" t="s">
        <v>170</v>
      </c>
      <c r="C166">
        <f t="shared" si="43"/>
        <v>28</v>
      </c>
      <c r="D166" t="str">
        <f t="shared" si="44"/>
        <v xml:space="preserve">//PR:Music_SP:Carol20171011    $0 </v>
      </c>
      <c r="E166">
        <f t="shared" si="45"/>
        <v>32</v>
      </c>
      <c r="F166" t="str">
        <f t="shared" si="46"/>
        <v xml:space="preserve">//PR:Music_SP:Carol20171011    $0 </v>
      </c>
      <c r="G166" t="str">
        <f t="shared" si="47"/>
        <v xml:space="preserve">PR:Music_SP:Carol20171011    $0 </v>
      </c>
      <c r="H166" t="str">
        <f t="shared" si="48"/>
        <v xml:space="preserve">PR:Music SP:Carol20171011    $0 </v>
      </c>
      <c r="I166" t="str">
        <f t="shared" si="49"/>
        <v>PR:Music SP:Carol20171011 $0</v>
      </c>
      <c r="J166">
        <f t="shared" si="50"/>
        <v>28</v>
      </c>
      <c r="K166">
        <f t="shared" si="51"/>
        <v>48</v>
      </c>
      <c r="L166" t="str">
        <f t="shared" si="52"/>
        <v>Music SP:Carol20171011 $0</v>
      </c>
      <c r="M166" t="str">
        <f t="shared" si="53"/>
        <v>Music Carol20171011 $0</v>
      </c>
      <c r="N166" s="1" t="str">
        <f t="shared" si="54"/>
        <v>Music Carol 20171011 $0</v>
      </c>
      <c r="O166" s="9">
        <f t="shared" si="62"/>
        <v>6</v>
      </c>
      <c r="P166" s="9">
        <f t="shared" si="55"/>
        <v>12</v>
      </c>
      <c r="Q166" s="10">
        <f t="shared" si="56"/>
        <v>21</v>
      </c>
      <c r="R166" s="7" t="str">
        <f t="shared" si="57"/>
        <v>Music</v>
      </c>
      <c r="S166" s="7" t="str">
        <f t="shared" si="58"/>
        <v>Carol</v>
      </c>
      <c r="T166" s="7" t="str">
        <f t="shared" si="59"/>
        <v>20171011</v>
      </c>
      <c r="U166" s="7">
        <f t="shared" si="60"/>
        <v>0</v>
      </c>
      <c r="V166" s="8">
        <f t="shared" si="61"/>
        <v>43019</v>
      </c>
    </row>
    <row r="167" spans="1:22">
      <c r="A167" s="3">
        <f t="shared" si="42"/>
        <v>165</v>
      </c>
      <c r="B167" t="s">
        <v>171</v>
      </c>
      <c r="C167">
        <f t="shared" si="43"/>
        <v>30</v>
      </c>
      <c r="D167" t="str">
        <f t="shared" si="44"/>
        <v xml:space="preserve">/PR:Music___SP:Barney2017104   $1242    </v>
      </c>
      <c r="E167">
        <f t="shared" si="45"/>
        <v>32</v>
      </c>
      <c r="F167" t="str">
        <f t="shared" si="46"/>
        <v xml:space="preserve">/PR:Music___SP:Barney2017104   $1242    </v>
      </c>
      <c r="G167" t="str">
        <f t="shared" si="47"/>
        <v xml:space="preserve">PR:Music___SP:Barney2017104   $1242    </v>
      </c>
      <c r="H167" t="str">
        <f t="shared" si="48"/>
        <v xml:space="preserve">PR:Music   SP:Barney2017104   $1242    </v>
      </c>
      <c r="I167" t="str">
        <f t="shared" si="49"/>
        <v>PR:Music SP:Barney2017104 $1242</v>
      </c>
      <c r="J167">
        <f t="shared" si="50"/>
        <v>31</v>
      </c>
      <c r="K167">
        <f t="shared" si="51"/>
        <v>50</v>
      </c>
      <c r="L167" t="str">
        <f t="shared" si="52"/>
        <v>Music SP:Barney2017104 $1242</v>
      </c>
      <c r="M167" t="str">
        <f t="shared" si="53"/>
        <v>Music Barney2017104 $1242</v>
      </c>
      <c r="N167" s="1" t="str">
        <f t="shared" si="54"/>
        <v>Music Barney 2017104 $1242</v>
      </c>
      <c r="O167" s="9">
        <f t="shared" si="62"/>
        <v>6</v>
      </c>
      <c r="P167" s="9">
        <f t="shared" si="55"/>
        <v>13</v>
      </c>
      <c r="Q167" s="10">
        <f t="shared" si="56"/>
        <v>21</v>
      </c>
      <c r="R167" s="7" t="str">
        <f t="shared" si="57"/>
        <v>Music</v>
      </c>
      <c r="S167" s="7" t="str">
        <f t="shared" si="58"/>
        <v>Barney</v>
      </c>
      <c r="T167" s="7" t="str">
        <f t="shared" si="59"/>
        <v>2017104</v>
      </c>
      <c r="U167" s="7">
        <f t="shared" si="60"/>
        <v>1242</v>
      </c>
      <c r="V167" s="8">
        <f t="shared" si="61"/>
        <v>43012</v>
      </c>
    </row>
    <row r="168" spans="1:22">
      <c r="A168" s="3">
        <f t="shared" si="42"/>
        <v>166</v>
      </c>
      <c r="B168" t="s">
        <v>172</v>
      </c>
      <c r="C168">
        <f t="shared" si="43"/>
        <v>30</v>
      </c>
      <c r="D168" t="str">
        <f t="shared" si="44"/>
        <v xml:space="preserve">////PR:Music___SP:Carol20171024 $0   </v>
      </c>
      <c r="E168">
        <f t="shared" si="45"/>
        <v>32</v>
      </c>
      <c r="F168" t="str">
        <f t="shared" si="46"/>
        <v xml:space="preserve">////PR:Music___SP:Carol20171024 $0   </v>
      </c>
      <c r="G168" t="str">
        <f t="shared" si="47"/>
        <v xml:space="preserve">PR:Music___SP:Carol20171024 $0   </v>
      </c>
      <c r="H168" t="str">
        <f t="shared" si="48"/>
        <v xml:space="preserve">PR:Music   SP:Carol20171024 $0   </v>
      </c>
      <c r="I168" t="str">
        <f t="shared" si="49"/>
        <v>PR:Music SP:Carol20171024 $0</v>
      </c>
      <c r="J168">
        <f t="shared" si="50"/>
        <v>28</v>
      </c>
      <c r="K168">
        <f t="shared" si="51"/>
        <v>48</v>
      </c>
      <c r="L168" t="str">
        <f t="shared" si="52"/>
        <v>Music SP:Carol20171024 $0</v>
      </c>
      <c r="M168" t="str">
        <f t="shared" si="53"/>
        <v>Music Carol20171024 $0</v>
      </c>
      <c r="N168" s="1" t="str">
        <f t="shared" si="54"/>
        <v>Music Carol 20171024 $0</v>
      </c>
      <c r="O168" s="9">
        <f t="shared" si="62"/>
        <v>6</v>
      </c>
      <c r="P168" s="9">
        <f t="shared" si="55"/>
        <v>12</v>
      </c>
      <c r="Q168" s="10">
        <f t="shared" si="56"/>
        <v>21</v>
      </c>
      <c r="R168" s="7" t="str">
        <f t="shared" si="57"/>
        <v>Music</v>
      </c>
      <c r="S168" s="7" t="str">
        <f t="shared" si="58"/>
        <v>Carol</v>
      </c>
      <c r="T168" s="7" t="str">
        <f t="shared" si="59"/>
        <v>20171024</v>
      </c>
      <c r="U168" s="7">
        <f t="shared" si="60"/>
        <v>0</v>
      </c>
      <c r="V168" s="8">
        <f t="shared" si="61"/>
        <v>43032</v>
      </c>
    </row>
    <row r="169" spans="1:22">
      <c r="A169" s="3">
        <f t="shared" si="42"/>
        <v>167</v>
      </c>
      <c r="B169" t="s">
        <v>173</v>
      </c>
      <c r="C169">
        <f t="shared" si="43"/>
        <v>31</v>
      </c>
      <c r="D169" t="str">
        <f t="shared" si="44"/>
        <v xml:space="preserve">/////PR:Books___SP:David20171023  $804     </v>
      </c>
      <c r="E169">
        <f t="shared" si="45"/>
        <v>32</v>
      </c>
      <c r="F169" t="str">
        <f t="shared" si="46"/>
        <v xml:space="preserve">/////PR:Books___SP:David20171023  $804     </v>
      </c>
      <c r="G169" t="str">
        <f t="shared" si="47"/>
        <v xml:space="preserve">PR:Books___SP:David20171023  $804     </v>
      </c>
      <c r="H169" t="str">
        <f t="shared" si="48"/>
        <v xml:space="preserve">PR:Books   SP:David20171023  $804     </v>
      </c>
      <c r="I169" t="str">
        <f t="shared" si="49"/>
        <v>PR:Books SP:David20171023 $804</v>
      </c>
      <c r="J169">
        <f t="shared" si="50"/>
        <v>30</v>
      </c>
      <c r="K169">
        <f t="shared" si="51"/>
        <v>52</v>
      </c>
      <c r="L169" t="str">
        <f t="shared" si="52"/>
        <v>Books SP:David20171023 $804</v>
      </c>
      <c r="M169" t="str">
        <f t="shared" si="53"/>
        <v>Books David20171023 $804</v>
      </c>
      <c r="N169" s="1" t="str">
        <f t="shared" si="54"/>
        <v>Books David 20171023 $804</v>
      </c>
      <c r="O169" s="9">
        <f t="shared" si="62"/>
        <v>6</v>
      </c>
      <c r="P169" s="9">
        <f t="shared" si="55"/>
        <v>12</v>
      </c>
      <c r="Q169" s="10">
        <f t="shared" si="56"/>
        <v>21</v>
      </c>
      <c r="R169" s="7" t="str">
        <f t="shared" si="57"/>
        <v>Books</v>
      </c>
      <c r="S169" s="7" t="str">
        <f t="shared" si="58"/>
        <v>David</v>
      </c>
      <c r="T169" s="7" t="str">
        <f t="shared" si="59"/>
        <v>20171023</v>
      </c>
      <c r="U169" s="7">
        <f t="shared" si="60"/>
        <v>804</v>
      </c>
      <c r="V169" s="8">
        <f t="shared" si="61"/>
        <v>43031</v>
      </c>
    </row>
    <row r="170" spans="1:22">
      <c r="A170" s="3">
        <f t="shared" si="42"/>
        <v>168</v>
      </c>
      <c r="B170" t="s">
        <v>174</v>
      </c>
      <c r="C170">
        <f t="shared" si="43"/>
        <v>28</v>
      </c>
      <c r="D170" t="str">
        <f t="shared" si="44"/>
        <v xml:space="preserve">/PR:Clothing_____SP:Barney20171018     $615    </v>
      </c>
      <c r="E170">
        <f t="shared" si="45"/>
        <v>32</v>
      </c>
      <c r="F170" t="str">
        <f t="shared" si="46"/>
        <v xml:space="preserve">/PR:Clothing_____SP:Barney20171018     $615    </v>
      </c>
      <c r="G170" t="str">
        <f t="shared" si="47"/>
        <v xml:space="preserve">PR:Clothing_____SP:Barney20171018     $615    </v>
      </c>
      <c r="H170" t="str">
        <f t="shared" si="48"/>
        <v xml:space="preserve">PR:Clothing     SP:Barney20171018     $615    </v>
      </c>
      <c r="I170" t="str">
        <f t="shared" si="49"/>
        <v>PR:Clothing SP:Barney20171018 $615</v>
      </c>
      <c r="J170">
        <f t="shared" si="50"/>
        <v>34</v>
      </c>
      <c r="K170">
        <f t="shared" si="51"/>
        <v>53</v>
      </c>
      <c r="L170" t="str">
        <f t="shared" si="52"/>
        <v>Clothing SP:Barney20171018 $615</v>
      </c>
      <c r="M170" t="str">
        <f t="shared" si="53"/>
        <v>Clothing Barney20171018 $615</v>
      </c>
      <c r="N170" s="1" t="str">
        <f t="shared" si="54"/>
        <v>Clothing Barney 20171018 $615</v>
      </c>
      <c r="O170" s="9">
        <f t="shared" si="62"/>
        <v>9</v>
      </c>
      <c r="P170" s="9">
        <f t="shared" si="55"/>
        <v>16</v>
      </c>
      <c r="Q170" s="10">
        <f t="shared" si="56"/>
        <v>25</v>
      </c>
      <c r="R170" s="7" t="str">
        <f t="shared" si="57"/>
        <v>Clothing</v>
      </c>
      <c r="S170" s="7" t="str">
        <f t="shared" si="58"/>
        <v>Barney</v>
      </c>
      <c r="T170" s="7" t="str">
        <f t="shared" si="59"/>
        <v>20171018</v>
      </c>
      <c r="U170" s="7">
        <f t="shared" si="60"/>
        <v>615</v>
      </c>
      <c r="V170" s="8">
        <f t="shared" si="61"/>
        <v>43026</v>
      </c>
    </row>
    <row r="171" spans="1:22">
      <c r="A171" s="3">
        <f t="shared" si="42"/>
        <v>169</v>
      </c>
      <c r="B171" t="s">
        <v>175</v>
      </c>
      <c r="C171">
        <f t="shared" si="43"/>
        <v>31</v>
      </c>
      <c r="D171" t="str">
        <f t="shared" si="44"/>
        <v xml:space="preserve">//PR:Books___SP:Barney2017106 $0   </v>
      </c>
      <c r="E171">
        <f t="shared" si="45"/>
        <v>32</v>
      </c>
      <c r="F171" t="str">
        <f t="shared" si="46"/>
        <v xml:space="preserve">//PR:Books___SP:Barney2017106 $0   </v>
      </c>
      <c r="G171" t="str">
        <f t="shared" si="47"/>
        <v xml:space="preserve">PR:Books___SP:Barney2017106 $0   </v>
      </c>
      <c r="H171" t="str">
        <f t="shared" si="48"/>
        <v xml:space="preserve">PR:Books   SP:Barney2017106 $0   </v>
      </c>
      <c r="I171" t="str">
        <f t="shared" si="49"/>
        <v>PR:Books SP:Barney2017106 $0</v>
      </c>
      <c r="J171">
        <f t="shared" si="50"/>
        <v>28</v>
      </c>
      <c r="K171">
        <f t="shared" si="51"/>
        <v>48</v>
      </c>
      <c r="L171" t="str">
        <f t="shared" si="52"/>
        <v>Books SP:Barney2017106 $0</v>
      </c>
      <c r="M171" t="str">
        <f t="shared" si="53"/>
        <v>Books Barney2017106 $0</v>
      </c>
      <c r="N171" s="1" t="str">
        <f t="shared" si="54"/>
        <v>Books Barney 2017106 $0</v>
      </c>
      <c r="O171" s="9">
        <f t="shared" si="62"/>
        <v>6</v>
      </c>
      <c r="P171" s="9">
        <f t="shared" si="55"/>
        <v>13</v>
      </c>
      <c r="Q171" s="10">
        <f t="shared" si="56"/>
        <v>21</v>
      </c>
      <c r="R171" s="7" t="str">
        <f t="shared" si="57"/>
        <v>Books</v>
      </c>
      <c r="S171" s="7" t="str">
        <f t="shared" si="58"/>
        <v>Barney</v>
      </c>
      <c r="T171" s="7" t="str">
        <f t="shared" si="59"/>
        <v>2017106</v>
      </c>
      <c r="U171" s="7">
        <f t="shared" si="60"/>
        <v>0</v>
      </c>
      <c r="V171" s="8">
        <f t="shared" si="61"/>
        <v>43014</v>
      </c>
    </row>
    <row r="172" spans="1:22">
      <c r="A172" s="3">
        <f t="shared" si="42"/>
        <v>170</v>
      </c>
      <c r="B172" t="s">
        <v>176</v>
      </c>
      <c r="C172">
        <f t="shared" si="43"/>
        <v>31</v>
      </c>
      <c r="D172" t="str">
        <f t="shared" si="44"/>
        <v xml:space="preserve">///PR:Games___SP:Carol20171016  $1900  </v>
      </c>
      <c r="E172">
        <f t="shared" si="45"/>
        <v>32</v>
      </c>
      <c r="F172" t="str">
        <f t="shared" si="46"/>
        <v xml:space="preserve">///PR:Games___SP:Carol20171016  $1900  </v>
      </c>
      <c r="G172" t="str">
        <f t="shared" si="47"/>
        <v xml:space="preserve">PR:Games___SP:Carol20171016  $1900  </v>
      </c>
      <c r="H172" t="str">
        <f t="shared" si="48"/>
        <v xml:space="preserve">PR:Games   SP:Carol20171016  $1900  </v>
      </c>
      <c r="I172" t="str">
        <f t="shared" si="49"/>
        <v>PR:Games SP:Carol20171016 $1900</v>
      </c>
      <c r="J172">
        <f t="shared" si="50"/>
        <v>31</v>
      </c>
      <c r="K172">
        <f t="shared" si="51"/>
        <v>48</v>
      </c>
      <c r="L172" t="str">
        <f t="shared" si="52"/>
        <v>Games SP:Carol20171016 $1900</v>
      </c>
      <c r="M172" t="str">
        <f t="shared" si="53"/>
        <v>Games Carol20171016 $1900</v>
      </c>
      <c r="N172" s="1" t="str">
        <f t="shared" si="54"/>
        <v>Games Carol 20171016 $1900</v>
      </c>
      <c r="O172" s="9">
        <f t="shared" si="62"/>
        <v>6</v>
      </c>
      <c r="P172" s="9">
        <f t="shared" si="55"/>
        <v>12</v>
      </c>
      <c r="Q172" s="10">
        <f t="shared" si="56"/>
        <v>21</v>
      </c>
      <c r="R172" s="7" t="str">
        <f t="shared" si="57"/>
        <v>Games</v>
      </c>
      <c r="S172" s="7" t="str">
        <f t="shared" si="58"/>
        <v>Carol</v>
      </c>
      <c r="T172" s="7" t="str">
        <f t="shared" si="59"/>
        <v>20171016</v>
      </c>
      <c r="U172" s="7">
        <f t="shared" si="60"/>
        <v>1900</v>
      </c>
      <c r="V172" s="8">
        <f t="shared" si="61"/>
        <v>43024</v>
      </c>
    </row>
    <row r="173" spans="1:22">
      <c r="A173" s="3">
        <f t="shared" si="42"/>
        <v>171</v>
      </c>
      <c r="B173" t="s">
        <v>177</v>
      </c>
      <c r="C173">
        <f t="shared" si="43"/>
        <v>29</v>
      </c>
      <c r="D173" t="str">
        <f t="shared" si="44"/>
        <v xml:space="preserve">///PR:Clothing_____SP:Alice2017102  $1657 </v>
      </c>
      <c r="E173">
        <f t="shared" si="45"/>
        <v>32</v>
      </c>
      <c r="F173" t="str">
        <f t="shared" si="46"/>
        <v xml:space="preserve">///PR:Clothing_____SP:Alice2017102  $1657 </v>
      </c>
      <c r="G173" t="str">
        <f t="shared" si="47"/>
        <v xml:space="preserve">PR:Clothing_____SP:Alice2017102  $1657 </v>
      </c>
      <c r="H173" t="str">
        <f t="shared" si="48"/>
        <v xml:space="preserve">PR:Clothing     SP:Alice2017102  $1657 </v>
      </c>
      <c r="I173" t="str">
        <f t="shared" si="49"/>
        <v>PR:Clothing SP:Alice2017102 $1657</v>
      </c>
      <c r="J173">
        <f t="shared" si="50"/>
        <v>33</v>
      </c>
      <c r="K173">
        <f t="shared" si="51"/>
        <v>55</v>
      </c>
      <c r="L173" t="str">
        <f t="shared" si="52"/>
        <v>Clothing SP:Alice2017102 $1657</v>
      </c>
      <c r="M173" t="str">
        <f t="shared" si="53"/>
        <v>Clothing Alice2017102 $1657</v>
      </c>
      <c r="N173" s="1" t="str">
        <f t="shared" si="54"/>
        <v>Clothing Alice 2017102 $1657</v>
      </c>
      <c r="O173" s="9">
        <f t="shared" si="62"/>
        <v>9</v>
      </c>
      <c r="P173" s="9">
        <f t="shared" si="55"/>
        <v>15</v>
      </c>
      <c r="Q173" s="10">
        <f t="shared" si="56"/>
        <v>23</v>
      </c>
      <c r="R173" s="7" t="str">
        <f t="shared" si="57"/>
        <v>Clothing</v>
      </c>
      <c r="S173" s="7" t="str">
        <f t="shared" si="58"/>
        <v>Alice</v>
      </c>
      <c r="T173" s="7" t="str">
        <f t="shared" si="59"/>
        <v>2017102</v>
      </c>
      <c r="U173" s="7">
        <f t="shared" si="60"/>
        <v>1657</v>
      </c>
      <c r="V173" s="8">
        <f t="shared" si="61"/>
        <v>43010</v>
      </c>
    </row>
    <row r="174" spans="1:22">
      <c r="A174" s="3">
        <f t="shared" si="42"/>
        <v>172</v>
      </c>
      <c r="B174" t="s">
        <v>178</v>
      </c>
      <c r="C174">
        <f t="shared" si="43"/>
        <v>30</v>
      </c>
      <c r="D174" t="str">
        <f t="shared" si="44"/>
        <v xml:space="preserve">/PR:Clothing___SP:Alice20171026    $1243    </v>
      </c>
      <c r="E174">
        <f t="shared" si="45"/>
        <v>32</v>
      </c>
      <c r="F174" t="str">
        <f t="shared" si="46"/>
        <v xml:space="preserve">/PR:Clothing___SP:Alice20171026    $1243    </v>
      </c>
      <c r="G174" t="str">
        <f t="shared" si="47"/>
        <v xml:space="preserve">PR:Clothing___SP:Alice20171026    $1243    </v>
      </c>
      <c r="H174" t="str">
        <f t="shared" si="48"/>
        <v xml:space="preserve">PR:Clothing   SP:Alice20171026    $1243    </v>
      </c>
      <c r="I174" t="str">
        <f t="shared" si="49"/>
        <v>PR:Clothing SP:Alice20171026 $1243</v>
      </c>
      <c r="J174">
        <f t="shared" si="50"/>
        <v>34</v>
      </c>
      <c r="K174">
        <f t="shared" si="51"/>
        <v>51</v>
      </c>
      <c r="L174" t="str">
        <f t="shared" si="52"/>
        <v>Clothing SP:Alice20171026 $1243</v>
      </c>
      <c r="M174" t="str">
        <f t="shared" si="53"/>
        <v>Clothing Alice20171026 $1243</v>
      </c>
      <c r="N174" s="1" t="str">
        <f t="shared" si="54"/>
        <v>Clothing Alice 20171026 $1243</v>
      </c>
      <c r="O174" s="9">
        <f t="shared" si="62"/>
        <v>9</v>
      </c>
      <c r="P174" s="9">
        <f t="shared" si="55"/>
        <v>15</v>
      </c>
      <c r="Q174" s="10">
        <f t="shared" si="56"/>
        <v>24</v>
      </c>
      <c r="R174" s="7" t="str">
        <f t="shared" si="57"/>
        <v>Clothing</v>
      </c>
      <c r="S174" s="7" t="str">
        <f t="shared" si="58"/>
        <v>Alice</v>
      </c>
      <c r="T174" s="7" t="str">
        <f t="shared" si="59"/>
        <v>20171026</v>
      </c>
      <c r="U174" s="7">
        <f t="shared" si="60"/>
        <v>1243</v>
      </c>
      <c r="V174" s="8">
        <f t="shared" si="61"/>
        <v>43034</v>
      </c>
    </row>
    <row r="175" spans="1:22">
      <c r="A175" s="3">
        <f t="shared" si="42"/>
        <v>173</v>
      </c>
      <c r="B175" t="s">
        <v>179</v>
      </c>
      <c r="C175">
        <f t="shared" si="43"/>
        <v>28</v>
      </c>
      <c r="D175" t="str">
        <f t="shared" si="44"/>
        <v xml:space="preserve">/PR:Clothing____SP:Barney2017103 $0  </v>
      </c>
      <c r="E175">
        <f t="shared" si="45"/>
        <v>32</v>
      </c>
      <c r="F175" t="str">
        <f t="shared" si="46"/>
        <v xml:space="preserve">/PR:Clothing____SP:Barney2017103 $0  </v>
      </c>
      <c r="G175" t="str">
        <f t="shared" si="47"/>
        <v xml:space="preserve">PR:Clothing____SP:Barney2017103 $0  </v>
      </c>
      <c r="H175" t="str">
        <f t="shared" si="48"/>
        <v xml:space="preserve">PR:Clothing    SP:Barney2017103 $0  </v>
      </c>
      <c r="I175" t="str">
        <f t="shared" si="49"/>
        <v>PR:Clothing SP:Barney2017103 $0</v>
      </c>
      <c r="J175">
        <f t="shared" si="50"/>
        <v>31</v>
      </c>
      <c r="K175">
        <f t="shared" si="51"/>
        <v>48</v>
      </c>
      <c r="L175" t="str">
        <f t="shared" si="52"/>
        <v>Clothing SP:Barney2017103 $0</v>
      </c>
      <c r="M175" t="str">
        <f t="shared" si="53"/>
        <v>Clothing Barney2017103 $0</v>
      </c>
      <c r="N175" s="1" t="str">
        <f t="shared" si="54"/>
        <v>Clothing Barney 2017103 $0</v>
      </c>
      <c r="O175" s="9">
        <f t="shared" si="62"/>
        <v>9</v>
      </c>
      <c r="P175" s="9">
        <f t="shared" si="55"/>
        <v>16</v>
      </c>
      <c r="Q175" s="10">
        <f t="shared" si="56"/>
        <v>24</v>
      </c>
      <c r="R175" s="7" t="str">
        <f t="shared" si="57"/>
        <v>Clothing</v>
      </c>
      <c r="S175" s="7" t="str">
        <f t="shared" si="58"/>
        <v>Barney</v>
      </c>
      <c r="T175" s="7" t="str">
        <f t="shared" si="59"/>
        <v>2017103</v>
      </c>
      <c r="U175" s="7">
        <f t="shared" si="60"/>
        <v>0</v>
      </c>
      <c r="V175" s="8">
        <f t="shared" si="61"/>
        <v>43011</v>
      </c>
    </row>
    <row r="176" spans="1:22">
      <c r="A176" s="3">
        <f t="shared" si="42"/>
        <v>174</v>
      </c>
      <c r="B176" t="s">
        <v>180</v>
      </c>
      <c r="C176">
        <f t="shared" si="43"/>
        <v>29</v>
      </c>
      <c r="D176" t="str">
        <f t="shared" si="44"/>
        <v xml:space="preserve">////PR:Games____SP:Carol20171022     $1616   </v>
      </c>
      <c r="E176">
        <f t="shared" si="45"/>
        <v>32</v>
      </c>
      <c r="F176" t="str">
        <f t="shared" si="46"/>
        <v xml:space="preserve">////PR:Games____SP:Carol20171022     $1616   </v>
      </c>
      <c r="G176" t="str">
        <f t="shared" si="47"/>
        <v xml:space="preserve">PR:Games____SP:Carol20171022     $1616   </v>
      </c>
      <c r="H176" t="str">
        <f t="shared" si="48"/>
        <v xml:space="preserve">PR:Games    SP:Carol20171022     $1616   </v>
      </c>
      <c r="I176" t="str">
        <f t="shared" si="49"/>
        <v>PR:Games SP:Carol20171022 $1616</v>
      </c>
      <c r="J176">
        <f t="shared" si="50"/>
        <v>31</v>
      </c>
      <c r="K176">
        <f t="shared" si="51"/>
        <v>54</v>
      </c>
      <c r="L176" t="str">
        <f t="shared" si="52"/>
        <v>Games SP:Carol20171022 $1616</v>
      </c>
      <c r="M176" t="str">
        <f t="shared" si="53"/>
        <v>Games Carol20171022 $1616</v>
      </c>
      <c r="N176" s="1" t="str">
        <f t="shared" si="54"/>
        <v>Games Carol 20171022 $1616</v>
      </c>
      <c r="O176" s="9">
        <f t="shared" si="62"/>
        <v>6</v>
      </c>
      <c r="P176" s="9">
        <f t="shared" si="55"/>
        <v>12</v>
      </c>
      <c r="Q176" s="10">
        <f t="shared" si="56"/>
        <v>21</v>
      </c>
      <c r="R176" s="7" t="str">
        <f t="shared" si="57"/>
        <v>Games</v>
      </c>
      <c r="S176" s="7" t="str">
        <f t="shared" si="58"/>
        <v>Carol</v>
      </c>
      <c r="T176" s="7" t="str">
        <f t="shared" si="59"/>
        <v>20171022</v>
      </c>
      <c r="U176" s="7">
        <f t="shared" si="60"/>
        <v>1616</v>
      </c>
      <c r="V176" s="8">
        <f t="shared" si="61"/>
        <v>43030</v>
      </c>
    </row>
    <row r="177" spans="1:22">
      <c r="A177" s="3">
        <f t="shared" si="42"/>
        <v>175</v>
      </c>
      <c r="B177" t="s">
        <v>181</v>
      </c>
      <c r="C177">
        <f t="shared" si="43"/>
        <v>28</v>
      </c>
      <c r="D177" t="str">
        <f t="shared" si="44"/>
        <v xml:space="preserve">/PR:Music_____SP:David2017105 $1136   </v>
      </c>
      <c r="E177">
        <f t="shared" si="45"/>
        <v>32</v>
      </c>
      <c r="F177" t="str">
        <f t="shared" si="46"/>
        <v xml:space="preserve">/PR:Music_____SP:David2017105 $1136   </v>
      </c>
      <c r="G177" t="str">
        <f t="shared" si="47"/>
        <v xml:space="preserve">PR:Music_____SP:David2017105 $1136   </v>
      </c>
      <c r="H177" t="str">
        <f t="shared" si="48"/>
        <v xml:space="preserve">PR:Music     SP:David2017105 $1136   </v>
      </c>
      <c r="I177" t="str">
        <f t="shared" si="49"/>
        <v>PR:Music SP:David2017105 $1136</v>
      </c>
      <c r="J177">
        <f t="shared" si="50"/>
        <v>30</v>
      </c>
      <c r="K177">
        <f t="shared" si="51"/>
        <v>54</v>
      </c>
      <c r="L177" t="str">
        <f t="shared" si="52"/>
        <v>Music SP:David2017105 $1136</v>
      </c>
      <c r="M177" t="str">
        <f t="shared" si="53"/>
        <v>Music David2017105 $1136</v>
      </c>
      <c r="N177" s="1" t="str">
        <f t="shared" si="54"/>
        <v>Music David 2017105 $1136</v>
      </c>
      <c r="O177" s="9">
        <f t="shared" si="62"/>
        <v>6</v>
      </c>
      <c r="P177" s="9">
        <f t="shared" si="55"/>
        <v>12</v>
      </c>
      <c r="Q177" s="10">
        <f t="shared" si="56"/>
        <v>20</v>
      </c>
      <c r="R177" s="7" t="str">
        <f t="shared" si="57"/>
        <v>Music</v>
      </c>
      <c r="S177" s="7" t="str">
        <f t="shared" si="58"/>
        <v>David</v>
      </c>
      <c r="T177" s="7" t="str">
        <f t="shared" si="59"/>
        <v>2017105</v>
      </c>
      <c r="U177" s="7">
        <f t="shared" si="60"/>
        <v>1136</v>
      </c>
      <c r="V177" s="8">
        <f t="shared" si="61"/>
        <v>43013</v>
      </c>
    </row>
    <row r="178" spans="1:22">
      <c r="A178" s="3">
        <f t="shared" si="42"/>
        <v>176</v>
      </c>
      <c r="B178" t="s">
        <v>182</v>
      </c>
      <c r="C178">
        <f t="shared" si="43"/>
        <v>31</v>
      </c>
      <c r="D178" t="str">
        <f t="shared" si="44"/>
        <v xml:space="preserve">///PR:Clothing__SP:Alice20171014  $1671  </v>
      </c>
      <c r="E178">
        <f t="shared" si="45"/>
        <v>32</v>
      </c>
      <c r="F178" t="str">
        <f t="shared" si="46"/>
        <v xml:space="preserve">///PR:Clothing__SP:Alice20171014  $1671  </v>
      </c>
      <c r="G178" t="str">
        <f t="shared" si="47"/>
        <v xml:space="preserve">PR:Clothing__SP:Alice20171014  $1671  </v>
      </c>
      <c r="H178" t="str">
        <f t="shared" si="48"/>
        <v xml:space="preserve">PR:Clothing  SP:Alice20171014  $1671  </v>
      </c>
      <c r="I178" t="str">
        <f t="shared" si="49"/>
        <v>PR:Clothing SP:Alice20171014 $1671</v>
      </c>
      <c r="J178">
        <f t="shared" si="50"/>
        <v>34</v>
      </c>
      <c r="K178">
        <f t="shared" si="51"/>
        <v>49</v>
      </c>
      <c r="L178" t="str">
        <f t="shared" si="52"/>
        <v>Clothing SP:Alice20171014 $1671</v>
      </c>
      <c r="M178" t="str">
        <f t="shared" si="53"/>
        <v>Clothing Alice20171014 $1671</v>
      </c>
      <c r="N178" s="1" t="str">
        <f t="shared" si="54"/>
        <v>Clothing Alice 20171014 $1671</v>
      </c>
      <c r="O178" s="9">
        <f t="shared" si="62"/>
        <v>9</v>
      </c>
      <c r="P178" s="9">
        <f t="shared" si="55"/>
        <v>15</v>
      </c>
      <c r="Q178" s="10">
        <f t="shared" si="56"/>
        <v>24</v>
      </c>
      <c r="R178" s="7" t="str">
        <f t="shared" si="57"/>
        <v>Clothing</v>
      </c>
      <c r="S178" s="7" t="str">
        <f t="shared" si="58"/>
        <v>Alice</v>
      </c>
      <c r="T178" s="7" t="str">
        <f t="shared" si="59"/>
        <v>20171014</v>
      </c>
      <c r="U178" s="7">
        <f t="shared" si="60"/>
        <v>1671</v>
      </c>
      <c r="V178" s="8">
        <f t="shared" si="61"/>
        <v>43022</v>
      </c>
    </row>
    <row r="179" spans="1:22">
      <c r="A179" s="3">
        <f t="shared" si="42"/>
        <v>177</v>
      </c>
      <c r="B179" t="s">
        <v>183</v>
      </c>
      <c r="C179">
        <f t="shared" si="43"/>
        <v>29</v>
      </c>
      <c r="D179" t="str">
        <f t="shared" si="44"/>
        <v xml:space="preserve">/////PR:Books___SP:Alice2017109    $640   </v>
      </c>
      <c r="E179">
        <f t="shared" si="45"/>
        <v>32</v>
      </c>
      <c r="F179" t="str">
        <f t="shared" si="46"/>
        <v xml:space="preserve">/////PR:Books___SP:Alice2017109    $640   </v>
      </c>
      <c r="G179" t="str">
        <f t="shared" si="47"/>
        <v xml:space="preserve">PR:Books___SP:Alice2017109    $640   </v>
      </c>
      <c r="H179" t="str">
        <f t="shared" si="48"/>
        <v xml:space="preserve">PR:Books   SP:Alice2017109    $640   </v>
      </c>
      <c r="I179" t="str">
        <f t="shared" si="49"/>
        <v>PR:Books SP:Alice2017109 $640</v>
      </c>
      <c r="J179">
        <f t="shared" si="50"/>
        <v>29</v>
      </c>
      <c r="K179">
        <f t="shared" si="51"/>
        <v>48</v>
      </c>
      <c r="L179" t="str">
        <f t="shared" si="52"/>
        <v>Books SP:Alice2017109 $640</v>
      </c>
      <c r="M179" t="str">
        <f t="shared" si="53"/>
        <v>Books Alice2017109 $640</v>
      </c>
      <c r="N179" s="1" t="str">
        <f t="shared" si="54"/>
        <v>Books Alice 2017109 $640</v>
      </c>
      <c r="O179" s="9">
        <f t="shared" si="62"/>
        <v>6</v>
      </c>
      <c r="P179" s="9">
        <f t="shared" si="55"/>
        <v>12</v>
      </c>
      <c r="Q179" s="10">
        <f t="shared" si="56"/>
        <v>20</v>
      </c>
      <c r="R179" s="7" t="str">
        <f t="shared" si="57"/>
        <v>Books</v>
      </c>
      <c r="S179" s="7" t="str">
        <f t="shared" si="58"/>
        <v>Alice</v>
      </c>
      <c r="T179" s="7" t="str">
        <f t="shared" si="59"/>
        <v>2017109</v>
      </c>
      <c r="U179" s="7">
        <f t="shared" si="60"/>
        <v>640</v>
      </c>
      <c r="V179" s="8">
        <f t="shared" si="61"/>
        <v>43017</v>
      </c>
    </row>
    <row r="180" spans="1:22">
      <c r="A180" s="3">
        <f t="shared" si="42"/>
        <v>178</v>
      </c>
      <c r="B180" t="s">
        <v>184</v>
      </c>
      <c r="C180">
        <f t="shared" si="43"/>
        <v>31</v>
      </c>
      <c r="D180" t="str">
        <f t="shared" si="44"/>
        <v xml:space="preserve">//PR:Music___SP:Carol20171022 $952    </v>
      </c>
      <c r="E180">
        <f t="shared" si="45"/>
        <v>32</v>
      </c>
      <c r="F180" t="str">
        <f t="shared" si="46"/>
        <v xml:space="preserve">//PR:Music___SP:Carol20171022 $952    </v>
      </c>
      <c r="G180" t="str">
        <f t="shared" si="47"/>
        <v xml:space="preserve">PR:Music___SP:Carol20171022 $952    </v>
      </c>
      <c r="H180" t="str">
        <f t="shared" si="48"/>
        <v xml:space="preserve">PR:Music   SP:Carol20171022 $952    </v>
      </c>
      <c r="I180" t="str">
        <f t="shared" si="49"/>
        <v>PR:Music SP:Carol20171022 $952</v>
      </c>
      <c r="J180">
        <f t="shared" si="50"/>
        <v>30</v>
      </c>
      <c r="K180">
        <f t="shared" si="51"/>
        <v>50</v>
      </c>
      <c r="L180" t="str">
        <f t="shared" si="52"/>
        <v>Music SP:Carol20171022 $952</v>
      </c>
      <c r="M180" t="str">
        <f t="shared" si="53"/>
        <v>Music Carol20171022 $952</v>
      </c>
      <c r="N180" s="1" t="str">
        <f t="shared" si="54"/>
        <v>Music Carol 20171022 $952</v>
      </c>
      <c r="O180" s="9">
        <f t="shared" si="62"/>
        <v>6</v>
      </c>
      <c r="P180" s="9">
        <f t="shared" si="55"/>
        <v>12</v>
      </c>
      <c r="Q180" s="10">
        <f t="shared" si="56"/>
        <v>21</v>
      </c>
      <c r="R180" s="7" t="str">
        <f t="shared" si="57"/>
        <v>Music</v>
      </c>
      <c r="S180" s="7" t="str">
        <f t="shared" si="58"/>
        <v>Carol</v>
      </c>
      <c r="T180" s="7" t="str">
        <f t="shared" si="59"/>
        <v>20171022</v>
      </c>
      <c r="U180" s="7">
        <f t="shared" si="60"/>
        <v>952</v>
      </c>
      <c r="V180" s="8">
        <f t="shared" si="61"/>
        <v>43030</v>
      </c>
    </row>
    <row r="181" spans="1:22">
      <c r="A181" s="3">
        <f t="shared" si="42"/>
        <v>179</v>
      </c>
      <c r="B181" t="s">
        <v>185</v>
      </c>
      <c r="C181">
        <f t="shared" si="43"/>
        <v>28</v>
      </c>
      <c r="D181" t="str">
        <f t="shared" si="44"/>
        <v xml:space="preserve">/////PR:Games____SP:Barney20171011   $1198    </v>
      </c>
      <c r="E181">
        <f t="shared" si="45"/>
        <v>32</v>
      </c>
      <c r="F181" t="str">
        <f t="shared" si="46"/>
        <v xml:space="preserve">/////PR:Games____SP:Barney20171011   $1198    </v>
      </c>
      <c r="G181" t="str">
        <f t="shared" si="47"/>
        <v xml:space="preserve">PR:Games____SP:Barney20171011   $1198    </v>
      </c>
      <c r="H181" t="str">
        <f t="shared" si="48"/>
        <v xml:space="preserve">PR:Games    SP:Barney20171011   $1198    </v>
      </c>
      <c r="I181" t="str">
        <f t="shared" si="49"/>
        <v>PR:Games SP:Barney20171011 $1198</v>
      </c>
      <c r="J181">
        <f t="shared" si="50"/>
        <v>32</v>
      </c>
      <c r="K181">
        <f t="shared" si="51"/>
        <v>56</v>
      </c>
      <c r="L181" t="str">
        <f t="shared" si="52"/>
        <v>Games SP:Barney20171011 $1198</v>
      </c>
      <c r="M181" t="str">
        <f t="shared" si="53"/>
        <v>Games Barney20171011 $1198</v>
      </c>
      <c r="N181" s="1" t="str">
        <f t="shared" si="54"/>
        <v>Games Barney 20171011 $1198</v>
      </c>
      <c r="O181" s="9">
        <f t="shared" si="62"/>
        <v>6</v>
      </c>
      <c r="P181" s="9">
        <f t="shared" si="55"/>
        <v>13</v>
      </c>
      <c r="Q181" s="10">
        <f t="shared" si="56"/>
        <v>22</v>
      </c>
      <c r="R181" s="7" t="str">
        <f t="shared" si="57"/>
        <v>Games</v>
      </c>
      <c r="S181" s="7" t="str">
        <f t="shared" si="58"/>
        <v>Barney</v>
      </c>
      <c r="T181" s="7" t="str">
        <f t="shared" si="59"/>
        <v>20171011</v>
      </c>
      <c r="U181" s="7">
        <f t="shared" si="60"/>
        <v>1198</v>
      </c>
      <c r="V181" s="8">
        <f t="shared" si="61"/>
        <v>43019</v>
      </c>
    </row>
    <row r="182" spans="1:22">
      <c r="A182" s="3">
        <f t="shared" si="42"/>
        <v>180</v>
      </c>
      <c r="B182" t="s">
        <v>186</v>
      </c>
      <c r="C182">
        <f t="shared" si="43"/>
        <v>28</v>
      </c>
      <c r="D182" t="str">
        <f t="shared" si="44"/>
        <v xml:space="preserve">////PR:Music__SP:Barney20171015   $1291  </v>
      </c>
      <c r="E182">
        <f t="shared" si="45"/>
        <v>32</v>
      </c>
      <c r="F182" t="str">
        <f t="shared" si="46"/>
        <v xml:space="preserve">////PR:Music__SP:Barney20171015   $1291  </v>
      </c>
      <c r="G182" t="str">
        <f t="shared" si="47"/>
        <v xml:space="preserve">PR:Music__SP:Barney20171015   $1291  </v>
      </c>
      <c r="H182" t="str">
        <f t="shared" si="48"/>
        <v xml:space="preserve">PR:Music  SP:Barney20171015   $1291  </v>
      </c>
      <c r="I182" t="str">
        <f t="shared" si="49"/>
        <v>PR:Music SP:Barney20171015 $1291</v>
      </c>
      <c r="J182">
        <f t="shared" si="50"/>
        <v>32</v>
      </c>
      <c r="K182">
        <f t="shared" si="51"/>
        <v>49</v>
      </c>
      <c r="L182" t="str">
        <f t="shared" si="52"/>
        <v>Music SP:Barney20171015 $1291</v>
      </c>
      <c r="M182" t="str">
        <f t="shared" si="53"/>
        <v>Music Barney20171015 $1291</v>
      </c>
      <c r="N182" s="1" t="str">
        <f t="shared" si="54"/>
        <v>Music Barney 20171015 $1291</v>
      </c>
      <c r="O182" s="9">
        <f t="shared" si="62"/>
        <v>6</v>
      </c>
      <c r="P182" s="9">
        <f t="shared" si="55"/>
        <v>13</v>
      </c>
      <c r="Q182" s="10">
        <f t="shared" si="56"/>
        <v>22</v>
      </c>
      <c r="R182" s="7" t="str">
        <f t="shared" si="57"/>
        <v>Music</v>
      </c>
      <c r="S182" s="7" t="str">
        <f t="shared" si="58"/>
        <v>Barney</v>
      </c>
      <c r="T182" s="7" t="str">
        <f t="shared" si="59"/>
        <v>20171015</v>
      </c>
      <c r="U182" s="7">
        <f t="shared" si="60"/>
        <v>1291</v>
      </c>
      <c r="V182" s="8">
        <f t="shared" si="61"/>
        <v>43023</v>
      </c>
    </row>
    <row r="183" spans="1:22">
      <c r="A183" s="3">
        <f t="shared" si="42"/>
        <v>181</v>
      </c>
      <c r="B183" t="s">
        <v>187</v>
      </c>
      <c r="C183">
        <f t="shared" si="43"/>
        <v>31</v>
      </c>
      <c r="D183" t="str">
        <f t="shared" si="44"/>
        <v xml:space="preserve">///PR:Games___SP:Carol20171021     $1037 </v>
      </c>
      <c r="E183">
        <f t="shared" si="45"/>
        <v>32</v>
      </c>
      <c r="F183" t="str">
        <f t="shared" si="46"/>
        <v xml:space="preserve">///PR:Games___SP:Carol20171021     $1037 </v>
      </c>
      <c r="G183" t="str">
        <f t="shared" si="47"/>
        <v xml:space="preserve">PR:Games___SP:Carol20171021     $1037 </v>
      </c>
      <c r="H183" t="str">
        <f t="shared" si="48"/>
        <v xml:space="preserve">PR:Games   SP:Carol20171021     $1037 </v>
      </c>
      <c r="I183" t="str">
        <f t="shared" si="49"/>
        <v>PR:Games SP:Carol20171021 $1037</v>
      </c>
      <c r="J183">
        <f t="shared" si="50"/>
        <v>31</v>
      </c>
      <c r="K183">
        <f t="shared" si="51"/>
        <v>55</v>
      </c>
      <c r="L183" t="str">
        <f t="shared" si="52"/>
        <v>Games SP:Carol20171021 $1037</v>
      </c>
      <c r="M183" t="str">
        <f t="shared" si="53"/>
        <v>Games Carol20171021 $1037</v>
      </c>
      <c r="N183" s="1" t="str">
        <f t="shared" si="54"/>
        <v>Games Carol 20171021 $1037</v>
      </c>
      <c r="O183" s="9">
        <f t="shared" si="62"/>
        <v>6</v>
      </c>
      <c r="P183" s="9">
        <f t="shared" si="55"/>
        <v>12</v>
      </c>
      <c r="Q183" s="10">
        <f t="shared" si="56"/>
        <v>21</v>
      </c>
      <c r="R183" s="7" t="str">
        <f t="shared" si="57"/>
        <v>Games</v>
      </c>
      <c r="S183" s="7" t="str">
        <f t="shared" si="58"/>
        <v>Carol</v>
      </c>
      <c r="T183" s="7" t="str">
        <f t="shared" si="59"/>
        <v>20171021</v>
      </c>
      <c r="U183" s="7">
        <f t="shared" si="60"/>
        <v>1037</v>
      </c>
      <c r="V183" s="8">
        <f t="shared" si="61"/>
        <v>43029</v>
      </c>
    </row>
    <row r="184" spans="1:22">
      <c r="A184" s="3">
        <f t="shared" si="42"/>
        <v>182</v>
      </c>
      <c r="B184" t="s">
        <v>188</v>
      </c>
      <c r="C184">
        <f t="shared" si="43"/>
        <v>28</v>
      </c>
      <c r="D184" t="str">
        <f t="shared" si="44"/>
        <v xml:space="preserve">///PR:Clothing_____SP:Barney20171027  $1105    </v>
      </c>
      <c r="E184">
        <f t="shared" si="45"/>
        <v>32</v>
      </c>
      <c r="F184" t="str">
        <f t="shared" si="46"/>
        <v xml:space="preserve">///PR:Clothing_____SP:Barney20171027  $1105    </v>
      </c>
      <c r="G184" t="str">
        <f t="shared" si="47"/>
        <v xml:space="preserve">PR:Clothing_____SP:Barney20171027  $1105    </v>
      </c>
      <c r="H184" t="str">
        <f t="shared" si="48"/>
        <v xml:space="preserve">PR:Clothing     SP:Barney20171027  $1105    </v>
      </c>
      <c r="I184" t="str">
        <f t="shared" si="49"/>
        <v>PR:Clothing SP:Barney20171027 $1105</v>
      </c>
      <c r="J184">
        <f t="shared" si="50"/>
        <v>35</v>
      </c>
      <c r="K184">
        <f t="shared" si="51"/>
        <v>53</v>
      </c>
      <c r="L184" t="str">
        <f t="shared" si="52"/>
        <v>Clothing SP:Barney20171027 $1105</v>
      </c>
      <c r="M184" t="str">
        <f t="shared" si="53"/>
        <v>Clothing Barney20171027 $1105</v>
      </c>
      <c r="N184" s="1" t="str">
        <f t="shared" si="54"/>
        <v>Clothing Barney 20171027 $1105</v>
      </c>
      <c r="O184" s="9">
        <f t="shared" si="62"/>
        <v>9</v>
      </c>
      <c r="P184" s="9">
        <f t="shared" si="55"/>
        <v>16</v>
      </c>
      <c r="Q184" s="10">
        <f t="shared" si="56"/>
        <v>25</v>
      </c>
      <c r="R184" s="7" t="str">
        <f t="shared" si="57"/>
        <v>Clothing</v>
      </c>
      <c r="S184" s="7" t="str">
        <f t="shared" si="58"/>
        <v>Barney</v>
      </c>
      <c r="T184" s="7" t="str">
        <f t="shared" si="59"/>
        <v>20171027</v>
      </c>
      <c r="U184" s="7">
        <f t="shared" si="60"/>
        <v>1105</v>
      </c>
      <c r="V184" s="8">
        <f t="shared" si="61"/>
        <v>43035</v>
      </c>
    </row>
    <row r="185" spans="1:22">
      <c r="A185" s="3">
        <f t="shared" si="42"/>
        <v>183</v>
      </c>
      <c r="B185" t="s">
        <v>189</v>
      </c>
      <c r="C185">
        <f t="shared" si="43"/>
        <v>28</v>
      </c>
      <c r="D185" t="str">
        <f t="shared" si="44"/>
        <v xml:space="preserve">///PR:Books_SP:Carol20171024     $767     </v>
      </c>
      <c r="E185">
        <f t="shared" si="45"/>
        <v>32</v>
      </c>
      <c r="F185" t="str">
        <f t="shared" si="46"/>
        <v xml:space="preserve">///PR:Books_SP:Carol20171024     $767     </v>
      </c>
      <c r="G185" t="str">
        <f t="shared" si="47"/>
        <v xml:space="preserve">PR:Books_SP:Carol20171024     $767     </v>
      </c>
      <c r="H185" t="str">
        <f t="shared" si="48"/>
        <v xml:space="preserve">PR:Books SP:Carol20171024     $767     </v>
      </c>
      <c r="I185" t="str">
        <f t="shared" si="49"/>
        <v>PR:Books SP:Carol20171024 $767</v>
      </c>
      <c r="J185">
        <f t="shared" si="50"/>
        <v>30</v>
      </c>
      <c r="K185">
        <f t="shared" si="51"/>
        <v>55</v>
      </c>
      <c r="L185" t="str">
        <f t="shared" si="52"/>
        <v>Books SP:Carol20171024 $767</v>
      </c>
      <c r="M185" t="str">
        <f t="shared" si="53"/>
        <v>Books Carol20171024 $767</v>
      </c>
      <c r="N185" s="1" t="str">
        <f t="shared" si="54"/>
        <v>Books Carol 20171024 $767</v>
      </c>
      <c r="O185" s="9">
        <f t="shared" si="62"/>
        <v>6</v>
      </c>
      <c r="P185" s="9">
        <f t="shared" si="55"/>
        <v>12</v>
      </c>
      <c r="Q185" s="10">
        <f t="shared" si="56"/>
        <v>21</v>
      </c>
      <c r="R185" s="7" t="str">
        <f t="shared" si="57"/>
        <v>Books</v>
      </c>
      <c r="S185" s="7" t="str">
        <f t="shared" si="58"/>
        <v>Carol</v>
      </c>
      <c r="T185" s="7" t="str">
        <f t="shared" si="59"/>
        <v>20171024</v>
      </c>
      <c r="U185" s="7">
        <f t="shared" si="60"/>
        <v>767</v>
      </c>
      <c r="V185" s="8">
        <f t="shared" si="61"/>
        <v>43032</v>
      </c>
    </row>
    <row r="186" spans="1:22">
      <c r="A186" s="3">
        <f t="shared" si="42"/>
        <v>184</v>
      </c>
      <c r="B186" t="s">
        <v>190</v>
      </c>
      <c r="C186">
        <f t="shared" si="43"/>
        <v>29</v>
      </c>
      <c r="D186" t="str">
        <f t="shared" si="44"/>
        <v xml:space="preserve">////PR:Clothing____SP:Alice2017103    $1121     </v>
      </c>
      <c r="E186">
        <f t="shared" si="45"/>
        <v>32</v>
      </c>
      <c r="F186" t="str">
        <f t="shared" si="46"/>
        <v xml:space="preserve">////PR:Clothing____SP:Alice2017103    $1121     </v>
      </c>
      <c r="G186" t="str">
        <f t="shared" si="47"/>
        <v xml:space="preserve">PR:Clothing____SP:Alice2017103    $1121     </v>
      </c>
      <c r="H186" t="str">
        <f t="shared" si="48"/>
        <v xml:space="preserve">PR:Clothing    SP:Alice2017103    $1121     </v>
      </c>
      <c r="I186" t="str">
        <f t="shared" si="49"/>
        <v>PR:Clothing SP:Alice2017103 $1121</v>
      </c>
      <c r="J186">
        <f t="shared" si="50"/>
        <v>33</v>
      </c>
      <c r="K186">
        <f t="shared" si="51"/>
        <v>49</v>
      </c>
      <c r="L186" t="str">
        <f t="shared" si="52"/>
        <v>Clothing SP:Alice2017103 $1121</v>
      </c>
      <c r="M186" t="str">
        <f t="shared" si="53"/>
        <v>Clothing Alice2017103 $1121</v>
      </c>
      <c r="N186" s="1" t="str">
        <f t="shared" si="54"/>
        <v>Clothing Alice 2017103 $1121</v>
      </c>
      <c r="O186" s="9">
        <f t="shared" si="62"/>
        <v>9</v>
      </c>
      <c r="P186" s="9">
        <f t="shared" si="55"/>
        <v>15</v>
      </c>
      <c r="Q186" s="10">
        <f t="shared" si="56"/>
        <v>23</v>
      </c>
      <c r="R186" s="7" t="str">
        <f t="shared" si="57"/>
        <v>Clothing</v>
      </c>
      <c r="S186" s="7" t="str">
        <f t="shared" si="58"/>
        <v>Alice</v>
      </c>
      <c r="T186" s="7" t="str">
        <f t="shared" si="59"/>
        <v>2017103</v>
      </c>
      <c r="U186" s="7">
        <f t="shared" si="60"/>
        <v>1121</v>
      </c>
      <c r="V186" s="8">
        <f t="shared" si="61"/>
        <v>43011</v>
      </c>
    </row>
    <row r="187" spans="1:22">
      <c r="A187" s="3">
        <f t="shared" si="42"/>
        <v>185</v>
      </c>
      <c r="B187" t="s">
        <v>191</v>
      </c>
      <c r="C187">
        <f t="shared" si="43"/>
        <v>28</v>
      </c>
      <c r="D187" t="str">
        <f t="shared" si="44"/>
        <v xml:space="preserve">//PR:Music_SP:Barney20171012  $914  </v>
      </c>
      <c r="E187">
        <f t="shared" si="45"/>
        <v>32</v>
      </c>
      <c r="F187" t="str">
        <f t="shared" si="46"/>
        <v xml:space="preserve">//PR:Music_SP:Barney20171012  $914  </v>
      </c>
      <c r="G187" t="str">
        <f t="shared" si="47"/>
        <v xml:space="preserve">PR:Music_SP:Barney20171012  $914  </v>
      </c>
      <c r="H187" t="str">
        <f t="shared" si="48"/>
        <v xml:space="preserve">PR:Music SP:Barney20171012  $914  </v>
      </c>
      <c r="I187" t="str">
        <f t="shared" si="49"/>
        <v>PR:Music SP:Barney20171012 $914</v>
      </c>
      <c r="J187">
        <f t="shared" si="50"/>
        <v>31</v>
      </c>
      <c r="K187">
        <f t="shared" si="51"/>
        <v>52</v>
      </c>
      <c r="L187" t="str">
        <f t="shared" si="52"/>
        <v>Music SP:Barney20171012 $914</v>
      </c>
      <c r="M187" t="str">
        <f t="shared" si="53"/>
        <v>Music Barney20171012 $914</v>
      </c>
      <c r="N187" s="1" t="str">
        <f t="shared" si="54"/>
        <v>Music Barney 20171012 $914</v>
      </c>
      <c r="O187" s="9">
        <f t="shared" si="62"/>
        <v>6</v>
      </c>
      <c r="P187" s="9">
        <f t="shared" si="55"/>
        <v>13</v>
      </c>
      <c r="Q187" s="10">
        <f t="shared" si="56"/>
        <v>22</v>
      </c>
      <c r="R187" s="7" t="str">
        <f t="shared" si="57"/>
        <v>Music</v>
      </c>
      <c r="S187" s="7" t="str">
        <f t="shared" si="58"/>
        <v>Barney</v>
      </c>
      <c r="T187" s="7" t="str">
        <f t="shared" si="59"/>
        <v>20171012</v>
      </c>
      <c r="U187" s="7">
        <f t="shared" si="60"/>
        <v>914</v>
      </c>
      <c r="V187" s="8">
        <f t="shared" si="61"/>
        <v>43020</v>
      </c>
    </row>
    <row r="188" spans="1:22">
      <c r="A188" s="3">
        <f t="shared" si="42"/>
        <v>186</v>
      </c>
      <c r="B188" t="s">
        <v>192</v>
      </c>
      <c r="C188">
        <f t="shared" si="43"/>
        <v>29</v>
      </c>
      <c r="D188" t="str">
        <f t="shared" si="44"/>
        <v xml:space="preserve">///PR:Clothing_____SP:David2017108   $1631  </v>
      </c>
      <c r="E188">
        <f t="shared" si="45"/>
        <v>32</v>
      </c>
      <c r="F188" t="str">
        <f t="shared" si="46"/>
        <v xml:space="preserve">///PR:Clothing_____SP:David2017108   $1631  </v>
      </c>
      <c r="G188" t="str">
        <f t="shared" si="47"/>
        <v xml:space="preserve">PR:Clothing_____SP:David2017108   $1631  </v>
      </c>
      <c r="H188" t="str">
        <f t="shared" si="48"/>
        <v xml:space="preserve">PR:Clothing     SP:David2017108   $1631  </v>
      </c>
      <c r="I188" t="str">
        <f t="shared" si="49"/>
        <v>PR:Clothing SP:David2017108 $1631</v>
      </c>
      <c r="J188">
        <f t="shared" si="50"/>
        <v>33</v>
      </c>
      <c r="K188">
        <f t="shared" si="51"/>
        <v>49</v>
      </c>
      <c r="L188" t="str">
        <f t="shared" si="52"/>
        <v>Clothing SP:David2017108 $1631</v>
      </c>
      <c r="M188" t="str">
        <f t="shared" si="53"/>
        <v>Clothing David2017108 $1631</v>
      </c>
      <c r="N188" s="1" t="str">
        <f t="shared" si="54"/>
        <v>Clothing David 2017108 $1631</v>
      </c>
      <c r="O188" s="9">
        <f t="shared" si="62"/>
        <v>9</v>
      </c>
      <c r="P188" s="9">
        <f t="shared" si="55"/>
        <v>15</v>
      </c>
      <c r="Q188" s="10">
        <f t="shared" si="56"/>
        <v>23</v>
      </c>
      <c r="R188" s="7" t="str">
        <f t="shared" si="57"/>
        <v>Clothing</v>
      </c>
      <c r="S188" s="7" t="str">
        <f t="shared" si="58"/>
        <v>David</v>
      </c>
      <c r="T188" s="7" t="str">
        <f t="shared" si="59"/>
        <v>2017108</v>
      </c>
      <c r="U188" s="7">
        <f t="shared" si="60"/>
        <v>1631</v>
      </c>
      <c r="V188" s="8">
        <f t="shared" si="61"/>
        <v>43016</v>
      </c>
    </row>
    <row r="189" spans="1:22">
      <c r="A189" s="3">
        <f t="shared" si="42"/>
        <v>187</v>
      </c>
      <c r="B189" t="s">
        <v>193</v>
      </c>
      <c r="C189">
        <f t="shared" si="43"/>
        <v>31</v>
      </c>
      <c r="D189" t="str">
        <f t="shared" si="44"/>
        <v xml:space="preserve">////PR:Games_SP:Barney2017104 $0  </v>
      </c>
      <c r="E189">
        <f t="shared" si="45"/>
        <v>32</v>
      </c>
      <c r="F189" t="str">
        <f t="shared" si="46"/>
        <v xml:space="preserve">////PR:Games_SP:Barney2017104 $0  </v>
      </c>
      <c r="G189" t="str">
        <f t="shared" si="47"/>
        <v xml:space="preserve">PR:Games_SP:Barney2017104 $0  </v>
      </c>
      <c r="H189" t="str">
        <f t="shared" si="48"/>
        <v xml:space="preserve">PR:Games SP:Barney2017104 $0  </v>
      </c>
      <c r="I189" t="str">
        <f t="shared" si="49"/>
        <v>PR:Games SP:Barney2017104 $0</v>
      </c>
      <c r="J189">
        <f t="shared" si="50"/>
        <v>28</v>
      </c>
      <c r="K189">
        <f t="shared" si="51"/>
        <v>48</v>
      </c>
      <c r="L189" t="str">
        <f t="shared" si="52"/>
        <v>Games SP:Barney2017104 $0</v>
      </c>
      <c r="M189" t="str">
        <f t="shared" si="53"/>
        <v>Games Barney2017104 $0</v>
      </c>
      <c r="N189" s="1" t="str">
        <f t="shared" si="54"/>
        <v>Games Barney 2017104 $0</v>
      </c>
      <c r="O189" s="9">
        <f t="shared" si="62"/>
        <v>6</v>
      </c>
      <c r="P189" s="9">
        <f t="shared" si="55"/>
        <v>13</v>
      </c>
      <c r="Q189" s="10">
        <f t="shared" si="56"/>
        <v>21</v>
      </c>
      <c r="R189" s="7" t="str">
        <f t="shared" si="57"/>
        <v>Games</v>
      </c>
      <c r="S189" s="7" t="str">
        <f t="shared" si="58"/>
        <v>Barney</v>
      </c>
      <c r="T189" s="7" t="str">
        <f t="shared" si="59"/>
        <v>2017104</v>
      </c>
      <c r="U189" s="7">
        <f t="shared" si="60"/>
        <v>0</v>
      </c>
      <c r="V189" s="8">
        <f t="shared" si="61"/>
        <v>43012</v>
      </c>
    </row>
    <row r="190" spans="1:22">
      <c r="A190" s="3">
        <f t="shared" si="42"/>
        <v>188</v>
      </c>
      <c r="B190" t="s">
        <v>194</v>
      </c>
      <c r="C190">
        <f t="shared" si="43"/>
        <v>29</v>
      </c>
      <c r="D190" t="str">
        <f t="shared" si="44"/>
        <v xml:space="preserve">////PR:Games__SP:David20171021     $1916   </v>
      </c>
      <c r="E190">
        <f t="shared" si="45"/>
        <v>32</v>
      </c>
      <c r="F190" t="str">
        <f t="shared" si="46"/>
        <v xml:space="preserve">////PR:Games__SP:David20171021     $1916   </v>
      </c>
      <c r="G190" t="str">
        <f t="shared" si="47"/>
        <v xml:space="preserve">PR:Games__SP:David20171021     $1916   </v>
      </c>
      <c r="H190" t="str">
        <f t="shared" si="48"/>
        <v xml:space="preserve">PR:Games  SP:David20171021     $1916   </v>
      </c>
      <c r="I190" t="str">
        <f t="shared" si="49"/>
        <v>PR:Games SP:David20171021 $1916</v>
      </c>
      <c r="J190">
        <f t="shared" si="50"/>
        <v>31</v>
      </c>
      <c r="K190">
        <f t="shared" si="51"/>
        <v>54</v>
      </c>
      <c r="L190" t="str">
        <f t="shared" si="52"/>
        <v>Games SP:David20171021 $1916</v>
      </c>
      <c r="M190" t="str">
        <f t="shared" si="53"/>
        <v>Games David20171021 $1916</v>
      </c>
      <c r="N190" s="1" t="str">
        <f t="shared" si="54"/>
        <v>Games David 20171021 $1916</v>
      </c>
      <c r="O190" s="9">
        <f t="shared" si="62"/>
        <v>6</v>
      </c>
      <c r="P190" s="9">
        <f t="shared" si="55"/>
        <v>12</v>
      </c>
      <c r="Q190" s="10">
        <f t="shared" si="56"/>
        <v>21</v>
      </c>
      <c r="R190" s="7" t="str">
        <f t="shared" si="57"/>
        <v>Games</v>
      </c>
      <c r="S190" s="7" t="str">
        <f t="shared" si="58"/>
        <v>David</v>
      </c>
      <c r="T190" s="7" t="str">
        <f t="shared" si="59"/>
        <v>20171021</v>
      </c>
      <c r="U190" s="7">
        <f t="shared" si="60"/>
        <v>1916</v>
      </c>
      <c r="V190" s="8">
        <f t="shared" si="61"/>
        <v>43029</v>
      </c>
    </row>
    <row r="191" spans="1:22">
      <c r="A191" s="3">
        <f t="shared" si="42"/>
        <v>189</v>
      </c>
      <c r="B191" t="s">
        <v>195</v>
      </c>
      <c r="C191">
        <f t="shared" si="43"/>
        <v>31</v>
      </c>
      <c r="D191" t="str">
        <f t="shared" si="44"/>
        <v xml:space="preserve">/PR:Games_SP:Alice2017106   $2406 </v>
      </c>
      <c r="E191">
        <f t="shared" si="45"/>
        <v>32</v>
      </c>
      <c r="F191" t="str">
        <f t="shared" si="46"/>
        <v xml:space="preserve">/PR:Games_SP:Alice2017106   $2406 </v>
      </c>
      <c r="G191" t="str">
        <f t="shared" si="47"/>
        <v xml:space="preserve">PR:Games_SP:Alice2017106   $2406 </v>
      </c>
      <c r="H191" t="str">
        <f t="shared" si="48"/>
        <v xml:space="preserve">PR:Games SP:Alice2017106   $2406 </v>
      </c>
      <c r="I191" t="str">
        <f t="shared" si="49"/>
        <v>PR:Games SP:Alice2017106 $2406</v>
      </c>
      <c r="J191">
        <f t="shared" si="50"/>
        <v>30</v>
      </c>
      <c r="K191">
        <f t="shared" si="51"/>
        <v>54</v>
      </c>
      <c r="L191" t="str">
        <f t="shared" si="52"/>
        <v>Games SP:Alice2017106 $2406</v>
      </c>
      <c r="M191" t="str">
        <f t="shared" si="53"/>
        <v>Games Alice2017106 $2406</v>
      </c>
      <c r="N191" s="1" t="str">
        <f t="shared" si="54"/>
        <v>Games Alice 2017106 $2406</v>
      </c>
      <c r="O191" s="9">
        <f t="shared" si="62"/>
        <v>6</v>
      </c>
      <c r="P191" s="9">
        <f t="shared" si="55"/>
        <v>12</v>
      </c>
      <c r="Q191" s="10">
        <f t="shared" si="56"/>
        <v>20</v>
      </c>
      <c r="R191" s="7" t="str">
        <f t="shared" si="57"/>
        <v>Games</v>
      </c>
      <c r="S191" s="7" t="str">
        <f t="shared" si="58"/>
        <v>Alice</v>
      </c>
      <c r="T191" s="7" t="str">
        <f t="shared" si="59"/>
        <v>2017106</v>
      </c>
      <c r="U191" s="7">
        <f t="shared" si="60"/>
        <v>2406</v>
      </c>
      <c r="V191" s="8">
        <f t="shared" si="61"/>
        <v>43014</v>
      </c>
    </row>
    <row r="192" spans="1:22">
      <c r="A192" s="3">
        <f t="shared" si="42"/>
        <v>190</v>
      </c>
      <c r="B192" t="s">
        <v>196</v>
      </c>
      <c r="C192">
        <f t="shared" si="43"/>
        <v>29</v>
      </c>
      <c r="D192" t="str">
        <f t="shared" si="44"/>
        <v xml:space="preserve">/////PR:Games____SP:Carol20171012    $1878   </v>
      </c>
      <c r="E192">
        <f t="shared" si="45"/>
        <v>32</v>
      </c>
      <c r="F192" t="str">
        <f t="shared" si="46"/>
        <v xml:space="preserve">/////PR:Games____SP:Carol20171012    $1878   </v>
      </c>
      <c r="G192" t="str">
        <f t="shared" si="47"/>
        <v xml:space="preserve">PR:Games____SP:Carol20171012    $1878   </v>
      </c>
      <c r="H192" t="str">
        <f t="shared" si="48"/>
        <v xml:space="preserve">PR:Games    SP:Carol20171012    $1878   </v>
      </c>
      <c r="I192" t="str">
        <f t="shared" si="49"/>
        <v>PR:Games SP:Carol20171012 $1878</v>
      </c>
      <c r="J192">
        <f t="shared" si="50"/>
        <v>31</v>
      </c>
      <c r="K192">
        <f t="shared" si="51"/>
        <v>56</v>
      </c>
      <c r="L192" t="str">
        <f t="shared" si="52"/>
        <v>Games SP:Carol20171012 $1878</v>
      </c>
      <c r="M192" t="str">
        <f t="shared" si="53"/>
        <v>Games Carol20171012 $1878</v>
      </c>
      <c r="N192" s="1" t="str">
        <f t="shared" si="54"/>
        <v>Games Carol 20171012 $1878</v>
      </c>
      <c r="O192" s="9">
        <f t="shared" si="62"/>
        <v>6</v>
      </c>
      <c r="P192" s="9">
        <f t="shared" si="55"/>
        <v>12</v>
      </c>
      <c r="Q192" s="10">
        <f t="shared" si="56"/>
        <v>21</v>
      </c>
      <c r="R192" s="7" t="str">
        <f t="shared" si="57"/>
        <v>Games</v>
      </c>
      <c r="S192" s="7" t="str">
        <f t="shared" si="58"/>
        <v>Carol</v>
      </c>
      <c r="T192" s="7" t="str">
        <f t="shared" si="59"/>
        <v>20171012</v>
      </c>
      <c r="U192" s="7">
        <f t="shared" si="60"/>
        <v>1878</v>
      </c>
      <c r="V192" s="8">
        <f t="shared" si="61"/>
        <v>43020</v>
      </c>
    </row>
    <row r="193" spans="1:22">
      <c r="A193" s="3">
        <f t="shared" si="42"/>
        <v>191</v>
      </c>
      <c r="B193" t="s">
        <v>197</v>
      </c>
      <c r="C193">
        <f t="shared" si="43"/>
        <v>29</v>
      </c>
      <c r="D193" t="str">
        <f t="shared" si="44"/>
        <v xml:space="preserve">////PR:Games____SP:David20171019 $0     </v>
      </c>
      <c r="E193">
        <f t="shared" si="45"/>
        <v>32</v>
      </c>
      <c r="F193" t="str">
        <f t="shared" si="46"/>
        <v xml:space="preserve">////PR:Games____SP:David20171019 $0     </v>
      </c>
      <c r="G193" t="str">
        <f t="shared" si="47"/>
        <v xml:space="preserve">PR:Games____SP:David20171019 $0     </v>
      </c>
      <c r="H193" t="str">
        <f t="shared" si="48"/>
        <v xml:space="preserve">PR:Games    SP:David20171019 $0     </v>
      </c>
      <c r="I193" t="str">
        <f t="shared" si="49"/>
        <v>PR:Games SP:David20171019 $0</v>
      </c>
      <c r="J193">
        <f t="shared" si="50"/>
        <v>28</v>
      </c>
      <c r="K193">
        <f t="shared" si="51"/>
        <v>48</v>
      </c>
      <c r="L193" t="str">
        <f t="shared" si="52"/>
        <v>Games SP:David20171019 $0</v>
      </c>
      <c r="M193" t="str">
        <f t="shared" si="53"/>
        <v>Games David20171019 $0</v>
      </c>
      <c r="N193" s="1" t="str">
        <f t="shared" si="54"/>
        <v>Games David 20171019 $0</v>
      </c>
      <c r="O193" s="9">
        <f t="shared" si="62"/>
        <v>6</v>
      </c>
      <c r="P193" s="9">
        <f t="shared" si="55"/>
        <v>12</v>
      </c>
      <c r="Q193" s="10">
        <f t="shared" si="56"/>
        <v>21</v>
      </c>
      <c r="R193" s="7" t="str">
        <f t="shared" si="57"/>
        <v>Games</v>
      </c>
      <c r="S193" s="7" t="str">
        <f t="shared" si="58"/>
        <v>David</v>
      </c>
      <c r="T193" s="7" t="str">
        <f t="shared" si="59"/>
        <v>20171019</v>
      </c>
      <c r="U193" s="7">
        <f t="shared" si="60"/>
        <v>0</v>
      </c>
      <c r="V193" s="8">
        <f t="shared" si="61"/>
        <v>43027</v>
      </c>
    </row>
    <row r="194" spans="1:22">
      <c r="A194" s="3">
        <f t="shared" si="42"/>
        <v>192</v>
      </c>
      <c r="B194" t="s">
        <v>198</v>
      </c>
      <c r="C194">
        <f t="shared" si="43"/>
        <v>29</v>
      </c>
      <c r="D194" t="str">
        <f t="shared" si="44"/>
        <v xml:space="preserve">/////PR:Music__SP:Carol20171015    $1360   </v>
      </c>
      <c r="E194">
        <f t="shared" si="45"/>
        <v>32</v>
      </c>
      <c r="F194" t="str">
        <f t="shared" si="46"/>
        <v xml:space="preserve">/////PR:Music__SP:Carol20171015    $1360   </v>
      </c>
      <c r="G194" t="str">
        <f t="shared" si="47"/>
        <v xml:space="preserve">PR:Music__SP:Carol20171015    $1360   </v>
      </c>
      <c r="H194" t="str">
        <f t="shared" si="48"/>
        <v xml:space="preserve">PR:Music  SP:Carol20171015    $1360   </v>
      </c>
      <c r="I194" t="str">
        <f t="shared" si="49"/>
        <v>PR:Music SP:Carol20171015 $1360</v>
      </c>
      <c r="J194">
        <f t="shared" si="50"/>
        <v>31</v>
      </c>
      <c r="K194">
        <f t="shared" si="51"/>
        <v>48</v>
      </c>
      <c r="L194" t="str">
        <f t="shared" si="52"/>
        <v>Music SP:Carol20171015 $1360</v>
      </c>
      <c r="M194" t="str">
        <f t="shared" si="53"/>
        <v>Music Carol20171015 $1360</v>
      </c>
      <c r="N194" s="1" t="str">
        <f t="shared" si="54"/>
        <v>Music Carol 20171015 $1360</v>
      </c>
      <c r="O194" s="9">
        <f t="shared" si="62"/>
        <v>6</v>
      </c>
      <c r="P194" s="9">
        <f t="shared" si="55"/>
        <v>12</v>
      </c>
      <c r="Q194" s="10">
        <f t="shared" si="56"/>
        <v>21</v>
      </c>
      <c r="R194" s="7" t="str">
        <f t="shared" si="57"/>
        <v>Music</v>
      </c>
      <c r="S194" s="7" t="str">
        <f t="shared" si="58"/>
        <v>Carol</v>
      </c>
      <c r="T194" s="7" t="str">
        <f t="shared" si="59"/>
        <v>20171015</v>
      </c>
      <c r="U194" s="7">
        <f t="shared" si="60"/>
        <v>1360</v>
      </c>
      <c r="V194" s="8">
        <f t="shared" si="61"/>
        <v>43023</v>
      </c>
    </row>
    <row r="195" spans="1:22">
      <c r="A195" s="3">
        <f t="shared" si="42"/>
        <v>193</v>
      </c>
      <c r="B195" t="s">
        <v>199</v>
      </c>
      <c r="C195">
        <f t="shared" si="43"/>
        <v>28</v>
      </c>
      <c r="D195" t="str">
        <f t="shared" si="44"/>
        <v xml:space="preserve">/PR:Music____SP:Carol20171014     $0  </v>
      </c>
      <c r="E195">
        <f t="shared" si="45"/>
        <v>32</v>
      </c>
      <c r="F195" t="str">
        <f t="shared" si="46"/>
        <v xml:space="preserve">/PR:Music____SP:Carol20171014     $0  </v>
      </c>
      <c r="G195" t="str">
        <f t="shared" si="47"/>
        <v xml:space="preserve">PR:Music____SP:Carol20171014     $0  </v>
      </c>
      <c r="H195" t="str">
        <f t="shared" si="48"/>
        <v xml:space="preserve">PR:Music    SP:Carol20171014     $0  </v>
      </c>
      <c r="I195" t="str">
        <f t="shared" si="49"/>
        <v>PR:Music SP:Carol20171014 $0</v>
      </c>
      <c r="J195">
        <f t="shared" si="50"/>
        <v>28</v>
      </c>
      <c r="K195">
        <f t="shared" si="51"/>
        <v>48</v>
      </c>
      <c r="L195" t="str">
        <f t="shared" si="52"/>
        <v>Music SP:Carol20171014 $0</v>
      </c>
      <c r="M195" t="str">
        <f t="shared" si="53"/>
        <v>Music Carol20171014 $0</v>
      </c>
      <c r="N195" s="1" t="str">
        <f t="shared" si="54"/>
        <v>Music Carol 20171014 $0</v>
      </c>
      <c r="O195" s="9">
        <f t="shared" si="62"/>
        <v>6</v>
      </c>
      <c r="P195" s="9">
        <f t="shared" si="55"/>
        <v>12</v>
      </c>
      <c r="Q195" s="10">
        <f t="shared" si="56"/>
        <v>21</v>
      </c>
      <c r="R195" s="7" t="str">
        <f t="shared" si="57"/>
        <v>Music</v>
      </c>
      <c r="S195" s="7" t="str">
        <f t="shared" si="58"/>
        <v>Carol</v>
      </c>
      <c r="T195" s="7" t="str">
        <f t="shared" si="59"/>
        <v>20171014</v>
      </c>
      <c r="U195" s="7">
        <f t="shared" si="60"/>
        <v>0</v>
      </c>
      <c r="V195" s="8">
        <f t="shared" si="61"/>
        <v>43022</v>
      </c>
    </row>
    <row r="196" spans="1:22">
      <c r="A196" s="3">
        <f t="shared" ref="A196:A259" si="63">A195+1</f>
        <v>194</v>
      </c>
      <c r="B196" t="s">
        <v>200</v>
      </c>
      <c r="C196">
        <f t="shared" ref="C196:C259" si="64">CODE(RIGHT(B196,1))</f>
        <v>30</v>
      </c>
      <c r="D196" t="str">
        <f t="shared" ref="D196:D259" si="65">CLEAN(B196)</f>
        <v xml:space="preserve">//PR:Books_____SP:Barney2017105   $844   </v>
      </c>
      <c r="E196">
        <f t="shared" ref="E196:E259" si="66">CODE(RIGHT(D196,1))</f>
        <v>32</v>
      </c>
      <c r="F196" t="str">
        <f t="shared" ref="F196:F259" si="67">SUBSTITUTE(D196,CHAR(160)," ")</f>
        <v xml:space="preserve">//PR:Books_____SP:Barney2017105   $844   </v>
      </c>
      <c r="G196" t="str">
        <f t="shared" ref="G196:G259" si="68">SUBSTITUTE(F196,"/","")</f>
        <v xml:space="preserve">PR:Books_____SP:Barney2017105   $844   </v>
      </c>
      <c r="H196" t="str">
        <f t="shared" ref="H196:H259" si="69">SUBSTITUTE(G196,"_"," ")</f>
        <v xml:space="preserve">PR:Books     SP:Barney2017105   $844   </v>
      </c>
      <c r="I196" t="str">
        <f t="shared" ref="I196:I259" si="70">TRIM(H196)</f>
        <v>PR:Books SP:Barney2017105 $844</v>
      </c>
      <c r="J196">
        <f t="shared" ref="J196:J259" si="71">LEN(I196)</f>
        <v>30</v>
      </c>
      <c r="K196">
        <f t="shared" ref="K196:K259" si="72">CODE(RIGHT(I196,1))</f>
        <v>52</v>
      </c>
      <c r="L196" t="str">
        <f t="shared" ref="L196:L259" si="73">SUBSTITUTE(I196,"PR:","")</f>
        <v>Books SP:Barney2017105 $844</v>
      </c>
      <c r="M196" t="str">
        <f t="shared" ref="M196:M259" si="74">SUBSTITUTE(L196,"SP:","")</f>
        <v>Books Barney2017105 $844</v>
      </c>
      <c r="N196" s="1" t="str">
        <f t="shared" ref="N196:N259" si="75">SUBSTITUTE(M196,"201710"," 201710")</f>
        <v>Books Barney 2017105 $844</v>
      </c>
      <c r="O196" s="9">
        <f t="shared" si="62"/>
        <v>6</v>
      </c>
      <c r="P196" s="9">
        <f t="shared" ref="P196:P259" si="76">FIND(" ",N196,O196+1)</f>
        <v>13</v>
      </c>
      <c r="Q196" s="10">
        <f t="shared" ref="Q196:Q259" si="77">FIND("$",N196,1)-1</f>
        <v>21</v>
      </c>
      <c r="R196" s="7" t="str">
        <f t="shared" ref="R196:R259" si="78">LEFT(N196,O196-1)</f>
        <v>Books</v>
      </c>
      <c r="S196" s="7" t="str">
        <f t="shared" ref="S196:S259" si="79">MID(N196,O196+1,P196-O196-1)</f>
        <v>Barney</v>
      </c>
      <c r="T196" s="7" t="str">
        <f t="shared" ref="T196:T259" si="80">MID(N196,P196+1,Q196-P196-1)</f>
        <v>2017105</v>
      </c>
      <c r="U196" s="7">
        <f t="shared" ref="U196:U259" si="81">VALUE(MID(N196,Q196+2,99))</f>
        <v>844</v>
      </c>
      <c r="V196" s="8">
        <f t="shared" ref="V196:V259" si="82">DATE(2017,10,MID(T196,7,99))</f>
        <v>43013</v>
      </c>
    </row>
    <row r="197" spans="1:22">
      <c r="A197" s="3">
        <f t="shared" si="63"/>
        <v>195</v>
      </c>
      <c r="B197" t="s">
        <v>201</v>
      </c>
      <c r="C197">
        <f t="shared" si="64"/>
        <v>28</v>
      </c>
      <c r="D197" t="str">
        <f t="shared" si="65"/>
        <v xml:space="preserve">/////PR:Clothing__SP:David20171020  $1172     </v>
      </c>
      <c r="E197">
        <f t="shared" si="66"/>
        <v>32</v>
      </c>
      <c r="F197" t="str">
        <f t="shared" si="67"/>
        <v xml:space="preserve">/////PR:Clothing__SP:David20171020  $1172     </v>
      </c>
      <c r="G197" t="str">
        <f t="shared" si="68"/>
        <v xml:space="preserve">PR:Clothing__SP:David20171020  $1172     </v>
      </c>
      <c r="H197" t="str">
        <f t="shared" si="69"/>
        <v xml:space="preserve">PR:Clothing  SP:David20171020  $1172     </v>
      </c>
      <c r="I197" t="str">
        <f t="shared" si="70"/>
        <v>PR:Clothing SP:David20171020 $1172</v>
      </c>
      <c r="J197">
        <f t="shared" si="71"/>
        <v>34</v>
      </c>
      <c r="K197">
        <f t="shared" si="72"/>
        <v>50</v>
      </c>
      <c r="L197" t="str">
        <f t="shared" si="73"/>
        <v>Clothing SP:David20171020 $1172</v>
      </c>
      <c r="M197" t="str">
        <f t="shared" si="74"/>
        <v>Clothing David20171020 $1172</v>
      </c>
      <c r="N197" s="1" t="str">
        <f t="shared" si="75"/>
        <v>Clothing David 20171020 $1172</v>
      </c>
      <c r="O197" s="9">
        <f t="shared" ref="O197:O260" si="83">FIND(" ",N197,1)</f>
        <v>9</v>
      </c>
      <c r="P197" s="9">
        <f t="shared" si="76"/>
        <v>15</v>
      </c>
      <c r="Q197" s="10">
        <f t="shared" si="77"/>
        <v>24</v>
      </c>
      <c r="R197" s="7" t="str">
        <f t="shared" si="78"/>
        <v>Clothing</v>
      </c>
      <c r="S197" s="7" t="str">
        <f t="shared" si="79"/>
        <v>David</v>
      </c>
      <c r="T197" s="7" t="str">
        <f t="shared" si="80"/>
        <v>20171020</v>
      </c>
      <c r="U197" s="7">
        <f t="shared" si="81"/>
        <v>1172</v>
      </c>
      <c r="V197" s="8">
        <f t="shared" si="82"/>
        <v>43028</v>
      </c>
    </row>
    <row r="198" spans="1:22">
      <c r="A198" s="3">
        <f t="shared" si="63"/>
        <v>196</v>
      </c>
      <c r="B198" t="s">
        <v>202</v>
      </c>
      <c r="C198">
        <f t="shared" si="64"/>
        <v>29</v>
      </c>
      <c r="D198" t="str">
        <f t="shared" si="65"/>
        <v xml:space="preserve">///PR:Books____SP:Alice20171030 $0    </v>
      </c>
      <c r="E198">
        <f t="shared" si="66"/>
        <v>32</v>
      </c>
      <c r="F198" t="str">
        <f t="shared" si="67"/>
        <v xml:space="preserve">///PR:Books____SP:Alice20171030 $0    </v>
      </c>
      <c r="G198" t="str">
        <f t="shared" si="68"/>
        <v xml:space="preserve">PR:Books____SP:Alice20171030 $0    </v>
      </c>
      <c r="H198" t="str">
        <f t="shared" si="69"/>
        <v xml:space="preserve">PR:Books    SP:Alice20171030 $0    </v>
      </c>
      <c r="I198" t="str">
        <f t="shared" si="70"/>
        <v>PR:Books SP:Alice20171030 $0</v>
      </c>
      <c r="J198">
        <f t="shared" si="71"/>
        <v>28</v>
      </c>
      <c r="K198">
        <f t="shared" si="72"/>
        <v>48</v>
      </c>
      <c r="L198" t="str">
        <f t="shared" si="73"/>
        <v>Books SP:Alice20171030 $0</v>
      </c>
      <c r="M198" t="str">
        <f t="shared" si="74"/>
        <v>Books Alice20171030 $0</v>
      </c>
      <c r="N198" s="1" t="str">
        <f t="shared" si="75"/>
        <v>Books Alice 20171030 $0</v>
      </c>
      <c r="O198" s="9">
        <f t="shared" si="83"/>
        <v>6</v>
      </c>
      <c r="P198" s="9">
        <f t="shared" si="76"/>
        <v>12</v>
      </c>
      <c r="Q198" s="10">
        <f t="shared" si="77"/>
        <v>21</v>
      </c>
      <c r="R198" s="7" t="str">
        <f t="shared" si="78"/>
        <v>Books</v>
      </c>
      <c r="S198" s="7" t="str">
        <f t="shared" si="79"/>
        <v>Alice</v>
      </c>
      <c r="T198" s="7" t="str">
        <f t="shared" si="80"/>
        <v>20171030</v>
      </c>
      <c r="U198" s="7">
        <f t="shared" si="81"/>
        <v>0</v>
      </c>
      <c r="V198" s="8">
        <f t="shared" si="82"/>
        <v>43038</v>
      </c>
    </row>
    <row r="199" spans="1:22">
      <c r="A199" s="3">
        <f t="shared" si="63"/>
        <v>197</v>
      </c>
      <c r="B199" t="s">
        <v>203</v>
      </c>
      <c r="C199">
        <f t="shared" si="64"/>
        <v>30</v>
      </c>
      <c r="D199" t="str">
        <f t="shared" si="65"/>
        <v xml:space="preserve">/PR:Music___SP:Alice2017107    $924 </v>
      </c>
      <c r="E199">
        <f t="shared" si="66"/>
        <v>32</v>
      </c>
      <c r="F199" t="str">
        <f t="shared" si="67"/>
        <v xml:space="preserve">/PR:Music___SP:Alice2017107    $924 </v>
      </c>
      <c r="G199" t="str">
        <f t="shared" si="68"/>
        <v xml:space="preserve">PR:Music___SP:Alice2017107    $924 </v>
      </c>
      <c r="H199" t="str">
        <f t="shared" si="69"/>
        <v xml:space="preserve">PR:Music   SP:Alice2017107    $924 </v>
      </c>
      <c r="I199" t="str">
        <f t="shared" si="70"/>
        <v>PR:Music SP:Alice2017107 $924</v>
      </c>
      <c r="J199">
        <f t="shared" si="71"/>
        <v>29</v>
      </c>
      <c r="K199">
        <f t="shared" si="72"/>
        <v>52</v>
      </c>
      <c r="L199" t="str">
        <f t="shared" si="73"/>
        <v>Music SP:Alice2017107 $924</v>
      </c>
      <c r="M199" t="str">
        <f t="shared" si="74"/>
        <v>Music Alice2017107 $924</v>
      </c>
      <c r="N199" s="1" t="str">
        <f t="shared" si="75"/>
        <v>Music Alice 2017107 $924</v>
      </c>
      <c r="O199" s="9">
        <f t="shared" si="83"/>
        <v>6</v>
      </c>
      <c r="P199" s="9">
        <f t="shared" si="76"/>
        <v>12</v>
      </c>
      <c r="Q199" s="10">
        <f t="shared" si="77"/>
        <v>20</v>
      </c>
      <c r="R199" s="7" t="str">
        <f t="shared" si="78"/>
        <v>Music</v>
      </c>
      <c r="S199" s="7" t="str">
        <f t="shared" si="79"/>
        <v>Alice</v>
      </c>
      <c r="T199" s="7" t="str">
        <f t="shared" si="80"/>
        <v>2017107</v>
      </c>
      <c r="U199" s="7">
        <f t="shared" si="81"/>
        <v>924</v>
      </c>
      <c r="V199" s="8">
        <f t="shared" si="82"/>
        <v>43015</v>
      </c>
    </row>
    <row r="200" spans="1:22">
      <c r="A200" s="3">
        <f t="shared" si="63"/>
        <v>198</v>
      </c>
      <c r="B200" t="s">
        <v>204</v>
      </c>
      <c r="C200">
        <f t="shared" si="64"/>
        <v>30</v>
      </c>
      <c r="D200" t="str">
        <f t="shared" si="65"/>
        <v xml:space="preserve">/////PR:Games__SP:Barney2017102     $2368 </v>
      </c>
      <c r="E200">
        <f t="shared" si="66"/>
        <v>32</v>
      </c>
      <c r="F200" t="str">
        <f t="shared" si="67"/>
        <v xml:space="preserve">/////PR:Games__SP:Barney2017102     $2368 </v>
      </c>
      <c r="G200" t="str">
        <f t="shared" si="68"/>
        <v xml:space="preserve">PR:Games__SP:Barney2017102     $2368 </v>
      </c>
      <c r="H200" t="str">
        <f t="shared" si="69"/>
        <v xml:space="preserve">PR:Games  SP:Barney2017102     $2368 </v>
      </c>
      <c r="I200" t="str">
        <f t="shared" si="70"/>
        <v>PR:Games SP:Barney2017102 $2368</v>
      </c>
      <c r="J200">
        <f t="shared" si="71"/>
        <v>31</v>
      </c>
      <c r="K200">
        <f t="shared" si="72"/>
        <v>56</v>
      </c>
      <c r="L200" t="str">
        <f t="shared" si="73"/>
        <v>Games SP:Barney2017102 $2368</v>
      </c>
      <c r="M200" t="str">
        <f t="shared" si="74"/>
        <v>Games Barney2017102 $2368</v>
      </c>
      <c r="N200" s="1" t="str">
        <f t="shared" si="75"/>
        <v>Games Barney 2017102 $2368</v>
      </c>
      <c r="O200" s="9">
        <f t="shared" si="83"/>
        <v>6</v>
      </c>
      <c r="P200" s="9">
        <f t="shared" si="76"/>
        <v>13</v>
      </c>
      <c r="Q200" s="10">
        <f t="shared" si="77"/>
        <v>21</v>
      </c>
      <c r="R200" s="7" t="str">
        <f t="shared" si="78"/>
        <v>Games</v>
      </c>
      <c r="S200" s="7" t="str">
        <f t="shared" si="79"/>
        <v>Barney</v>
      </c>
      <c r="T200" s="7" t="str">
        <f t="shared" si="80"/>
        <v>2017102</v>
      </c>
      <c r="U200" s="7">
        <f t="shared" si="81"/>
        <v>2368</v>
      </c>
      <c r="V200" s="8">
        <f t="shared" si="82"/>
        <v>43010</v>
      </c>
    </row>
    <row r="201" spans="1:22">
      <c r="A201" s="3">
        <f t="shared" si="63"/>
        <v>199</v>
      </c>
      <c r="B201" t="s">
        <v>205</v>
      </c>
      <c r="C201">
        <f t="shared" si="64"/>
        <v>30</v>
      </c>
      <c r="D201" t="str">
        <f t="shared" si="65"/>
        <v xml:space="preserve">////PR:Games____SP:Carol20171018 $1616    </v>
      </c>
      <c r="E201">
        <f t="shared" si="66"/>
        <v>32</v>
      </c>
      <c r="F201" t="str">
        <f t="shared" si="67"/>
        <v xml:space="preserve">////PR:Games____SP:Carol20171018 $1616    </v>
      </c>
      <c r="G201" t="str">
        <f t="shared" si="68"/>
        <v xml:space="preserve">PR:Games____SP:Carol20171018 $1616    </v>
      </c>
      <c r="H201" t="str">
        <f t="shared" si="69"/>
        <v xml:space="preserve">PR:Games    SP:Carol20171018 $1616    </v>
      </c>
      <c r="I201" t="str">
        <f t="shared" si="70"/>
        <v>PR:Games SP:Carol20171018 $1616</v>
      </c>
      <c r="J201">
        <f t="shared" si="71"/>
        <v>31</v>
      </c>
      <c r="K201">
        <f t="shared" si="72"/>
        <v>54</v>
      </c>
      <c r="L201" t="str">
        <f t="shared" si="73"/>
        <v>Games SP:Carol20171018 $1616</v>
      </c>
      <c r="M201" t="str">
        <f t="shared" si="74"/>
        <v>Games Carol20171018 $1616</v>
      </c>
      <c r="N201" s="1" t="str">
        <f t="shared" si="75"/>
        <v>Games Carol 20171018 $1616</v>
      </c>
      <c r="O201" s="9">
        <f t="shared" si="83"/>
        <v>6</v>
      </c>
      <c r="P201" s="9">
        <f t="shared" si="76"/>
        <v>12</v>
      </c>
      <c r="Q201" s="10">
        <f t="shared" si="77"/>
        <v>21</v>
      </c>
      <c r="R201" s="7" t="str">
        <f t="shared" si="78"/>
        <v>Games</v>
      </c>
      <c r="S201" s="7" t="str">
        <f t="shared" si="79"/>
        <v>Carol</v>
      </c>
      <c r="T201" s="7" t="str">
        <f t="shared" si="80"/>
        <v>20171018</v>
      </c>
      <c r="U201" s="7">
        <f t="shared" si="81"/>
        <v>1616</v>
      </c>
      <c r="V201" s="8">
        <f t="shared" si="82"/>
        <v>43026</v>
      </c>
    </row>
    <row r="202" spans="1:22">
      <c r="A202" s="3">
        <f t="shared" si="63"/>
        <v>200</v>
      </c>
      <c r="B202" t="s">
        <v>206</v>
      </c>
      <c r="C202">
        <f t="shared" si="64"/>
        <v>29</v>
      </c>
      <c r="D202" t="str">
        <f t="shared" si="65"/>
        <v xml:space="preserve">//PR:Music_____SP:David20171012     $1445  </v>
      </c>
      <c r="E202">
        <f t="shared" si="66"/>
        <v>32</v>
      </c>
      <c r="F202" t="str">
        <f t="shared" si="67"/>
        <v xml:space="preserve">//PR:Music_____SP:David20171012     $1445  </v>
      </c>
      <c r="G202" t="str">
        <f t="shared" si="68"/>
        <v xml:space="preserve">PR:Music_____SP:David20171012     $1445  </v>
      </c>
      <c r="H202" t="str">
        <f t="shared" si="69"/>
        <v xml:space="preserve">PR:Music     SP:David20171012     $1445  </v>
      </c>
      <c r="I202" t="str">
        <f t="shared" si="70"/>
        <v>PR:Music SP:David20171012 $1445</v>
      </c>
      <c r="J202">
        <f t="shared" si="71"/>
        <v>31</v>
      </c>
      <c r="K202">
        <f t="shared" si="72"/>
        <v>53</v>
      </c>
      <c r="L202" t="str">
        <f t="shared" si="73"/>
        <v>Music SP:David20171012 $1445</v>
      </c>
      <c r="M202" t="str">
        <f t="shared" si="74"/>
        <v>Music David20171012 $1445</v>
      </c>
      <c r="N202" s="1" t="str">
        <f t="shared" si="75"/>
        <v>Music David 20171012 $1445</v>
      </c>
      <c r="O202" s="9">
        <f t="shared" si="83"/>
        <v>6</v>
      </c>
      <c r="P202" s="9">
        <f t="shared" si="76"/>
        <v>12</v>
      </c>
      <c r="Q202" s="10">
        <f t="shared" si="77"/>
        <v>21</v>
      </c>
      <c r="R202" s="7" t="str">
        <f t="shared" si="78"/>
        <v>Music</v>
      </c>
      <c r="S202" s="7" t="str">
        <f t="shared" si="79"/>
        <v>David</v>
      </c>
      <c r="T202" s="7" t="str">
        <f t="shared" si="80"/>
        <v>20171012</v>
      </c>
      <c r="U202" s="7">
        <f t="shared" si="81"/>
        <v>1445</v>
      </c>
      <c r="V202" s="8">
        <f t="shared" si="82"/>
        <v>43020</v>
      </c>
    </row>
    <row r="203" spans="1:22">
      <c r="A203" s="3">
        <f t="shared" si="63"/>
        <v>201</v>
      </c>
      <c r="B203" t="s">
        <v>207</v>
      </c>
      <c r="C203">
        <f t="shared" si="64"/>
        <v>30</v>
      </c>
      <c r="D203" t="str">
        <f t="shared" si="65"/>
        <v xml:space="preserve">/PR:Music___SP:Carol20171030  $1133   </v>
      </c>
      <c r="E203">
        <f t="shared" si="66"/>
        <v>32</v>
      </c>
      <c r="F203" t="str">
        <f t="shared" si="67"/>
        <v xml:space="preserve">/PR:Music___SP:Carol20171030  $1133   </v>
      </c>
      <c r="G203" t="str">
        <f t="shared" si="68"/>
        <v xml:space="preserve">PR:Music___SP:Carol20171030  $1133   </v>
      </c>
      <c r="H203" t="str">
        <f t="shared" si="69"/>
        <v xml:space="preserve">PR:Music   SP:Carol20171030  $1133   </v>
      </c>
      <c r="I203" t="str">
        <f t="shared" si="70"/>
        <v>PR:Music SP:Carol20171030 $1133</v>
      </c>
      <c r="J203">
        <f t="shared" si="71"/>
        <v>31</v>
      </c>
      <c r="K203">
        <f t="shared" si="72"/>
        <v>51</v>
      </c>
      <c r="L203" t="str">
        <f t="shared" si="73"/>
        <v>Music SP:Carol20171030 $1133</v>
      </c>
      <c r="M203" t="str">
        <f t="shared" si="74"/>
        <v>Music Carol20171030 $1133</v>
      </c>
      <c r="N203" s="1" t="str">
        <f t="shared" si="75"/>
        <v>Music Carol 20171030 $1133</v>
      </c>
      <c r="O203" s="9">
        <f t="shared" si="83"/>
        <v>6</v>
      </c>
      <c r="P203" s="9">
        <f t="shared" si="76"/>
        <v>12</v>
      </c>
      <c r="Q203" s="10">
        <f t="shared" si="77"/>
        <v>21</v>
      </c>
      <c r="R203" s="7" t="str">
        <f t="shared" si="78"/>
        <v>Music</v>
      </c>
      <c r="S203" s="7" t="str">
        <f t="shared" si="79"/>
        <v>Carol</v>
      </c>
      <c r="T203" s="7" t="str">
        <f t="shared" si="80"/>
        <v>20171030</v>
      </c>
      <c r="U203" s="7">
        <f t="shared" si="81"/>
        <v>1133</v>
      </c>
      <c r="V203" s="8">
        <f t="shared" si="82"/>
        <v>43038</v>
      </c>
    </row>
    <row r="204" spans="1:22">
      <c r="A204" s="3">
        <f t="shared" si="63"/>
        <v>202</v>
      </c>
      <c r="B204" t="s">
        <v>208</v>
      </c>
      <c r="C204">
        <f t="shared" si="64"/>
        <v>28</v>
      </c>
      <c r="D204" t="str">
        <f t="shared" si="65"/>
        <v xml:space="preserve">/////PR:Clothing___SP:Carol2017105     $0     </v>
      </c>
      <c r="E204">
        <f t="shared" si="66"/>
        <v>32</v>
      </c>
      <c r="F204" t="str">
        <f t="shared" si="67"/>
        <v xml:space="preserve">/////PR:Clothing___SP:Carol2017105     $0     </v>
      </c>
      <c r="G204" t="str">
        <f t="shared" si="68"/>
        <v xml:space="preserve">PR:Clothing___SP:Carol2017105     $0     </v>
      </c>
      <c r="H204" t="str">
        <f t="shared" si="69"/>
        <v xml:space="preserve">PR:Clothing   SP:Carol2017105     $0     </v>
      </c>
      <c r="I204" t="str">
        <f t="shared" si="70"/>
        <v>PR:Clothing SP:Carol2017105 $0</v>
      </c>
      <c r="J204">
        <f t="shared" si="71"/>
        <v>30</v>
      </c>
      <c r="K204">
        <f t="shared" si="72"/>
        <v>48</v>
      </c>
      <c r="L204" t="str">
        <f t="shared" si="73"/>
        <v>Clothing SP:Carol2017105 $0</v>
      </c>
      <c r="M204" t="str">
        <f t="shared" si="74"/>
        <v>Clothing Carol2017105 $0</v>
      </c>
      <c r="N204" s="1" t="str">
        <f t="shared" si="75"/>
        <v>Clothing Carol 2017105 $0</v>
      </c>
      <c r="O204" s="9">
        <f t="shared" si="83"/>
        <v>9</v>
      </c>
      <c r="P204" s="9">
        <f t="shared" si="76"/>
        <v>15</v>
      </c>
      <c r="Q204" s="10">
        <f t="shared" si="77"/>
        <v>23</v>
      </c>
      <c r="R204" s="7" t="str">
        <f t="shared" si="78"/>
        <v>Clothing</v>
      </c>
      <c r="S204" s="7" t="str">
        <f t="shared" si="79"/>
        <v>Carol</v>
      </c>
      <c r="T204" s="7" t="str">
        <f t="shared" si="80"/>
        <v>2017105</v>
      </c>
      <c r="U204" s="7">
        <f t="shared" si="81"/>
        <v>0</v>
      </c>
      <c r="V204" s="8">
        <f t="shared" si="82"/>
        <v>43013</v>
      </c>
    </row>
    <row r="205" spans="1:22">
      <c r="A205" s="3">
        <f t="shared" si="63"/>
        <v>203</v>
      </c>
      <c r="B205" t="s">
        <v>209</v>
      </c>
      <c r="C205">
        <f t="shared" si="64"/>
        <v>31</v>
      </c>
      <c r="D205" t="str">
        <f t="shared" si="65"/>
        <v xml:space="preserve">///PR:Clothing__SP:Alice20171031     $874 </v>
      </c>
      <c r="E205">
        <f t="shared" si="66"/>
        <v>32</v>
      </c>
      <c r="F205" t="str">
        <f t="shared" si="67"/>
        <v xml:space="preserve">///PR:Clothing__SP:Alice20171031     $874 </v>
      </c>
      <c r="G205" t="str">
        <f t="shared" si="68"/>
        <v xml:space="preserve">PR:Clothing__SP:Alice20171031     $874 </v>
      </c>
      <c r="H205" t="str">
        <f t="shared" si="69"/>
        <v xml:space="preserve">PR:Clothing  SP:Alice20171031     $874 </v>
      </c>
      <c r="I205" t="str">
        <f t="shared" si="70"/>
        <v>PR:Clothing SP:Alice20171031 $874</v>
      </c>
      <c r="J205">
        <f t="shared" si="71"/>
        <v>33</v>
      </c>
      <c r="K205">
        <f t="shared" si="72"/>
        <v>52</v>
      </c>
      <c r="L205" t="str">
        <f t="shared" si="73"/>
        <v>Clothing SP:Alice20171031 $874</v>
      </c>
      <c r="M205" t="str">
        <f t="shared" si="74"/>
        <v>Clothing Alice20171031 $874</v>
      </c>
      <c r="N205" s="1" t="str">
        <f t="shared" si="75"/>
        <v>Clothing Alice 20171031 $874</v>
      </c>
      <c r="O205" s="9">
        <f t="shared" si="83"/>
        <v>9</v>
      </c>
      <c r="P205" s="9">
        <f t="shared" si="76"/>
        <v>15</v>
      </c>
      <c r="Q205" s="10">
        <f t="shared" si="77"/>
        <v>24</v>
      </c>
      <c r="R205" s="7" t="str">
        <f t="shared" si="78"/>
        <v>Clothing</v>
      </c>
      <c r="S205" s="7" t="str">
        <f t="shared" si="79"/>
        <v>Alice</v>
      </c>
      <c r="T205" s="7" t="str">
        <f t="shared" si="80"/>
        <v>20171031</v>
      </c>
      <c r="U205" s="7">
        <f t="shared" si="81"/>
        <v>874</v>
      </c>
      <c r="V205" s="8">
        <f t="shared" si="82"/>
        <v>43039</v>
      </c>
    </row>
    <row r="206" spans="1:22">
      <c r="A206" s="3">
        <f t="shared" si="63"/>
        <v>204</v>
      </c>
      <c r="B206" t="s">
        <v>210</v>
      </c>
      <c r="C206">
        <f t="shared" si="64"/>
        <v>31</v>
      </c>
      <c r="D206" t="str">
        <f t="shared" si="65"/>
        <v xml:space="preserve">//PR:Music___SP:Carol2017108     $1003   </v>
      </c>
      <c r="E206">
        <f t="shared" si="66"/>
        <v>32</v>
      </c>
      <c r="F206" t="str">
        <f t="shared" si="67"/>
        <v xml:space="preserve">//PR:Music___SP:Carol2017108     $1003   </v>
      </c>
      <c r="G206" t="str">
        <f t="shared" si="68"/>
        <v xml:space="preserve">PR:Music___SP:Carol2017108     $1003   </v>
      </c>
      <c r="H206" t="str">
        <f t="shared" si="69"/>
        <v xml:space="preserve">PR:Music   SP:Carol2017108     $1003   </v>
      </c>
      <c r="I206" t="str">
        <f t="shared" si="70"/>
        <v>PR:Music SP:Carol2017108 $1003</v>
      </c>
      <c r="J206">
        <f t="shared" si="71"/>
        <v>30</v>
      </c>
      <c r="K206">
        <f t="shared" si="72"/>
        <v>51</v>
      </c>
      <c r="L206" t="str">
        <f t="shared" si="73"/>
        <v>Music SP:Carol2017108 $1003</v>
      </c>
      <c r="M206" t="str">
        <f t="shared" si="74"/>
        <v>Music Carol2017108 $1003</v>
      </c>
      <c r="N206" s="1" t="str">
        <f t="shared" si="75"/>
        <v>Music Carol 2017108 $1003</v>
      </c>
      <c r="O206" s="9">
        <f t="shared" si="83"/>
        <v>6</v>
      </c>
      <c r="P206" s="9">
        <f t="shared" si="76"/>
        <v>12</v>
      </c>
      <c r="Q206" s="10">
        <f t="shared" si="77"/>
        <v>20</v>
      </c>
      <c r="R206" s="7" t="str">
        <f t="shared" si="78"/>
        <v>Music</v>
      </c>
      <c r="S206" s="7" t="str">
        <f t="shared" si="79"/>
        <v>Carol</v>
      </c>
      <c r="T206" s="7" t="str">
        <f t="shared" si="80"/>
        <v>2017108</v>
      </c>
      <c r="U206" s="7">
        <f t="shared" si="81"/>
        <v>1003</v>
      </c>
      <c r="V206" s="8">
        <f t="shared" si="82"/>
        <v>43016</v>
      </c>
    </row>
    <row r="207" spans="1:22">
      <c r="A207" s="3">
        <f t="shared" si="63"/>
        <v>205</v>
      </c>
      <c r="B207" t="s">
        <v>211</v>
      </c>
      <c r="C207">
        <f t="shared" si="64"/>
        <v>30</v>
      </c>
      <c r="D207" t="str">
        <f t="shared" si="65"/>
        <v xml:space="preserve">///PR:Books__SP:David20171012     $688  </v>
      </c>
      <c r="E207">
        <f t="shared" si="66"/>
        <v>32</v>
      </c>
      <c r="F207" t="str">
        <f t="shared" si="67"/>
        <v xml:space="preserve">///PR:Books__SP:David20171012     $688  </v>
      </c>
      <c r="G207" t="str">
        <f t="shared" si="68"/>
        <v xml:space="preserve">PR:Books__SP:David20171012     $688  </v>
      </c>
      <c r="H207" t="str">
        <f t="shared" si="69"/>
        <v xml:space="preserve">PR:Books  SP:David20171012     $688  </v>
      </c>
      <c r="I207" t="str">
        <f t="shared" si="70"/>
        <v>PR:Books SP:David20171012 $688</v>
      </c>
      <c r="J207">
        <f t="shared" si="71"/>
        <v>30</v>
      </c>
      <c r="K207">
        <f t="shared" si="72"/>
        <v>56</v>
      </c>
      <c r="L207" t="str">
        <f t="shared" si="73"/>
        <v>Books SP:David20171012 $688</v>
      </c>
      <c r="M207" t="str">
        <f t="shared" si="74"/>
        <v>Books David20171012 $688</v>
      </c>
      <c r="N207" s="1" t="str">
        <f t="shared" si="75"/>
        <v>Books David 20171012 $688</v>
      </c>
      <c r="O207" s="9">
        <f t="shared" si="83"/>
        <v>6</v>
      </c>
      <c r="P207" s="9">
        <f t="shared" si="76"/>
        <v>12</v>
      </c>
      <c r="Q207" s="10">
        <f t="shared" si="77"/>
        <v>21</v>
      </c>
      <c r="R207" s="7" t="str">
        <f t="shared" si="78"/>
        <v>Books</v>
      </c>
      <c r="S207" s="7" t="str">
        <f t="shared" si="79"/>
        <v>David</v>
      </c>
      <c r="T207" s="7" t="str">
        <f t="shared" si="80"/>
        <v>20171012</v>
      </c>
      <c r="U207" s="7">
        <f t="shared" si="81"/>
        <v>688</v>
      </c>
      <c r="V207" s="8">
        <f t="shared" si="82"/>
        <v>43020</v>
      </c>
    </row>
    <row r="208" spans="1:22">
      <c r="A208" s="3">
        <f t="shared" si="63"/>
        <v>206</v>
      </c>
      <c r="B208" t="s">
        <v>212</v>
      </c>
      <c r="C208">
        <f t="shared" si="64"/>
        <v>30</v>
      </c>
      <c r="D208" t="str">
        <f t="shared" si="65"/>
        <v xml:space="preserve">//PR:Clothing_____SP:Carol20171022  $1334     </v>
      </c>
      <c r="E208">
        <f t="shared" si="66"/>
        <v>32</v>
      </c>
      <c r="F208" t="str">
        <f t="shared" si="67"/>
        <v xml:space="preserve">//PR:Clothing_____SP:Carol20171022  $1334     </v>
      </c>
      <c r="G208" t="str">
        <f t="shared" si="68"/>
        <v xml:space="preserve">PR:Clothing_____SP:Carol20171022  $1334     </v>
      </c>
      <c r="H208" t="str">
        <f t="shared" si="69"/>
        <v xml:space="preserve">PR:Clothing     SP:Carol20171022  $1334     </v>
      </c>
      <c r="I208" t="str">
        <f t="shared" si="70"/>
        <v>PR:Clothing SP:Carol20171022 $1334</v>
      </c>
      <c r="J208">
        <f t="shared" si="71"/>
        <v>34</v>
      </c>
      <c r="K208">
        <f t="shared" si="72"/>
        <v>52</v>
      </c>
      <c r="L208" t="str">
        <f t="shared" si="73"/>
        <v>Clothing SP:Carol20171022 $1334</v>
      </c>
      <c r="M208" t="str">
        <f t="shared" si="74"/>
        <v>Clothing Carol20171022 $1334</v>
      </c>
      <c r="N208" s="1" t="str">
        <f t="shared" si="75"/>
        <v>Clothing Carol 20171022 $1334</v>
      </c>
      <c r="O208" s="9">
        <f t="shared" si="83"/>
        <v>9</v>
      </c>
      <c r="P208" s="9">
        <f t="shared" si="76"/>
        <v>15</v>
      </c>
      <c r="Q208" s="10">
        <f t="shared" si="77"/>
        <v>24</v>
      </c>
      <c r="R208" s="7" t="str">
        <f t="shared" si="78"/>
        <v>Clothing</v>
      </c>
      <c r="S208" s="7" t="str">
        <f t="shared" si="79"/>
        <v>Carol</v>
      </c>
      <c r="T208" s="7" t="str">
        <f t="shared" si="80"/>
        <v>20171022</v>
      </c>
      <c r="U208" s="7">
        <f t="shared" si="81"/>
        <v>1334</v>
      </c>
      <c r="V208" s="8">
        <f t="shared" si="82"/>
        <v>43030</v>
      </c>
    </row>
    <row r="209" spans="1:22">
      <c r="A209" s="3">
        <f t="shared" si="63"/>
        <v>207</v>
      </c>
      <c r="B209" t="s">
        <v>213</v>
      </c>
      <c r="C209">
        <f t="shared" si="64"/>
        <v>30</v>
      </c>
      <c r="D209" t="str">
        <f t="shared" si="65"/>
        <v xml:space="preserve">/PR:Books_SP:Alice20171014     $552  </v>
      </c>
      <c r="E209">
        <f t="shared" si="66"/>
        <v>32</v>
      </c>
      <c r="F209" t="str">
        <f t="shared" si="67"/>
        <v xml:space="preserve">/PR:Books_SP:Alice20171014     $552  </v>
      </c>
      <c r="G209" t="str">
        <f t="shared" si="68"/>
        <v xml:space="preserve">PR:Books_SP:Alice20171014     $552  </v>
      </c>
      <c r="H209" t="str">
        <f t="shared" si="69"/>
        <v xml:space="preserve">PR:Books SP:Alice20171014     $552  </v>
      </c>
      <c r="I209" t="str">
        <f t="shared" si="70"/>
        <v>PR:Books SP:Alice20171014 $552</v>
      </c>
      <c r="J209">
        <f t="shared" si="71"/>
        <v>30</v>
      </c>
      <c r="K209">
        <f t="shared" si="72"/>
        <v>50</v>
      </c>
      <c r="L209" t="str">
        <f t="shared" si="73"/>
        <v>Books SP:Alice20171014 $552</v>
      </c>
      <c r="M209" t="str">
        <f t="shared" si="74"/>
        <v>Books Alice20171014 $552</v>
      </c>
      <c r="N209" s="1" t="str">
        <f t="shared" si="75"/>
        <v>Books Alice 20171014 $552</v>
      </c>
      <c r="O209" s="9">
        <f t="shared" si="83"/>
        <v>6</v>
      </c>
      <c r="P209" s="9">
        <f t="shared" si="76"/>
        <v>12</v>
      </c>
      <c r="Q209" s="10">
        <f t="shared" si="77"/>
        <v>21</v>
      </c>
      <c r="R209" s="7" t="str">
        <f t="shared" si="78"/>
        <v>Books</v>
      </c>
      <c r="S209" s="7" t="str">
        <f t="shared" si="79"/>
        <v>Alice</v>
      </c>
      <c r="T209" s="7" t="str">
        <f t="shared" si="80"/>
        <v>20171014</v>
      </c>
      <c r="U209" s="7">
        <f t="shared" si="81"/>
        <v>552</v>
      </c>
      <c r="V209" s="8">
        <f t="shared" si="82"/>
        <v>43022</v>
      </c>
    </row>
    <row r="210" spans="1:22">
      <c r="A210" s="3">
        <f t="shared" si="63"/>
        <v>208</v>
      </c>
      <c r="B210" t="s">
        <v>214</v>
      </c>
      <c r="C210">
        <f t="shared" si="64"/>
        <v>31</v>
      </c>
      <c r="D210" t="str">
        <f t="shared" si="65"/>
        <v xml:space="preserve">////PR:Books_____SP:Carol20171011     $776   </v>
      </c>
      <c r="E210">
        <f t="shared" si="66"/>
        <v>32</v>
      </c>
      <c r="F210" t="str">
        <f t="shared" si="67"/>
        <v xml:space="preserve">////PR:Books_____SP:Carol20171011     $776   </v>
      </c>
      <c r="G210" t="str">
        <f t="shared" si="68"/>
        <v xml:space="preserve">PR:Books_____SP:Carol20171011     $776   </v>
      </c>
      <c r="H210" t="str">
        <f t="shared" si="69"/>
        <v xml:space="preserve">PR:Books     SP:Carol20171011     $776   </v>
      </c>
      <c r="I210" t="str">
        <f t="shared" si="70"/>
        <v>PR:Books SP:Carol20171011 $776</v>
      </c>
      <c r="J210">
        <f t="shared" si="71"/>
        <v>30</v>
      </c>
      <c r="K210">
        <f t="shared" si="72"/>
        <v>54</v>
      </c>
      <c r="L210" t="str">
        <f t="shared" si="73"/>
        <v>Books SP:Carol20171011 $776</v>
      </c>
      <c r="M210" t="str">
        <f t="shared" si="74"/>
        <v>Books Carol20171011 $776</v>
      </c>
      <c r="N210" s="1" t="str">
        <f t="shared" si="75"/>
        <v>Books Carol 20171011 $776</v>
      </c>
      <c r="O210" s="9">
        <f t="shared" si="83"/>
        <v>6</v>
      </c>
      <c r="P210" s="9">
        <f t="shared" si="76"/>
        <v>12</v>
      </c>
      <c r="Q210" s="10">
        <f t="shared" si="77"/>
        <v>21</v>
      </c>
      <c r="R210" s="7" t="str">
        <f t="shared" si="78"/>
        <v>Books</v>
      </c>
      <c r="S210" s="7" t="str">
        <f t="shared" si="79"/>
        <v>Carol</v>
      </c>
      <c r="T210" s="7" t="str">
        <f t="shared" si="80"/>
        <v>20171011</v>
      </c>
      <c r="U210" s="7">
        <f t="shared" si="81"/>
        <v>776</v>
      </c>
      <c r="V210" s="8">
        <f t="shared" si="82"/>
        <v>43019</v>
      </c>
    </row>
    <row r="211" spans="1:22">
      <c r="A211" s="3">
        <f t="shared" si="63"/>
        <v>209</v>
      </c>
      <c r="B211" t="s">
        <v>215</v>
      </c>
      <c r="C211">
        <f t="shared" si="64"/>
        <v>30</v>
      </c>
      <c r="D211" t="str">
        <f t="shared" si="65"/>
        <v xml:space="preserve">/PR:Games__SP:Barney20171028    $1261    </v>
      </c>
      <c r="E211">
        <f t="shared" si="66"/>
        <v>32</v>
      </c>
      <c r="F211" t="str">
        <f t="shared" si="67"/>
        <v xml:space="preserve">/PR:Games__SP:Barney20171028    $1261    </v>
      </c>
      <c r="G211" t="str">
        <f t="shared" si="68"/>
        <v xml:space="preserve">PR:Games__SP:Barney20171028    $1261    </v>
      </c>
      <c r="H211" t="str">
        <f t="shared" si="69"/>
        <v xml:space="preserve">PR:Games  SP:Barney20171028    $1261    </v>
      </c>
      <c r="I211" t="str">
        <f t="shared" si="70"/>
        <v>PR:Games SP:Barney20171028 $1261</v>
      </c>
      <c r="J211">
        <f t="shared" si="71"/>
        <v>32</v>
      </c>
      <c r="K211">
        <f t="shared" si="72"/>
        <v>49</v>
      </c>
      <c r="L211" t="str">
        <f t="shared" si="73"/>
        <v>Games SP:Barney20171028 $1261</v>
      </c>
      <c r="M211" t="str">
        <f t="shared" si="74"/>
        <v>Games Barney20171028 $1261</v>
      </c>
      <c r="N211" s="1" t="str">
        <f t="shared" si="75"/>
        <v>Games Barney 20171028 $1261</v>
      </c>
      <c r="O211" s="9">
        <f t="shared" si="83"/>
        <v>6</v>
      </c>
      <c r="P211" s="9">
        <f t="shared" si="76"/>
        <v>13</v>
      </c>
      <c r="Q211" s="10">
        <f t="shared" si="77"/>
        <v>22</v>
      </c>
      <c r="R211" s="7" t="str">
        <f t="shared" si="78"/>
        <v>Games</v>
      </c>
      <c r="S211" s="7" t="str">
        <f t="shared" si="79"/>
        <v>Barney</v>
      </c>
      <c r="T211" s="7" t="str">
        <f t="shared" si="80"/>
        <v>20171028</v>
      </c>
      <c r="U211" s="7">
        <f t="shared" si="81"/>
        <v>1261</v>
      </c>
      <c r="V211" s="8">
        <f t="shared" si="82"/>
        <v>43036</v>
      </c>
    </row>
    <row r="212" spans="1:22">
      <c r="A212" s="3">
        <f t="shared" si="63"/>
        <v>210</v>
      </c>
      <c r="B212" t="s">
        <v>216</v>
      </c>
      <c r="C212">
        <f t="shared" si="64"/>
        <v>30</v>
      </c>
      <c r="D212" t="str">
        <f t="shared" si="65"/>
        <v xml:space="preserve">////PR:Music____SP:David20171022   $1437 </v>
      </c>
      <c r="E212">
        <f t="shared" si="66"/>
        <v>32</v>
      </c>
      <c r="F212" t="str">
        <f t="shared" si="67"/>
        <v xml:space="preserve">////PR:Music____SP:David20171022   $1437 </v>
      </c>
      <c r="G212" t="str">
        <f t="shared" si="68"/>
        <v xml:space="preserve">PR:Music____SP:David20171022   $1437 </v>
      </c>
      <c r="H212" t="str">
        <f t="shared" si="69"/>
        <v xml:space="preserve">PR:Music    SP:David20171022   $1437 </v>
      </c>
      <c r="I212" t="str">
        <f t="shared" si="70"/>
        <v>PR:Music SP:David20171022 $1437</v>
      </c>
      <c r="J212">
        <f t="shared" si="71"/>
        <v>31</v>
      </c>
      <c r="K212">
        <f t="shared" si="72"/>
        <v>55</v>
      </c>
      <c r="L212" t="str">
        <f t="shared" si="73"/>
        <v>Music SP:David20171022 $1437</v>
      </c>
      <c r="M212" t="str">
        <f t="shared" si="74"/>
        <v>Music David20171022 $1437</v>
      </c>
      <c r="N212" s="1" t="str">
        <f t="shared" si="75"/>
        <v>Music David 20171022 $1437</v>
      </c>
      <c r="O212" s="9">
        <f t="shared" si="83"/>
        <v>6</v>
      </c>
      <c r="P212" s="9">
        <f t="shared" si="76"/>
        <v>12</v>
      </c>
      <c r="Q212" s="10">
        <f t="shared" si="77"/>
        <v>21</v>
      </c>
      <c r="R212" s="7" t="str">
        <f t="shared" si="78"/>
        <v>Music</v>
      </c>
      <c r="S212" s="7" t="str">
        <f t="shared" si="79"/>
        <v>David</v>
      </c>
      <c r="T212" s="7" t="str">
        <f t="shared" si="80"/>
        <v>20171022</v>
      </c>
      <c r="U212" s="7">
        <f t="shared" si="81"/>
        <v>1437</v>
      </c>
      <c r="V212" s="8">
        <f t="shared" si="82"/>
        <v>43030</v>
      </c>
    </row>
    <row r="213" spans="1:22">
      <c r="A213" s="3">
        <f t="shared" si="63"/>
        <v>211</v>
      </c>
      <c r="B213" t="s">
        <v>217</v>
      </c>
      <c r="C213">
        <f t="shared" si="64"/>
        <v>28</v>
      </c>
      <c r="D213" t="str">
        <f t="shared" si="65"/>
        <v xml:space="preserve">/PR:Clothing__SP:David20171025 $0     </v>
      </c>
      <c r="E213">
        <f t="shared" si="66"/>
        <v>32</v>
      </c>
      <c r="F213" t="str">
        <f t="shared" si="67"/>
        <v xml:space="preserve">/PR:Clothing__SP:David20171025 $0     </v>
      </c>
      <c r="G213" t="str">
        <f t="shared" si="68"/>
        <v xml:space="preserve">PR:Clothing__SP:David20171025 $0     </v>
      </c>
      <c r="H213" t="str">
        <f t="shared" si="69"/>
        <v xml:space="preserve">PR:Clothing  SP:David20171025 $0     </v>
      </c>
      <c r="I213" t="str">
        <f t="shared" si="70"/>
        <v>PR:Clothing SP:David20171025 $0</v>
      </c>
      <c r="J213">
        <f t="shared" si="71"/>
        <v>31</v>
      </c>
      <c r="K213">
        <f t="shared" si="72"/>
        <v>48</v>
      </c>
      <c r="L213" t="str">
        <f t="shared" si="73"/>
        <v>Clothing SP:David20171025 $0</v>
      </c>
      <c r="M213" t="str">
        <f t="shared" si="74"/>
        <v>Clothing David20171025 $0</v>
      </c>
      <c r="N213" s="1" t="str">
        <f t="shared" si="75"/>
        <v>Clothing David 20171025 $0</v>
      </c>
      <c r="O213" s="9">
        <f t="shared" si="83"/>
        <v>9</v>
      </c>
      <c r="P213" s="9">
        <f t="shared" si="76"/>
        <v>15</v>
      </c>
      <c r="Q213" s="10">
        <f t="shared" si="77"/>
        <v>24</v>
      </c>
      <c r="R213" s="7" t="str">
        <f t="shared" si="78"/>
        <v>Clothing</v>
      </c>
      <c r="S213" s="7" t="str">
        <f t="shared" si="79"/>
        <v>David</v>
      </c>
      <c r="T213" s="7" t="str">
        <f t="shared" si="80"/>
        <v>20171025</v>
      </c>
      <c r="U213" s="7">
        <f t="shared" si="81"/>
        <v>0</v>
      </c>
      <c r="V213" s="8">
        <f t="shared" si="82"/>
        <v>43033</v>
      </c>
    </row>
    <row r="214" spans="1:22">
      <c r="A214" s="3">
        <f t="shared" si="63"/>
        <v>212</v>
      </c>
      <c r="B214" t="s">
        <v>218</v>
      </c>
      <c r="C214">
        <f t="shared" si="64"/>
        <v>30</v>
      </c>
      <c r="D214" t="str">
        <f t="shared" si="65"/>
        <v xml:space="preserve">///PR:Games_SP:David20171031    $1562  </v>
      </c>
      <c r="E214">
        <f t="shared" si="66"/>
        <v>32</v>
      </c>
      <c r="F214" t="str">
        <f t="shared" si="67"/>
        <v xml:space="preserve">///PR:Games_SP:David20171031    $1562  </v>
      </c>
      <c r="G214" t="str">
        <f t="shared" si="68"/>
        <v xml:space="preserve">PR:Games_SP:David20171031    $1562  </v>
      </c>
      <c r="H214" t="str">
        <f t="shared" si="69"/>
        <v xml:space="preserve">PR:Games SP:David20171031    $1562  </v>
      </c>
      <c r="I214" t="str">
        <f t="shared" si="70"/>
        <v>PR:Games SP:David20171031 $1562</v>
      </c>
      <c r="J214">
        <f t="shared" si="71"/>
        <v>31</v>
      </c>
      <c r="K214">
        <f t="shared" si="72"/>
        <v>50</v>
      </c>
      <c r="L214" t="str">
        <f t="shared" si="73"/>
        <v>Games SP:David20171031 $1562</v>
      </c>
      <c r="M214" t="str">
        <f t="shared" si="74"/>
        <v>Games David20171031 $1562</v>
      </c>
      <c r="N214" s="1" t="str">
        <f t="shared" si="75"/>
        <v>Games David 20171031 $1562</v>
      </c>
      <c r="O214" s="9">
        <f t="shared" si="83"/>
        <v>6</v>
      </c>
      <c r="P214" s="9">
        <f t="shared" si="76"/>
        <v>12</v>
      </c>
      <c r="Q214" s="10">
        <f t="shared" si="77"/>
        <v>21</v>
      </c>
      <c r="R214" s="7" t="str">
        <f t="shared" si="78"/>
        <v>Games</v>
      </c>
      <c r="S214" s="7" t="str">
        <f t="shared" si="79"/>
        <v>David</v>
      </c>
      <c r="T214" s="7" t="str">
        <f t="shared" si="80"/>
        <v>20171031</v>
      </c>
      <c r="U214" s="7">
        <f t="shared" si="81"/>
        <v>1562</v>
      </c>
      <c r="V214" s="8">
        <f t="shared" si="82"/>
        <v>43039</v>
      </c>
    </row>
    <row r="215" spans="1:22">
      <c r="A215" s="3">
        <f t="shared" si="63"/>
        <v>213</v>
      </c>
      <c r="B215" t="s">
        <v>219</v>
      </c>
      <c r="C215">
        <f t="shared" si="64"/>
        <v>29</v>
      </c>
      <c r="D215" t="str">
        <f t="shared" si="65"/>
        <v xml:space="preserve">/PR:Music___SP:Alice20171021 $1342    </v>
      </c>
      <c r="E215">
        <f t="shared" si="66"/>
        <v>32</v>
      </c>
      <c r="F215" t="str">
        <f t="shared" si="67"/>
        <v xml:space="preserve">/PR:Music___SP:Alice20171021 $1342    </v>
      </c>
      <c r="G215" t="str">
        <f t="shared" si="68"/>
        <v xml:space="preserve">PR:Music___SP:Alice20171021 $1342    </v>
      </c>
      <c r="H215" t="str">
        <f t="shared" si="69"/>
        <v xml:space="preserve">PR:Music   SP:Alice20171021 $1342    </v>
      </c>
      <c r="I215" t="str">
        <f t="shared" si="70"/>
        <v>PR:Music SP:Alice20171021 $1342</v>
      </c>
      <c r="J215">
        <f t="shared" si="71"/>
        <v>31</v>
      </c>
      <c r="K215">
        <f t="shared" si="72"/>
        <v>50</v>
      </c>
      <c r="L215" t="str">
        <f t="shared" si="73"/>
        <v>Music SP:Alice20171021 $1342</v>
      </c>
      <c r="M215" t="str">
        <f t="shared" si="74"/>
        <v>Music Alice20171021 $1342</v>
      </c>
      <c r="N215" s="1" t="str">
        <f t="shared" si="75"/>
        <v>Music Alice 20171021 $1342</v>
      </c>
      <c r="O215" s="9">
        <f t="shared" si="83"/>
        <v>6</v>
      </c>
      <c r="P215" s="9">
        <f t="shared" si="76"/>
        <v>12</v>
      </c>
      <c r="Q215" s="10">
        <f t="shared" si="77"/>
        <v>21</v>
      </c>
      <c r="R215" s="7" t="str">
        <f t="shared" si="78"/>
        <v>Music</v>
      </c>
      <c r="S215" s="7" t="str">
        <f t="shared" si="79"/>
        <v>Alice</v>
      </c>
      <c r="T215" s="7" t="str">
        <f t="shared" si="80"/>
        <v>20171021</v>
      </c>
      <c r="U215" s="7">
        <f t="shared" si="81"/>
        <v>1342</v>
      </c>
      <c r="V215" s="8">
        <f t="shared" si="82"/>
        <v>43029</v>
      </c>
    </row>
    <row r="216" spans="1:22">
      <c r="A216" s="3">
        <f t="shared" si="63"/>
        <v>214</v>
      </c>
      <c r="B216" t="s">
        <v>220</v>
      </c>
      <c r="C216">
        <f t="shared" si="64"/>
        <v>31</v>
      </c>
      <c r="D216" t="str">
        <f t="shared" si="65"/>
        <v xml:space="preserve">////PR:Music__SP:David2017103     $0 </v>
      </c>
      <c r="E216">
        <f t="shared" si="66"/>
        <v>32</v>
      </c>
      <c r="F216" t="str">
        <f t="shared" si="67"/>
        <v xml:space="preserve">////PR:Music__SP:David2017103     $0 </v>
      </c>
      <c r="G216" t="str">
        <f t="shared" si="68"/>
        <v xml:space="preserve">PR:Music__SP:David2017103     $0 </v>
      </c>
      <c r="H216" t="str">
        <f t="shared" si="69"/>
        <v xml:space="preserve">PR:Music  SP:David2017103     $0 </v>
      </c>
      <c r="I216" t="str">
        <f t="shared" si="70"/>
        <v>PR:Music SP:David2017103 $0</v>
      </c>
      <c r="J216">
        <f t="shared" si="71"/>
        <v>27</v>
      </c>
      <c r="K216">
        <f t="shared" si="72"/>
        <v>48</v>
      </c>
      <c r="L216" t="str">
        <f t="shared" si="73"/>
        <v>Music SP:David2017103 $0</v>
      </c>
      <c r="M216" t="str">
        <f t="shared" si="74"/>
        <v>Music David2017103 $0</v>
      </c>
      <c r="N216" s="1" t="str">
        <f t="shared" si="75"/>
        <v>Music David 2017103 $0</v>
      </c>
      <c r="O216" s="9">
        <f t="shared" si="83"/>
        <v>6</v>
      </c>
      <c r="P216" s="9">
        <f t="shared" si="76"/>
        <v>12</v>
      </c>
      <c r="Q216" s="10">
        <f t="shared" si="77"/>
        <v>20</v>
      </c>
      <c r="R216" s="7" t="str">
        <f t="shared" si="78"/>
        <v>Music</v>
      </c>
      <c r="S216" s="7" t="str">
        <f t="shared" si="79"/>
        <v>David</v>
      </c>
      <c r="T216" s="7" t="str">
        <f t="shared" si="80"/>
        <v>2017103</v>
      </c>
      <c r="U216" s="7">
        <f t="shared" si="81"/>
        <v>0</v>
      </c>
      <c r="V216" s="8">
        <f t="shared" si="82"/>
        <v>43011</v>
      </c>
    </row>
    <row r="217" spans="1:22">
      <c r="A217" s="3">
        <f t="shared" si="63"/>
        <v>215</v>
      </c>
      <c r="B217" t="s">
        <v>221</v>
      </c>
      <c r="C217">
        <f t="shared" si="64"/>
        <v>31</v>
      </c>
      <c r="D217" t="str">
        <f t="shared" si="65"/>
        <v xml:space="preserve">/PR:Games____SP:Alice20171017     $892 </v>
      </c>
      <c r="E217">
        <f t="shared" si="66"/>
        <v>32</v>
      </c>
      <c r="F217" t="str">
        <f t="shared" si="67"/>
        <v xml:space="preserve">/PR:Games____SP:Alice20171017     $892 </v>
      </c>
      <c r="G217" t="str">
        <f t="shared" si="68"/>
        <v xml:space="preserve">PR:Games____SP:Alice20171017     $892 </v>
      </c>
      <c r="H217" t="str">
        <f t="shared" si="69"/>
        <v xml:space="preserve">PR:Games    SP:Alice20171017     $892 </v>
      </c>
      <c r="I217" t="str">
        <f t="shared" si="70"/>
        <v>PR:Games SP:Alice20171017 $892</v>
      </c>
      <c r="J217">
        <f t="shared" si="71"/>
        <v>30</v>
      </c>
      <c r="K217">
        <f t="shared" si="72"/>
        <v>50</v>
      </c>
      <c r="L217" t="str">
        <f t="shared" si="73"/>
        <v>Games SP:Alice20171017 $892</v>
      </c>
      <c r="M217" t="str">
        <f t="shared" si="74"/>
        <v>Games Alice20171017 $892</v>
      </c>
      <c r="N217" s="1" t="str">
        <f t="shared" si="75"/>
        <v>Games Alice 20171017 $892</v>
      </c>
      <c r="O217" s="9">
        <f t="shared" si="83"/>
        <v>6</v>
      </c>
      <c r="P217" s="9">
        <f t="shared" si="76"/>
        <v>12</v>
      </c>
      <c r="Q217" s="10">
        <f t="shared" si="77"/>
        <v>21</v>
      </c>
      <c r="R217" s="7" t="str">
        <f t="shared" si="78"/>
        <v>Games</v>
      </c>
      <c r="S217" s="7" t="str">
        <f t="shared" si="79"/>
        <v>Alice</v>
      </c>
      <c r="T217" s="7" t="str">
        <f t="shared" si="80"/>
        <v>20171017</v>
      </c>
      <c r="U217" s="7">
        <f t="shared" si="81"/>
        <v>892</v>
      </c>
      <c r="V217" s="8">
        <f t="shared" si="82"/>
        <v>43025</v>
      </c>
    </row>
    <row r="218" spans="1:22">
      <c r="A218" s="3">
        <f t="shared" si="63"/>
        <v>216</v>
      </c>
      <c r="B218" t="s">
        <v>222</v>
      </c>
      <c r="C218">
        <f t="shared" si="64"/>
        <v>30</v>
      </c>
      <c r="D218" t="str">
        <f t="shared" si="65"/>
        <v xml:space="preserve">//PR:Music_SP:Alice20171014    $1236    </v>
      </c>
      <c r="E218">
        <f t="shared" si="66"/>
        <v>32</v>
      </c>
      <c r="F218" t="str">
        <f t="shared" si="67"/>
        <v xml:space="preserve">//PR:Music_SP:Alice20171014    $1236    </v>
      </c>
      <c r="G218" t="str">
        <f t="shared" si="68"/>
        <v xml:space="preserve">PR:Music_SP:Alice20171014    $1236    </v>
      </c>
      <c r="H218" t="str">
        <f t="shared" si="69"/>
        <v xml:space="preserve">PR:Music SP:Alice20171014    $1236    </v>
      </c>
      <c r="I218" t="str">
        <f t="shared" si="70"/>
        <v>PR:Music SP:Alice20171014 $1236</v>
      </c>
      <c r="J218">
        <f t="shared" si="71"/>
        <v>31</v>
      </c>
      <c r="K218">
        <f t="shared" si="72"/>
        <v>54</v>
      </c>
      <c r="L218" t="str">
        <f t="shared" si="73"/>
        <v>Music SP:Alice20171014 $1236</v>
      </c>
      <c r="M218" t="str">
        <f t="shared" si="74"/>
        <v>Music Alice20171014 $1236</v>
      </c>
      <c r="N218" s="1" t="str">
        <f t="shared" si="75"/>
        <v>Music Alice 20171014 $1236</v>
      </c>
      <c r="O218" s="9">
        <f t="shared" si="83"/>
        <v>6</v>
      </c>
      <c r="P218" s="9">
        <f t="shared" si="76"/>
        <v>12</v>
      </c>
      <c r="Q218" s="10">
        <f t="shared" si="77"/>
        <v>21</v>
      </c>
      <c r="R218" s="7" t="str">
        <f t="shared" si="78"/>
        <v>Music</v>
      </c>
      <c r="S218" s="7" t="str">
        <f t="shared" si="79"/>
        <v>Alice</v>
      </c>
      <c r="T218" s="7" t="str">
        <f t="shared" si="80"/>
        <v>20171014</v>
      </c>
      <c r="U218" s="7">
        <f t="shared" si="81"/>
        <v>1236</v>
      </c>
      <c r="V218" s="8">
        <f t="shared" si="82"/>
        <v>43022</v>
      </c>
    </row>
    <row r="219" spans="1:22">
      <c r="A219" s="3">
        <f t="shared" si="63"/>
        <v>217</v>
      </c>
      <c r="B219" t="s">
        <v>223</v>
      </c>
      <c r="C219">
        <f t="shared" si="64"/>
        <v>29</v>
      </c>
      <c r="D219" t="str">
        <f t="shared" si="65"/>
        <v xml:space="preserve">/PR:Games____SP:Carol20171019    $1289  </v>
      </c>
      <c r="E219">
        <f t="shared" si="66"/>
        <v>32</v>
      </c>
      <c r="F219" t="str">
        <f t="shared" si="67"/>
        <v xml:space="preserve">/PR:Games____SP:Carol20171019    $1289  </v>
      </c>
      <c r="G219" t="str">
        <f t="shared" si="68"/>
        <v xml:space="preserve">PR:Games____SP:Carol20171019    $1289  </v>
      </c>
      <c r="H219" t="str">
        <f t="shared" si="69"/>
        <v xml:space="preserve">PR:Games    SP:Carol20171019    $1289  </v>
      </c>
      <c r="I219" t="str">
        <f t="shared" si="70"/>
        <v>PR:Games SP:Carol20171019 $1289</v>
      </c>
      <c r="J219">
        <f t="shared" si="71"/>
        <v>31</v>
      </c>
      <c r="K219">
        <f t="shared" si="72"/>
        <v>57</v>
      </c>
      <c r="L219" t="str">
        <f t="shared" si="73"/>
        <v>Games SP:Carol20171019 $1289</v>
      </c>
      <c r="M219" t="str">
        <f t="shared" si="74"/>
        <v>Games Carol20171019 $1289</v>
      </c>
      <c r="N219" s="1" t="str">
        <f t="shared" si="75"/>
        <v>Games Carol 20171019 $1289</v>
      </c>
      <c r="O219" s="9">
        <f t="shared" si="83"/>
        <v>6</v>
      </c>
      <c r="P219" s="9">
        <f t="shared" si="76"/>
        <v>12</v>
      </c>
      <c r="Q219" s="10">
        <f t="shared" si="77"/>
        <v>21</v>
      </c>
      <c r="R219" s="7" t="str">
        <f t="shared" si="78"/>
        <v>Games</v>
      </c>
      <c r="S219" s="7" t="str">
        <f t="shared" si="79"/>
        <v>Carol</v>
      </c>
      <c r="T219" s="7" t="str">
        <f t="shared" si="80"/>
        <v>20171019</v>
      </c>
      <c r="U219" s="7">
        <f t="shared" si="81"/>
        <v>1289</v>
      </c>
      <c r="V219" s="8">
        <f t="shared" si="82"/>
        <v>43027</v>
      </c>
    </row>
    <row r="220" spans="1:22">
      <c r="A220" s="3">
        <f t="shared" si="63"/>
        <v>218</v>
      </c>
      <c r="B220" t="s">
        <v>224</v>
      </c>
      <c r="C220">
        <f t="shared" si="64"/>
        <v>29</v>
      </c>
      <c r="D220" t="str">
        <f t="shared" si="65"/>
        <v xml:space="preserve">/////PR:Clothing___SP:David20171016   $1414    </v>
      </c>
      <c r="E220">
        <f t="shared" si="66"/>
        <v>32</v>
      </c>
      <c r="F220" t="str">
        <f t="shared" si="67"/>
        <v xml:space="preserve">/////PR:Clothing___SP:David20171016   $1414    </v>
      </c>
      <c r="G220" t="str">
        <f t="shared" si="68"/>
        <v xml:space="preserve">PR:Clothing___SP:David20171016   $1414    </v>
      </c>
      <c r="H220" t="str">
        <f t="shared" si="69"/>
        <v xml:space="preserve">PR:Clothing   SP:David20171016   $1414    </v>
      </c>
      <c r="I220" t="str">
        <f t="shared" si="70"/>
        <v>PR:Clothing SP:David20171016 $1414</v>
      </c>
      <c r="J220">
        <f t="shared" si="71"/>
        <v>34</v>
      </c>
      <c r="K220">
        <f t="shared" si="72"/>
        <v>52</v>
      </c>
      <c r="L220" t="str">
        <f t="shared" si="73"/>
        <v>Clothing SP:David20171016 $1414</v>
      </c>
      <c r="M220" t="str">
        <f t="shared" si="74"/>
        <v>Clothing David20171016 $1414</v>
      </c>
      <c r="N220" s="1" t="str">
        <f t="shared" si="75"/>
        <v>Clothing David 20171016 $1414</v>
      </c>
      <c r="O220" s="9">
        <f t="shared" si="83"/>
        <v>9</v>
      </c>
      <c r="P220" s="9">
        <f t="shared" si="76"/>
        <v>15</v>
      </c>
      <c r="Q220" s="10">
        <f t="shared" si="77"/>
        <v>24</v>
      </c>
      <c r="R220" s="7" t="str">
        <f t="shared" si="78"/>
        <v>Clothing</v>
      </c>
      <c r="S220" s="7" t="str">
        <f t="shared" si="79"/>
        <v>David</v>
      </c>
      <c r="T220" s="7" t="str">
        <f t="shared" si="80"/>
        <v>20171016</v>
      </c>
      <c r="U220" s="7">
        <f t="shared" si="81"/>
        <v>1414</v>
      </c>
      <c r="V220" s="8">
        <f t="shared" si="82"/>
        <v>43024</v>
      </c>
    </row>
    <row r="221" spans="1:22">
      <c r="A221" s="3">
        <f t="shared" si="63"/>
        <v>219</v>
      </c>
      <c r="B221" t="s">
        <v>225</v>
      </c>
      <c r="C221">
        <f t="shared" si="64"/>
        <v>29</v>
      </c>
      <c r="D221" t="str">
        <f t="shared" si="65"/>
        <v xml:space="preserve">/PR:Music__SP:Barney2017107     $984   </v>
      </c>
      <c r="E221">
        <f t="shared" si="66"/>
        <v>32</v>
      </c>
      <c r="F221" t="str">
        <f t="shared" si="67"/>
        <v xml:space="preserve">/PR:Music__SP:Barney2017107     $984   </v>
      </c>
      <c r="G221" t="str">
        <f t="shared" si="68"/>
        <v xml:space="preserve">PR:Music__SP:Barney2017107     $984   </v>
      </c>
      <c r="H221" t="str">
        <f t="shared" si="69"/>
        <v xml:space="preserve">PR:Music  SP:Barney2017107     $984   </v>
      </c>
      <c r="I221" t="str">
        <f t="shared" si="70"/>
        <v>PR:Music SP:Barney2017107 $984</v>
      </c>
      <c r="J221">
        <f t="shared" si="71"/>
        <v>30</v>
      </c>
      <c r="K221">
        <f t="shared" si="72"/>
        <v>52</v>
      </c>
      <c r="L221" t="str">
        <f t="shared" si="73"/>
        <v>Music SP:Barney2017107 $984</v>
      </c>
      <c r="M221" t="str">
        <f t="shared" si="74"/>
        <v>Music Barney2017107 $984</v>
      </c>
      <c r="N221" s="1" t="str">
        <f t="shared" si="75"/>
        <v>Music Barney 2017107 $984</v>
      </c>
      <c r="O221" s="9">
        <f t="shared" si="83"/>
        <v>6</v>
      </c>
      <c r="P221" s="9">
        <f t="shared" si="76"/>
        <v>13</v>
      </c>
      <c r="Q221" s="10">
        <f t="shared" si="77"/>
        <v>21</v>
      </c>
      <c r="R221" s="7" t="str">
        <f t="shared" si="78"/>
        <v>Music</v>
      </c>
      <c r="S221" s="7" t="str">
        <f t="shared" si="79"/>
        <v>Barney</v>
      </c>
      <c r="T221" s="7" t="str">
        <f t="shared" si="80"/>
        <v>2017107</v>
      </c>
      <c r="U221" s="7">
        <f t="shared" si="81"/>
        <v>984</v>
      </c>
      <c r="V221" s="8">
        <f t="shared" si="82"/>
        <v>43015</v>
      </c>
    </row>
    <row r="222" spans="1:22">
      <c r="A222" s="3">
        <f t="shared" si="63"/>
        <v>220</v>
      </c>
      <c r="B222" t="s">
        <v>226</v>
      </c>
      <c r="C222">
        <f t="shared" si="64"/>
        <v>30</v>
      </c>
      <c r="D222" t="str">
        <f t="shared" si="65"/>
        <v xml:space="preserve">//PR:Music__SP:Alice20171030     $0   </v>
      </c>
      <c r="E222">
        <f t="shared" si="66"/>
        <v>32</v>
      </c>
      <c r="F222" t="str">
        <f t="shared" si="67"/>
        <v xml:space="preserve">//PR:Music__SP:Alice20171030     $0   </v>
      </c>
      <c r="G222" t="str">
        <f t="shared" si="68"/>
        <v xml:space="preserve">PR:Music__SP:Alice20171030     $0   </v>
      </c>
      <c r="H222" t="str">
        <f t="shared" si="69"/>
        <v xml:space="preserve">PR:Music  SP:Alice20171030     $0   </v>
      </c>
      <c r="I222" t="str">
        <f t="shared" si="70"/>
        <v>PR:Music SP:Alice20171030 $0</v>
      </c>
      <c r="J222">
        <f t="shared" si="71"/>
        <v>28</v>
      </c>
      <c r="K222">
        <f t="shared" si="72"/>
        <v>48</v>
      </c>
      <c r="L222" t="str">
        <f t="shared" si="73"/>
        <v>Music SP:Alice20171030 $0</v>
      </c>
      <c r="M222" t="str">
        <f t="shared" si="74"/>
        <v>Music Alice20171030 $0</v>
      </c>
      <c r="N222" s="1" t="str">
        <f t="shared" si="75"/>
        <v>Music Alice 20171030 $0</v>
      </c>
      <c r="O222" s="9">
        <f t="shared" si="83"/>
        <v>6</v>
      </c>
      <c r="P222" s="9">
        <f t="shared" si="76"/>
        <v>12</v>
      </c>
      <c r="Q222" s="10">
        <f t="shared" si="77"/>
        <v>21</v>
      </c>
      <c r="R222" s="7" t="str">
        <f t="shared" si="78"/>
        <v>Music</v>
      </c>
      <c r="S222" s="7" t="str">
        <f t="shared" si="79"/>
        <v>Alice</v>
      </c>
      <c r="T222" s="7" t="str">
        <f t="shared" si="80"/>
        <v>20171030</v>
      </c>
      <c r="U222" s="7">
        <f t="shared" si="81"/>
        <v>0</v>
      </c>
      <c r="V222" s="8">
        <f t="shared" si="82"/>
        <v>43038</v>
      </c>
    </row>
    <row r="223" spans="1:22">
      <c r="A223" s="3">
        <f t="shared" si="63"/>
        <v>221</v>
      </c>
      <c r="B223" t="s">
        <v>227</v>
      </c>
      <c r="C223">
        <f t="shared" si="64"/>
        <v>28</v>
      </c>
      <c r="D223" t="str">
        <f t="shared" si="65"/>
        <v xml:space="preserve">////PR:Books_SP:David20171013   $0   </v>
      </c>
      <c r="E223">
        <f t="shared" si="66"/>
        <v>32</v>
      </c>
      <c r="F223" t="str">
        <f t="shared" si="67"/>
        <v xml:space="preserve">////PR:Books_SP:David20171013   $0   </v>
      </c>
      <c r="G223" t="str">
        <f t="shared" si="68"/>
        <v xml:space="preserve">PR:Books_SP:David20171013   $0   </v>
      </c>
      <c r="H223" t="str">
        <f t="shared" si="69"/>
        <v xml:space="preserve">PR:Books SP:David20171013   $0   </v>
      </c>
      <c r="I223" t="str">
        <f t="shared" si="70"/>
        <v>PR:Books SP:David20171013 $0</v>
      </c>
      <c r="J223">
        <f t="shared" si="71"/>
        <v>28</v>
      </c>
      <c r="K223">
        <f t="shared" si="72"/>
        <v>48</v>
      </c>
      <c r="L223" t="str">
        <f t="shared" si="73"/>
        <v>Books SP:David20171013 $0</v>
      </c>
      <c r="M223" t="str">
        <f t="shared" si="74"/>
        <v>Books David20171013 $0</v>
      </c>
      <c r="N223" s="1" t="str">
        <f t="shared" si="75"/>
        <v>Books David 20171013 $0</v>
      </c>
      <c r="O223" s="9">
        <f t="shared" si="83"/>
        <v>6</v>
      </c>
      <c r="P223" s="9">
        <f t="shared" si="76"/>
        <v>12</v>
      </c>
      <c r="Q223" s="10">
        <f t="shared" si="77"/>
        <v>21</v>
      </c>
      <c r="R223" s="7" t="str">
        <f t="shared" si="78"/>
        <v>Books</v>
      </c>
      <c r="S223" s="7" t="str">
        <f t="shared" si="79"/>
        <v>David</v>
      </c>
      <c r="T223" s="7" t="str">
        <f t="shared" si="80"/>
        <v>20171013</v>
      </c>
      <c r="U223" s="7">
        <f t="shared" si="81"/>
        <v>0</v>
      </c>
      <c r="V223" s="8">
        <f t="shared" si="82"/>
        <v>43021</v>
      </c>
    </row>
    <row r="224" spans="1:22">
      <c r="A224" s="3">
        <f t="shared" si="63"/>
        <v>222</v>
      </c>
      <c r="B224" t="s">
        <v>228</v>
      </c>
      <c r="C224">
        <f t="shared" si="64"/>
        <v>31</v>
      </c>
      <c r="D224" t="str">
        <f t="shared" si="65"/>
        <v xml:space="preserve">///PR:Clothing_SP:Barney2017108    $718  </v>
      </c>
      <c r="E224">
        <f t="shared" si="66"/>
        <v>32</v>
      </c>
      <c r="F224" t="str">
        <f t="shared" si="67"/>
        <v xml:space="preserve">///PR:Clothing_SP:Barney2017108    $718  </v>
      </c>
      <c r="G224" t="str">
        <f t="shared" si="68"/>
        <v xml:space="preserve">PR:Clothing_SP:Barney2017108    $718  </v>
      </c>
      <c r="H224" t="str">
        <f t="shared" si="69"/>
        <v xml:space="preserve">PR:Clothing SP:Barney2017108    $718  </v>
      </c>
      <c r="I224" t="str">
        <f t="shared" si="70"/>
        <v>PR:Clothing SP:Barney2017108 $718</v>
      </c>
      <c r="J224">
        <f t="shared" si="71"/>
        <v>33</v>
      </c>
      <c r="K224">
        <f t="shared" si="72"/>
        <v>56</v>
      </c>
      <c r="L224" t="str">
        <f t="shared" si="73"/>
        <v>Clothing SP:Barney2017108 $718</v>
      </c>
      <c r="M224" t="str">
        <f t="shared" si="74"/>
        <v>Clothing Barney2017108 $718</v>
      </c>
      <c r="N224" s="1" t="str">
        <f t="shared" si="75"/>
        <v>Clothing Barney 2017108 $718</v>
      </c>
      <c r="O224" s="9">
        <f t="shared" si="83"/>
        <v>9</v>
      </c>
      <c r="P224" s="9">
        <f t="shared" si="76"/>
        <v>16</v>
      </c>
      <c r="Q224" s="10">
        <f t="shared" si="77"/>
        <v>24</v>
      </c>
      <c r="R224" s="7" t="str">
        <f t="shared" si="78"/>
        <v>Clothing</v>
      </c>
      <c r="S224" s="7" t="str">
        <f t="shared" si="79"/>
        <v>Barney</v>
      </c>
      <c r="T224" s="7" t="str">
        <f t="shared" si="80"/>
        <v>2017108</v>
      </c>
      <c r="U224" s="7">
        <f t="shared" si="81"/>
        <v>718</v>
      </c>
      <c r="V224" s="8">
        <f t="shared" si="82"/>
        <v>43016</v>
      </c>
    </row>
    <row r="225" spans="1:22">
      <c r="A225" s="3">
        <f t="shared" si="63"/>
        <v>223</v>
      </c>
      <c r="B225" t="s">
        <v>229</v>
      </c>
      <c r="C225">
        <f t="shared" si="64"/>
        <v>29</v>
      </c>
      <c r="D225" t="str">
        <f t="shared" si="65"/>
        <v xml:space="preserve">/////PR:Music_SP:Alice2017103   $0 </v>
      </c>
      <c r="E225">
        <f t="shared" si="66"/>
        <v>32</v>
      </c>
      <c r="F225" t="str">
        <f t="shared" si="67"/>
        <v xml:space="preserve">/////PR:Music_SP:Alice2017103   $0 </v>
      </c>
      <c r="G225" t="str">
        <f t="shared" si="68"/>
        <v xml:space="preserve">PR:Music_SP:Alice2017103   $0 </v>
      </c>
      <c r="H225" t="str">
        <f t="shared" si="69"/>
        <v xml:space="preserve">PR:Music SP:Alice2017103   $0 </v>
      </c>
      <c r="I225" t="str">
        <f t="shared" si="70"/>
        <v>PR:Music SP:Alice2017103 $0</v>
      </c>
      <c r="J225">
        <f t="shared" si="71"/>
        <v>27</v>
      </c>
      <c r="K225">
        <f t="shared" si="72"/>
        <v>48</v>
      </c>
      <c r="L225" t="str">
        <f t="shared" si="73"/>
        <v>Music SP:Alice2017103 $0</v>
      </c>
      <c r="M225" t="str">
        <f t="shared" si="74"/>
        <v>Music Alice2017103 $0</v>
      </c>
      <c r="N225" s="1" t="str">
        <f t="shared" si="75"/>
        <v>Music Alice 2017103 $0</v>
      </c>
      <c r="O225" s="9">
        <f t="shared" si="83"/>
        <v>6</v>
      </c>
      <c r="P225" s="9">
        <f t="shared" si="76"/>
        <v>12</v>
      </c>
      <c r="Q225" s="10">
        <f t="shared" si="77"/>
        <v>20</v>
      </c>
      <c r="R225" s="7" t="str">
        <f t="shared" si="78"/>
        <v>Music</v>
      </c>
      <c r="S225" s="7" t="str">
        <f t="shared" si="79"/>
        <v>Alice</v>
      </c>
      <c r="T225" s="7" t="str">
        <f t="shared" si="80"/>
        <v>2017103</v>
      </c>
      <c r="U225" s="7">
        <f t="shared" si="81"/>
        <v>0</v>
      </c>
      <c r="V225" s="8">
        <f t="shared" si="82"/>
        <v>43011</v>
      </c>
    </row>
    <row r="226" spans="1:22">
      <c r="A226" s="3">
        <f t="shared" si="63"/>
        <v>224</v>
      </c>
      <c r="B226" t="s">
        <v>230</v>
      </c>
      <c r="C226">
        <f t="shared" si="64"/>
        <v>28</v>
      </c>
      <c r="D226" t="str">
        <f t="shared" si="65"/>
        <v xml:space="preserve">//PR:Music___SP:Alice2017102  $975 </v>
      </c>
      <c r="E226">
        <f t="shared" si="66"/>
        <v>32</v>
      </c>
      <c r="F226" t="str">
        <f t="shared" si="67"/>
        <v xml:space="preserve">//PR:Music___SP:Alice2017102  $975 </v>
      </c>
      <c r="G226" t="str">
        <f t="shared" si="68"/>
        <v xml:space="preserve">PR:Music___SP:Alice2017102  $975 </v>
      </c>
      <c r="H226" t="str">
        <f t="shared" si="69"/>
        <v xml:space="preserve">PR:Music   SP:Alice2017102  $975 </v>
      </c>
      <c r="I226" t="str">
        <f t="shared" si="70"/>
        <v>PR:Music SP:Alice2017102 $975</v>
      </c>
      <c r="J226">
        <f t="shared" si="71"/>
        <v>29</v>
      </c>
      <c r="K226">
        <f t="shared" si="72"/>
        <v>53</v>
      </c>
      <c r="L226" t="str">
        <f t="shared" si="73"/>
        <v>Music SP:Alice2017102 $975</v>
      </c>
      <c r="M226" t="str">
        <f t="shared" si="74"/>
        <v>Music Alice2017102 $975</v>
      </c>
      <c r="N226" s="1" t="str">
        <f t="shared" si="75"/>
        <v>Music Alice 2017102 $975</v>
      </c>
      <c r="O226" s="9">
        <f t="shared" si="83"/>
        <v>6</v>
      </c>
      <c r="P226" s="9">
        <f t="shared" si="76"/>
        <v>12</v>
      </c>
      <c r="Q226" s="10">
        <f t="shared" si="77"/>
        <v>20</v>
      </c>
      <c r="R226" s="7" t="str">
        <f t="shared" si="78"/>
        <v>Music</v>
      </c>
      <c r="S226" s="7" t="str">
        <f t="shared" si="79"/>
        <v>Alice</v>
      </c>
      <c r="T226" s="7" t="str">
        <f t="shared" si="80"/>
        <v>2017102</v>
      </c>
      <c r="U226" s="7">
        <f t="shared" si="81"/>
        <v>975</v>
      </c>
      <c r="V226" s="8">
        <f t="shared" si="82"/>
        <v>43010</v>
      </c>
    </row>
    <row r="227" spans="1:22">
      <c r="A227" s="3">
        <f t="shared" si="63"/>
        <v>225</v>
      </c>
      <c r="B227" t="s">
        <v>231</v>
      </c>
      <c r="C227">
        <f t="shared" si="64"/>
        <v>29</v>
      </c>
      <c r="D227" t="str">
        <f t="shared" si="65"/>
        <v xml:space="preserve">///PR:Clothing_SP:David20171010     $1545   </v>
      </c>
      <c r="E227">
        <f t="shared" si="66"/>
        <v>32</v>
      </c>
      <c r="F227" t="str">
        <f t="shared" si="67"/>
        <v xml:space="preserve">///PR:Clothing_SP:David20171010     $1545   </v>
      </c>
      <c r="G227" t="str">
        <f t="shared" si="68"/>
        <v xml:space="preserve">PR:Clothing_SP:David20171010     $1545   </v>
      </c>
      <c r="H227" t="str">
        <f t="shared" si="69"/>
        <v xml:space="preserve">PR:Clothing SP:David20171010     $1545   </v>
      </c>
      <c r="I227" t="str">
        <f t="shared" si="70"/>
        <v>PR:Clothing SP:David20171010 $1545</v>
      </c>
      <c r="J227">
        <f t="shared" si="71"/>
        <v>34</v>
      </c>
      <c r="K227">
        <f t="shared" si="72"/>
        <v>53</v>
      </c>
      <c r="L227" t="str">
        <f t="shared" si="73"/>
        <v>Clothing SP:David20171010 $1545</v>
      </c>
      <c r="M227" t="str">
        <f t="shared" si="74"/>
        <v>Clothing David20171010 $1545</v>
      </c>
      <c r="N227" s="1" t="str">
        <f t="shared" si="75"/>
        <v>Clothing David 20171010 $1545</v>
      </c>
      <c r="O227" s="9">
        <f t="shared" si="83"/>
        <v>9</v>
      </c>
      <c r="P227" s="9">
        <f t="shared" si="76"/>
        <v>15</v>
      </c>
      <c r="Q227" s="10">
        <f t="shared" si="77"/>
        <v>24</v>
      </c>
      <c r="R227" s="7" t="str">
        <f t="shared" si="78"/>
        <v>Clothing</v>
      </c>
      <c r="S227" s="7" t="str">
        <f t="shared" si="79"/>
        <v>David</v>
      </c>
      <c r="T227" s="7" t="str">
        <f t="shared" si="80"/>
        <v>20171010</v>
      </c>
      <c r="U227" s="7">
        <f t="shared" si="81"/>
        <v>1545</v>
      </c>
      <c r="V227" s="8">
        <f t="shared" si="82"/>
        <v>43018</v>
      </c>
    </row>
    <row r="228" spans="1:22">
      <c r="A228" s="3">
        <f t="shared" si="63"/>
        <v>226</v>
      </c>
      <c r="B228" t="s">
        <v>232</v>
      </c>
      <c r="C228">
        <f t="shared" si="64"/>
        <v>31</v>
      </c>
      <c r="D228" t="str">
        <f t="shared" si="65"/>
        <v xml:space="preserve">///PR:Music___SP:David2017106     $0 </v>
      </c>
      <c r="E228">
        <f t="shared" si="66"/>
        <v>32</v>
      </c>
      <c r="F228" t="str">
        <f t="shared" si="67"/>
        <v xml:space="preserve">///PR:Music___SP:David2017106     $0 </v>
      </c>
      <c r="G228" t="str">
        <f t="shared" si="68"/>
        <v xml:space="preserve">PR:Music___SP:David2017106     $0 </v>
      </c>
      <c r="H228" t="str">
        <f t="shared" si="69"/>
        <v xml:space="preserve">PR:Music   SP:David2017106     $0 </v>
      </c>
      <c r="I228" t="str">
        <f t="shared" si="70"/>
        <v>PR:Music SP:David2017106 $0</v>
      </c>
      <c r="J228">
        <f t="shared" si="71"/>
        <v>27</v>
      </c>
      <c r="K228">
        <f t="shared" si="72"/>
        <v>48</v>
      </c>
      <c r="L228" t="str">
        <f t="shared" si="73"/>
        <v>Music SP:David2017106 $0</v>
      </c>
      <c r="M228" t="str">
        <f t="shared" si="74"/>
        <v>Music David2017106 $0</v>
      </c>
      <c r="N228" s="1" t="str">
        <f t="shared" si="75"/>
        <v>Music David 2017106 $0</v>
      </c>
      <c r="O228" s="9">
        <f t="shared" si="83"/>
        <v>6</v>
      </c>
      <c r="P228" s="9">
        <f t="shared" si="76"/>
        <v>12</v>
      </c>
      <c r="Q228" s="10">
        <f t="shared" si="77"/>
        <v>20</v>
      </c>
      <c r="R228" s="7" t="str">
        <f t="shared" si="78"/>
        <v>Music</v>
      </c>
      <c r="S228" s="7" t="str">
        <f t="shared" si="79"/>
        <v>David</v>
      </c>
      <c r="T228" s="7" t="str">
        <f t="shared" si="80"/>
        <v>2017106</v>
      </c>
      <c r="U228" s="7">
        <f t="shared" si="81"/>
        <v>0</v>
      </c>
      <c r="V228" s="8">
        <f t="shared" si="82"/>
        <v>43014</v>
      </c>
    </row>
    <row r="229" spans="1:22">
      <c r="A229" s="3">
        <f t="shared" si="63"/>
        <v>227</v>
      </c>
      <c r="B229" t="s">
        <v>233</v>
      </c>
      <c r="C229">
        <f t="shared" si="64"/>
        <v>28</v>
      </c>
      <c r="D229" t="str">
        <f t="shared" si="65"/>
        <v xml:space="preserve">/////PR:Music__SP:Alice2017101  $0  </v>
      </c>
      <c r="E229">
        <f t="shared" si="66"/>
        <v>32</v>
      </c>
      <c r="F229" t="str">
        <f t="shared" si="67"/>
        <v xml:space="preserve">/////PR:Music__SP:Alice2017101  $0  </v>
      </c>
      <c r="G229" t="str">
        <f t="shared" si="68"/>
        <v xml:space="preserve">PR:Music__SP:Alice2017101  $0  </v>
      </c>
      <c r="H229" t="str">
        <f t="shared" si="69"/>
        <v xml:space="preserve">PR:Music  SP:Alice2017101  $0  </v>
      </c>
      <c r="I229" t="str">
        <f t="shared" si="70"/>
        <v>PR:Music SP:Alice2017101 $0</v>
      </c>
      <c r="J229">
        <f t="shared" si="71"/>
        <v>27</v>
      </c>
      <c r="K229">
        <f t="shared" si="72"/>
        <v>48</v>
      </c>
      <c r="L229" t="str">
        <f t="shared" si="73"/>
        <v>Music SP:Alice2017101 $0</v>
      </c>
      <c r="M229" t="str">
        <f t="shared" si="74"/>
        <v>Music Alice2017101 $0</v>
      </c>
      <c r="N229" s="1" t="str">
        <f t="shared" si="75"/>
        <v>Music Alice 2017101 $0</v>
      </c>
      <c r="O229" s="9">
        <f t="shared" si="83"/>
        <v>6</v>
      </c>
      <c r="P229" s="9">
        <f t="shared" si="76"/>
        <v>12</v>
      </c>
      <c r="Q229" s="10">
        <f t="shared" si="77"/>
        <v>20</v>
      </c>
      <c r="R229" s="7" t="str">
        <f t="shared" si="78"/>
        <v>Music</v>
      </c>
      <c r="S229" s="7" t="str">
        <f t="shared" si="79"/>
        <v>Alice</v>
      </c>
      <c r="T229" s="7" t="str">
        <f t="shared" si="80"/>
        <v>2017101</v>
      </c>
      <c r="U229" s="7">
        <f t="shared" si="81"/>
        <v>0</v>
      </c>
      <c r="V229" s="8">
        <f t="shared" si="82"/>
        <v>43009</v>
      </c>
    </row>
    <row r="230" spans="1:22">
      <c r="A230" s="3">
        <f t="shared" si="63"/>
        <v>228</v>
      </c>
      <c r="B230" t="s">
        <v>234</v>
      </c>
      <c r="C230">
        <f t="shared" si="64"/>
        <v>28</v>
      </c>
      <c r="D230" t="str">
        <f t="shared" si="65"/>
        <v xml:space="preserve">///PR:Games____SP:David20171029  $0  </v>
      </c>
      <c r="E230">
        <f t="shared" si="66"/>
        <v>32</v>
      </c>
      <c r="F230" t="str">
        <f t="shared" si="67"/>
        <v xml:space="preserve">///PR:Games____SP:David20171029  $0  </v>
      </c>
      <c r="G230" t="str">
        <f t="shared" si="68"/>
        <v xml:space="preserve">PR:Games____SP:David20171029  $0  </v>
      </c>
      <c r="H230" t="str">
        <f t="shared" si="69"/>
        <v xml:space="preserve">PR:Games    SP:David20171029  $0  </v>
      </c>
      <c r="I230" t="str">
        <f t="shared" si="70"/>
        <v>PR:Games SP:David20171029 $0</v>
      </c>
      <c r="J230">
        <f t="shared" si="71"/>
        <v>28</v>
      </c>
      <c r="K230">
        <f t="shared" si="72"/>
        <v>48</v>
      </c>
      <c r="L230" t="str">
        <f t="shared" si="73"/>
        <v>Games SP:David20171029 $0</v>
      </c>
      <c r="M230" t="str">
        <f t="shared" si="74"/>
        <v>Games David20171029 $0</v>
      </c>
      <c r="N230" s="1" t="str">
        <f t="shared" si="75"/>
        <v>Games David 20171029 $0</v>
      </c>
      <c r="O230" s="9">
        <f t="shared" si="83"/>
        <v>6</v>
      </c>
      <c r="P230" s="9">
        <f t="shared" si="76"/>
        <v>12</v>
      </c>
      <c r="Q230" s="10">
        <f t="shared" si="77"/>
        <v>21</v>
      </c>
      <c r="R230" s="7" t="str">
        <f t="shared" si="78"/>
        <v>Games</v>
      </c>
      <c r="S230" s="7" t="str">
        <f t="shared" si="79"/>
        <v>David</v>
      </c>
      <c r="T230" s="7" t="str">
        <f t="shared" si="80"/>
        <v>20171029</v>
      </c>
      <c r="U230" s="7">
        <f t="shared" si="81"/>
        <v>0</v>
      </c>
      <c r="V230" s="8">
        <f t="shared" si="82"/>
        <v>43037</v>
      </c>
    </row>
    <row r="231" spans="1:22">
      <c r="A231" s="3">
        <f t="shared" si="63"/>
        <v>229</v>
      </c>
      <c r="B231" t="s">
        <v>235</v>
      </c>
      <c r="C231">
        <f t="shared" si="64"/>
        <v>28</v>
      </c>
      <c r="D231" t="str">
        <f t="shared" si="65"/>
        <v xml:space="preserve">/////PR:Books___SP:Alice20171012    $743  </v>
      </c>
      <c r="E231">
        <f t="shared" si="66"/>
        <v>32</v>
      </c>
      <c r="F231" t="str">
        <f t="shared" si="67"/>
        <v xml:space="preserve">/////PR:Books___SP:Alice20171012    $743  </v>
      </c>
      <c r="G231" t="str">
        <f t="shared" si="68"/>
        <v xml:space="preserve">PR:Books___SP:Alice20171012    $743  </v>
      </c>
      <c r="H231" t="str">
        <f t="shared" si="69"/>
        <v xml:space="preserve">PR:Books   SP:Alice20171012    $743  </v>
      </c>
      <c r="I231" t="str">
        <f t="shared" si="70"/>
        <v>PR:Books SP:Alice20171012 $743</v>
      </c>
      <c r="J231">
        <f t="shared" si="71"/>
        <v>30</v>
      </c>
      <c r="K231">
        <f t="shared" si="72"/>
        <v>51</v>
      </c>
      <c r="L231" t="str">
        <f t="shared" si="73"/>
        <v>Books SP:Alice20171012 $743</v>
      </c>
      <c r="M231" t="str">
        <f t="shared" si="74"/>
        <v>Books Alice20171012 $743</v>
      </c>
      <c r="N231" s="1" t="str">
        <f t="shared" si="75"/>
        <v>Books Alice 20171012 $743</v>
      </c>
      <c r="O231" s="9">
        <f t="shared" si="83"/>
        <v>6</v>
      </c>
      <c r="P231" s="9">
        <f t="shared" si="76"/>
        <v>12</v>
      </c>
      <c r="Q231" s="10">
        <f t="shared" si="77"/>
        <v>21</v>
      </c>
      <c r="R231" s="7" t="str">
        <f t="shared" si="78"/>
        <v>Books</v>
      </c>
      <c r="S231" s="7" t="str">
        <f t="shared" si="79"/>
        <v>Alice</v>
      </c>
      <c r="T231" s="7" t="str">
        <f t="shared" si="80"/>
        <v>20171012</v>
      </c>
      <c r="U231" s="7">
        <f t="shared" si="81"/>
        <v>743</v>
      </c>
      <c r="V231" s="8">
        <f t="shared" si="82"/>
        <v>43020</v>
      </c>
    </row>
    <row r="232" spans="1:22">
      <c r="A232" s="3">
        <f t="shared" si="63"/>
        <v>230</v>
      </c>
      <c r="B232" t="s">
        <v>236</v>
      </c>
      <c r="C232">
        <f t="shared" si="64"/>
        <v>31</v>
      </c>
      <c r="D232" t="str">
        <f t="shared" si="65"/>
        <v xml:space="preserve">////PR:Music_SP:Alice2017109    $1347 </v>
      </c>
      <c r="E232">
        <f t="shared" si="66"/>
        <v>32</v>
      </c>
      <c r="F232" t="str">
        <f t="shared" si="67"/>
        <v xml:space="preserve">////PR:Music_SP:Alice2017109    $1347 </v>
      </c>
      <c r="G232" t="str">
        <f t="shared" si="68"/>
        <v xml:space="preserve">PR:Music_SP:Alice2017109    $1347 </v>
      </c>
      <c r="H232" t="str">
        <f t="shared" si="69"/>
        <v xml:space="preserve">PR:Music SP:Alice2017109    $1347 </v>
      </c>
      <c r="I232" t="str">
        <f t="shared" si="70"/>
        <v>PR:Music SP:Alice2017109 $1347</v>
      </c>
      <c r="J232">
        <f t="shared" si="71"/>
        <v>30</v>
      </c>
      <c r="K232">
        <f t="shared" si="72"/>
        <v>55</v>
      </c>
      <c r="L232" t="str">
        <f t="shared" si="73"/>
        <v>Music SP:Alice2017109 $1347</v>
      </c>
      <c r="M232" t="str">
        <f t="shared" si="74"/>
        <v>Music Alice2017109 $1347</v>
      </c>
      <c r="N232" s="1" t="str">
        <f t="shared" si="75"/>
        <v>Music Alice 2017109 $1347</v>
      </c>
      <c r="O232" s="9">
        <f t="shared" si="83"/>
        <v>6</v>
      </c>
      <c r="P232" s="9">
        <f t="shared" si="76"/>
        <v>12</v>
      </c>
      <c r="Q232" s="10">
        <f t="shared" si="77"/>
        <v>20</v>
      </c>
      <c r="R232" s="7" t="str">
        <f t="shared" si="78"/>
        <v>Music</v>
      </c>
      <c r="S232" s="7" t="str">
        <f t="shared" si="79"/>
        <v>Alice</v>
      </c>
      <c r="T232" s="7" t="str">
        <f t="shared" si="80"/>
        <v>2017109</v>
      </c>
      <c r="U232" s="7">
        <f t="shared" si="81"/>
        <v>1347</v>
      </c>
      <c r="V232" s="8">
        <f t="shared" si="82"/>
        <v>43017</v>
      </c>
    </row>
    <row r="233" spans="1:22">
      <c r="A233" s="3">
        <f t="shared" si="63"/>
        <v>231</v>
      </c>
      <c r="B233" t="s">
        <v>237</v>
      </c>
      <c r="C233">
        <f t="shared" si="64"/>
        <v>30</v>
      </c>
      <c r="D233" t="str">
        <f t="shared" si="65"/>
        <v xml:space="preserve">/////PR:Books___SP:Alice20171021     $875    </v>
      </c>
      <c r="E233">
        <f t="shared" si="66"/>
        <v>32</v>
      </c>
      <c r="F233" t="str">
        <f t="shared" si="67"/>
        <v xml:space="preserve">/////PR:Books___SP:Alice20171021     $875    </v>
      </c>
      <c r="G233" t="str">
        <f t="shared" si="68"/>
        <v xml:space="preserve">PR:Books___SP:Alice20171021     $875    </v>
      </c>
      <c r="H233" t="str">
        <f t="shared" si="69"/>
        <v xml:space="preserve">PR:Books   SP:Alice20171021     $875    </v>
      </c>
      <c r="I233" t="str">
        <f t="shared" si="70"/>
        <v>PR:Books SP:Alice20171021 $875</v>
      </c>
      <c r="J233">
        <f t="shared" si="71"/>
        <v>30</v>
      </c>
      <c r="K233">
        <f t="shared" si="72"/>
        <v>53</v>
      </c>
      <c r="L233" t="str">
        <f t="shared" si="73"/>
        <v>Books SP:Alice20171021 $875</v>
      </c>
      <c r="M233" t="str">
        <f t="shared" si="74"/>
        <v>Books Alice20171021 $875</v>
      </c>
      <c r="N233" s="1" t="str">
        <f t="shared" si="75"/>
        <v>Books Alice 20171021 $875</v>
      </c>
      <c r="O233" s="9">
        <f t="shared" si="83"/>
        <v>6</v>
      </c>
      <c r="P233" s="9">
        <f t="shared" si="76"/>
        <v>12</v>
      </c>
      <c r="Q233" s="10">
        <f t="shared" si="77"/>
        <v>21</v>
      </c>
      <c r="R233" s="7" t="str">
        <f t="shared" si="78"/>
        <v>Books</v>
      </c>
      <c r="S233" s="7" t="str">
        <f t="shared" si="79"/>
        <v>Alice</v>
      </c>
      <c r="T233" s="7" t="str">
        <f t="shared" si="80"/>
        <v>20171021</v>
      </c>
      <c r="U233" s="7">
        <f t="shared" si="81"/>
        <v>875</v>
      </c>
      <c r="V233" s="8">
        <f t="shared" si="82"/>
        <v>43029</v>
      </c>
    </row>
    <row r="234" spans="1:22">
      <c r="A234" s="3">
        <f t="shared" si="63"/>
        <v>232</v>
      </c>
      <c r="B234" t="s">
        <v>238</v>
      </c>
      <c r="C234">
        <f t="shared" si="64"/>
        <v>31</v>
      </c>
      <c r="D234" t="str">
        <f t="shared" si="65"/>
        <v xml:space="preserve">////PR:Games____SP:Carol20171014    $2331   </v>
      </c>
      <c r="E234">
        <f t="shared" si="66"/>
        <v>32</v>
      </c>
      <c r="F234" t="str">
        <f t="shared" si="67"/>
        <v xml:space="preserve">////PR:Games____SP:Carol20171014    $2331   </v>
      </c>
      <c r="G234" t="str">
        <f t="shared" si="68"/>
        <v xml:space="preserve">PR:Games____SP:Carol20171014    $2331   </v>
      </c>
      <c r="H234" t="str">
        <f t="shared" si="69"/>
        <v xml:space="preserve">PR:Games    SP:Carol20171014    $2331   </v>
      </c>
      <c r="I234" t="str">
        <f t="shared" si="70"/>
        <v>PR:Games SP:Carol20171014 $2331</v>
      </c>
      <c r="J234">
        <f t="shared" si="71"/>
        <v>31</v>
      </c>
      <c r="K234">
        <f t="shared" si="72"/>
        <v>49</v>
      </c>
      <c r="L234" t="str">
        <f t="shared" si="73"/>
        <v>Games SP:Carol20171014 $2331</v>
      </c>
      <c r="M234" t="str">
        <f t="shared" si="74"/>
        <v>Games Carol20171014 $2331</v>
      </c>
      <c r="N234" s="1" t="str">
        <f t="shared" si="75"/>
        <v>Games Carol 20171014 $2331</v>
      </c>
      <c r="O234" s="9">
        <f t="shared" si="83"/>
        <v>6</v>
      </c>
      <c r="P234" s="9">
        <f t="shared" si="76"/>
        <v>12</v>
      </c>
      <c r="Q234" s="10">
        <f t="shared" si="77"/>
        <v>21</v>
      </c>
      <c r="R234" s="7" t="str">
        <f t="shared" si="78"/>
        <v>Games</v>
      </c>
      <c r="S234" s="7" t="str">
        <f t="shared" si="79"/>
        <v>Carol</v>
      </c>
      <c r="T234" s="7" t="str">
        <f t="shared" si="80"/>
        <v>20171014</v>
      </c>
      <c r="U234" s="7">
        <f t="shared" si="81"/>
        <v>2331</v>
      </c>
      <c r="V234" s="8">
        <f t="shared" si="82"/>
        <v>43022</v>
      </c>
    </row>
    <row r="235" spans="1:22">
      <c r="A235" s="3">
        <f t="shared" si="63"/>
        <v>233</v>
      </c>
      <c r="B235" t="s">
        <v>239</v>
      </c>
      <c r="C235">
        <f t="shared" si="64"/>
        <v>31</v>
      </c>
      <c r="D235" t="str">
        <f t="shared" si="65"/>
        <v xml:space="preserve">///PR:Books_SP:Barney20171031  $0     </v>
      </c>
      <c r="E235">
        <f t="shared" si="66"/>
        <v>32</v>
      </c>
      <c r="F235" t="str">
        <f t="shared" si="67"/>
        <v xml:space="preserve">///PR:Books_SP:Barney20171031  $0     </v>
      </c>
      <c r="G235" t="str">
        <f t="shared" si="68"/>
        <v xml:space="preserve">PR:Books_SP:Barney20171031  $0     </v>
      </c>
      <c r="H235" t="str">
        <f t="shared" si="69"/>
        <v xml:space="preserve">PR:Books SP:Barney20171031  $0     </v>
      </c>
      <c r="I235" t="str">
        <f t="shared" si="70"/>
        <v>PR:Books SP:Barney20171031 $0</v>
      </c>
      <c r="J235">
        <f t="shared" si="71"/>
        <v>29</v>
      </c>
      <c r="K235">
        <f t="shared" si="72"/>
        <v>48</v>
      </c>
      <c r="L235" t="str">
        <f t="shared" si="73"/>
        <v>Books SP:Barney20171031 $0</v>
      </c>
      <c r="M235" t="str">
        <f t="shared" si="74"/>
        <v>Books Barney20171031 $0</v>
      </c>
      <c r="N235" s="1" t="str">
        <f t="shared" si="75"/>
        <v>Books Barney 20171031 $0</v>
      </c>
      <c r="O235" s="9">
        <f t="shared" si="83"/>
        <v>6</v>
      </c>
      <c r="P235" s="9">
        <f t="shared" si="76"/>
        <v>13</v>
      </c>
      <c r="Q235" s="10">
        <f t="shared" si="77"/>
        <v>22</v>
      </c>
      <c r="R235" s="7" t="str">
        <f t="shared" si="78"/>
        <v>Books</v>
      </c>
      <c r="S235" s="7" t="str">
        <f t="shared" si="79"/>
        <v>Barney</v>
      </c>
      <c r="T235" s="7" t="str">
        <f t="shared" si="80"/>
        <v>20171031</v>
      </c>
      <c r="U235" s="7">
        <f t="shared" si="81"/>
        <v>0</v>
      </c>
      <c r="V235" s="8">
        <f t="shared" si="82"/>
        <v>43039</v>
      </c>
    </row>
    <row r="236" spans="1:22">
      <c r="A236" s="3">
        <f t="shared" si="63"/>
        <v>234</v>
      </c>
      <c r="B236" t="s">
        <v>240</v>
      </c>
      <c r="C236">
        <f t="shared" si="64"/>
        <v>28</v>
      </c>
      <c r="D236" t="str">
        <f t="shared" si="65"/>
        <v xml:space="preserve">//PR:Clothing_SP:Alice2017107    $1182  </v>
      </c>
      <c r="E236">
        <f t="shared" si="66"/>
        <v>32</v>
      </c>
      <c r="F236" t="str">
        <f t="shared" si="67"/>
        <v xml:space="preserve">//PR:Clothing_SP:Alice2017107    $1182  </v>
      </c>
      <c r="G236" t="str">
        <f t="shared" si="68"/>
        <v xml:space="preserve">PR:Clothing_SP:Alice2017107    $1182  </v>
      </c>
      <c r="H236" t="str">
        <f t="shared" si="69"/>
        <v xml:space="preserve">PR:Clothing SP:Alice2017107    $1182  </v>
      </c>
      <c r="I236" t="str">
        <f t="shared" si="70"/>
        <v>PR:Clothing SP:Alice2017107 $1182</v>
      </c>
      <c r="J236">
        <f t="shared" si="71"/>
        <v>33</v>
      </c>
      <c r="K236">
        <f t="shared" si="72"/>
        <v>50</v>
      </c>
      <c r="L236" t="str">
        <f t="shared" si="73"/>
        <v>Clothing SP:Alice2017107 $1182</v>
      </c>
      <c r="M236" t="str">
        <f t="shared" si="74"/>
        <v>Clothing Alice2017107 $1182</v>
      </c>
      <c r="N236" s="1" t="str">
        <f t="shared" si="75"/>
        <v>Clothing Alice 2017107 $1182</v>
      </c>
      <c r="O236" s="9">
        <f t="shared" si="83"/>
        <v>9</v>
      </c>
      <c r="P236" s="9">
        <f t="shared" si="76"/>
        <v>15</v>
      </c>
      <c r="Q236" s="10">
        <f t="shared" si="77"/>
        <v>23</v>
      </c>
      <c r="R236" s="7" t="str">
        <f t="shared" si="78"/>
        <v>Clothing</v>
      </c>
      <c r="S236" s="7" t="str">
        <f t="shared" si="79"/>
        <v>Alice</v>
      </c>
      <c r="T236" s="7" t="str">
        <f t="shared" si="80"/>
        <v>2017107</v>
      </c>
      <c r="U236" s="7">
        <f t="shared" si="81"/>
        <v>1182</v>
      </c>
      <c r="V236" s="8">
        <f t="shared" si="82"/>
        <v>43015</v>
      </c>
    </row>
    <row r="237" spans="1:22">
      <c r="A237" s="3">
        <f t="shared" si="63"/>
        <v>235</v>
      </c>
      <c r="B237" t="s">
        <v>241</v>
      </c>
      <c r="C237">
        <f t="shared" si="64"/>
        <v>30</v>
      </c>
      <c r="D237" t="str">
        <f t="shared" si="65"/>
        <v xml:space="preserve">////PR:Books__SP:Alice20171011 $675    </v>
      </c>
      <c r="E237">
        <f t="shared" si="66"/>
        <v>32</v>
      </c>
      <c r="F237" t="str">
        <f t="shared" si="67"/>
        <v xml:space="preserve">////PR:Books__SP:Alice20171011 $675    </v>
      </c>
      <c r="G237" t="str">
        <f t="shared" si="68"/>
        <v xml:space="preserve">PR:Books__SP:Alice20171011 $675    </v>
      </c>
      <c r="H237" t="str">
        <f t="shared" si="69"/>
        <v xml:space="preserve">PR:Books  SP:Alice20171011 $675    </v>
      </c>
      <c r="I237" t="str">
        <f t="shared" si="70"/>
        <v>PR:Books SP:Alice20171011 $675</v>
      </c>
      <c r="J237">
        <f t="shared" si="71"/>
        <v>30</v>
      </c>
      <c r="K237">
        <f t="shared" si="72"/>
        <v>53</v>
      </c>
      <c r="L237" t="str">
        <f t="shared" si="73"/>
        <v>Books SP:Alice20171011 $675</v>
      </c>
      <c r="M237" t="str">
        <f t="shared" si="74"/>
        <v>Books Alice20171011 $675</v>
      </c>
      <c r="N237" s="1" t="str">
        <f t="shared" si="75"/>
        <v>Books Alice 20171011 $675</v>
      </c>
      <c r="O237" s="9">
        <f t="shared" si="83"/>
        <v>6</v>
      </c>
      <c r="P237" s="9">
        <f t="shared" si="76"/>
        <v>12</v>
      </c>
      <c r="Q237" s="10">
        <f t="shared" si="77"/>
        <v>21</v>
      </c>
      <c r="R237" s="7" t="str">
        <f t="shared" si="78"/>
        <v>Books</v>
      </c>
      <c r="S237" s="7" t="str">
        <f t="shared" si="79"/>
        <v>Alice</v>
      </c>
      <c r="T237" s="7" t="str">
        <f t="shared" si="80"/>
        <v>20171011</v>
      </c>
      <c r="U237" s="7">
        <f t="shared" si="81"/>
        <v>675</v>
      </c>
      <c r="V237" s="8">
        <f t="shared" si="82"/>
        <v>43019</v>
      </c>
    </row>
    <row r="238" spans="1:22">
      <c r="A238" s="3">
        <f t="shared" si="63"/>
        <v>236</v>
      </c>
      <c r="B238" t="s">
        <v>242</v>
      </c>
      <c r="C238">
        <f t="shared" si="64"/>
        <v>31</v>
      </c>
      <c r="D238" t="str">
        <f t="shared" si="65"/>
        <v xml:space="preserve">//PR:Music_____SP:Barney20171025 $981  </v>
      </c>
      <c r="E238">
        <f t="shared" si="66"/>
        <v>32</v>
      </c>
      <c r="F238" t="str">
        <f t="shared" si="67"/>
        <v xml:space="preserve">//PR:Music_____SP:Barney20171025 $981  </v>
      </c>
      <c r="G238" t="str">
        <f t="shared" si="68"/>
        <v xml:space="preserve">PR:Music_____SP:Barney20171025 $981  </v>
      </c>
      <c r="H238" t="str">
        <f t="shared" si="69"/>
        <v xml:space="preserve">PR:Music     SP:Barney20171025 $981  </v>
      </c>
      <c r="I238" t="str">
        <f t="shared" si="70"/>
        <v>PR:Music SP:Barney20171025 $981</v>
      </c>
      <c r="J238">
        <f t="shared" si="71"/>
        <v>31</v>
      </c>
      <c r="K238">
        <f t="shared" si="72"/>
        <v>49</v>
      </c>
      <c r="L238" t="str">
        <f t="shared" si="73"/>
        <v>Music SP:Barney20171025 $981</v>
      </c>
      <c r="M238" t="str">
        <f t="shared" si="74"/>
        <v>Music Barney20171025 $981</v>
      </c>
      <c r="N238" s="1" t="str">
        <f t="shared" si="75"/>
        <v>Music Barney 20171025 $981</v>
      </c>
      <c r="O238" s="9">
        <f t="shared" si="83"/>
        <v>6</v>
      </c>
      <c r="P238" s="9">
        <f t="shared" si="76"/>
        <v>13</v>
      </c>
      <c r="Q238" s="10">
        <f t="shared" si="77"/>
        <v>22</v>
      </c>
      <c r="R238" s="7" t="str">
        <f t="shared" si="78"/>
        <v>Music</v>
      </c>
      <c r="S238" s="7" t="str">
        <f t="shared" si="79"/>
        <v>Barney</v>
      </c>
      <c r="T238" s="7" t="str">
        <f t="shared" si="80"/>
        <v>20171025</v>
      </c>
      <c r="U238" s="7">
        <f t="shared" si="81"/>
        <v>981</v>
      </c>
      <c r="V238" s="8">
        <f t="shared" si="82"/>
        <v>43033</v>
      </c>
    </row>
    <row r="239" spans="1:22">
      <c r="A239" s="3">
        <f t="shared" si="63"/>
        <v>237</v>
      </c>
      <c r="B239" t="s">
        <v>243</v>
      </c>
      <c r="C239">
        <f t="shared" si="64"/>
        <v>31</v>
      </c>
      <c r="D239" t="str">
        <f t="shared" si="65"/>
        <v xml:space="preserve">//PR:Clothing_____SP:Alice20171013     $1693  </v>
      </c>
      <c r="E239">
        <f t="shared" si="66"/>
        <v>32</v>
      </c>
      <c r="F239" t="str">
        <f t="shared" si="67"/>
        <v xml:space="preserve">//PR:Clothing_____SP:Alice20171013     $1693  </v>
      </c>
      <c r="G239" t="str">
        <f t="shared" si="68"/>
        <v xml:space="preserve">PR:Clothing_____SP:Alice20171013     $1693  </v>
      </c>
      <c r="H239" t="str">
        <f t="shared" si="69"/>
        <v xml:space="preserve">PR:Clothing     SP:Alice20171013     $1693  </v>
      </c>
      <c r="I239" t="str">
        <f t="shared" si="70"/>
        <v>PR:Clothing SP:Alice20171013 $1693</v>
      </c>
      <c r="J239">
        <f t="shared" si="71"/>
        <v>34</v>
      </c>
      <c r="K239">
        <f t="shared" si="72"/>
        <v>51</v>
      </c>
      <c r="L239" t="str">
        <f t="shared" si="73"/>
        <v>Clothing SP:Alice20171013 $1693</v>
      </c>
      <c r="M239" t="str">
        <f t="shared" si="74"/>
        <v>Clothing Alice20171013 $1693</v>
      </c>
      <c r="N239" s="1" t="str">
        <f t="shared" si="75"/>
        <v>Clothing Alice 20171013 $1693</v>
      </c>
      <c r="O239" s="9">
        <f t="shared" si="83"/>
        <v>9</v>
      </c>
      <c r="P239" s="9">
        <f t="shared" si="76"/>
        <v>15</v>
      </c>
      <c r="Q239" s="10">
        <f t="shared" si="77"/>
        <v>24</v>
      </c>
      <c r="R239" s="7" t="str">
        <f t="shared" si="78"/>
        <v>Clothing</v>
      </c>
      <c r="S239" s="7" t="str">
        <f t="shared" si="79"/>
        <v>Alice</v>
      </c>
      <c r="T239" s="7" t="str">
        <f t="shared" si="80"/>
        <v>20171013</v>
      </c>
      <c r="U239" s="7">
        <f t="shared" si="81"/>
        <v>1693</v>
      </c>
      <c r="V239" s="8">
        <f t="shared" si="82"/>
        <v>43021</v>
      </c>
    </row>
    <row r="240" spans="1:22">
      <c r="A240" s="3">
        <f t="shared" si="63"/>
        <v>238</v>
      </c>
      <c r="B240" t="s">
        <v>244</v>
      </c>
      <c r="C240">
        <f t="shared" si="64"/>
        <v>31</v>
      </c>
      <c r="D240" t="str">
        <f t="shared" si="65"/>
        <v xml:space="preserve">////PR:Music___SP:Alice20171015  $1499  </v>
      </c>
      <c r="E240">
        <f t="shared" si="66"/>
        <v>32</v>
      </c>
      <c r="F240" t="str">
        <f t="shared" si="67"/>
        <v xml:space="preserve">////PR:Music___SP:Alice20171015  $1499  </v>
      </c>
      <c r="G240" t="str">
        <f t="shared" si="68"/>
        <v xml:space="preserve">PR:Music___SP:Alice20171015  $1499  </v>
      </c>
      <c r="H240" t="str">
        <f t="shared" si="69"/>
        <v xml:space="preserve">PR:Music   SP:Alice20171015  $1499  </v>
      </c>
      <c r="I240" t="str">
        <f t="shared" si="70"/>
        <v>PR:Music SP:Alice20171015 $1499</v>
      </c>
      <c r="J240">
        <f t="shared" si="71"/>
        <v>31</v>
      </c>
      <c r="K240">
        <f t="shared" si="72"/>
        <v>57</v>
      </c>
      <c r="L240" t="str">
        <f t="shared" si="73"/>
        <v>Music SP:Alice20171015 $1499</v>
      </c>
      <c r="M240" t="str">
        <f t="shared" si="74"/>
        <v>Music Alice20171015 $1499</v>
      </c>
      <c r="N240" s="1" t="str">
        <f t="shared" si="75"/>
        <v>Music Alice 20171015 $1499</v>
      </c>
      <c r="O240" s="9">
        <f t="shared" si="83"/>
        <v>6</v>
      </c>
      <c r="P240" s="9">
        <f t="shared" si="76"/>
        <v>12</v>
      </c>
      <c r="Q240" s="10">
        <f t="shared" si="77"/>
        <v>21</v>
      </c>
      <c r="R240" s="7" t="str">
        <f t="shared" si="78"/>
        <v>Music</v>
      </c>
      <c r="S240" s="7" t="str">
        <f t="shared" si="79"/>
        <v>Alice</v>
      </c>
      <c r="T240" s="7" t="str">
        <f t="shared" si="80"/>
        <v>20171015</v>
      </c>
      <c r="U240" s="7">
        <f t="shared" si="81"/>
        <v>1499</v>
      </c>
      <c r="V240" s="8">
        <f t="shared" si="82"/>
        <v>43023</v>
      </c>
    </row>
    <row r="241" spans="1:22">
      <c r="A241" s="3">
        <f t="shared" si="63"/>
        <v>239</v>
      </c>
      <c r="B241" t="s">
        <v>245</v>
      </c>
      <c r="C241">
        <f t="shared" si="64"/>
        <v>30</v>
      </c>
      <c r="D241" t="str">
        <f t="shared" si="65"/>
        <v xml:space="preserve">////PR:Clothing____SP:Carol20171028  $1774    </v>
      </c>
      <c r="E241">
        <f t="shared" si="66"/>
        <v>32</v>
      </c>
      <c r="F241" t="str">
        <f t="shared" si="67"/>
        <v xml:space="preserve">////PR:Clothing____SP:Carol20171028  $1774    </v>
      </c>
      <c r="G241" t="str">
        <f t="shared" si="68"/>
        <v xml:space="preserve">PR:Clothing____SP:Carol20171028  $1774    </v>
      </c>
      <c r="H241" t="str">
        <f t="shared" si="69"/>
        <v xml:space="preserve">PR:Clothing    SP:Carol20171028  $1774    </v>
      </c>
      <c r="I241" t="str">
        <f t="shared" si="70"/>
        <v>PR:Clothing SP:Carol20171028 $1774</v>
      </c>
      <c r="J241">
        <f t="shared" si="71"/>
        <v>34</v>
      </c>
      <c r="K241">
        <f t="shared" si="72"/>
        <v>52</v>
      </c>
      <c r="L241" t="str">
        <f t="shared" si="73"/>
        <v>Clothing SP:Carol20171028 $1774</v>
      </c>
      <c r="M241" t="str">
        <f t="shared" si="74"/>
        <v>Clothing Carol20171028 $1774</v>
      </c>
      <c r="N241" s="1" t="str">
        <f t="shared" si="75"/>
        <v>Clothing Carol 20171028 $1774</v>
      </c>
      <c r="O241" s="9">
        <f t="shared" si="83"/>
        <v>9</v>
      </c>
      <c r="P241" s="9">
        <f t="shared" si="76"/>
        <v>15</v>
      </c>
      <c r="Q241" s="10">
        <f t="shared" si="77"/>
        <v>24</v>
      </c>
      <c r="R241" s="7" t="str">
        <f t="shared" si="78"/>
        <v>Clothing</v>
      </c>
      <c r="S241" s="7" t="str">
        <f t="shared" si="79"/>
        <v>Carol</v>
      </c>
      <c r="T241" s="7" t="str">
        <f t="shared" si="80"/>
        <v>20171028</v>
      </c>
      <c r="U241" s="7">
        <f t="shared" si="81"/>
        <v>1774</v>
      </c>
      <c r="V241" s="8">
        <f t="shared" si="82"/>
        <v>43036</v>
      </c>
    </row>
    <row r="242" spans="1:22">
      <c r="A242" s="3">
        <f t="shared" si="63"/>
        <v>240</v>
      </c>
      <c r="B242" t="s">
        <v>246</v>
      </c>
      <c r="C242">
        <f t="shared" si="64"/>
        <v>31</v>
      </c>
      <c r="D242" t="str">
        <f t="shared" si="65"/>
        <v xml:space="preserve">/////PR:Music_____SP:Carol2017106    $1256     </v>
      </c>
      <c r="E242">
        <f t="shared" si="66"/>
        <v>32</v>
      </c>
      <c r="F242" t="str">
        <f t="shared" si="67"/>
        <v xml:space="preserve">/////PR:Music_____SP:Carol2017106    $1256     </v>
      </c>
      <c r="G242" t="str">
        <f t="shared" si="68"/>
        <v xml:space="preserve">PR:Music_____SP:Carol2017106    $1256     </v>
      </c>
      <c r="H242" t="str">
        <f t="shared" si="69"/>
        <v xml:space="preserve">PR:Music     SP:Carol2017106    $1256     </v>
      </c>
      <c r="I242" t="str">
        <f t="shared" si="70"/>
        <v>PR:Music SP:Carol2017106 $1256</v>
      </c>
      <c r="J242">
        <f t="shared" si="71"/>
        <v>30</v>
      </c>
      <c r="K242">
        <f t="shared" si="72"/>
        <v>54</v>
      </c>
      <c r="L242" t="str">
        <f t="shared" si="73"/>
        <v>Music SP:Carol2017106 $1256</v>
      </c>
      <c r="M242" t="str">
        <f t="shared" si="74"/>
        <v>Music Carol2017106 $1256</v>
      </c>
      <c r="N242" s="1" t="str">
        <f t="shared" si="75"/>
        <v>Music Carol 2017106 $1256</v>
      </c>
      <c r="O242" s="9">
        <f t="shared" si="83"/>
        <v>6</v>
      </c>
      <c r="P242" s="9">
        <f t="shared" si="76"/>
        <v>12</v>
      </c>
      <c r="Q242" s="10">
        <f t="shared" si="77"/>
        <v>20</v>
      </c>
      <c r="R242" s="7" t="str">
        <f t="shared" si="78"/>
        <v>Music</v>
      </c>
      <c r="S242" s="7" t="str">
        <f t="shared" si="79"/>
        <v>Carol</v>
      </c>
      <c r="T242" s="7" t="str">
        <f t="shared" si="80"/>
        <v>2017106</v>
      </c>
      <c r="U242" s="7">
        <f t="shared" si="81"/>
        <v>1256</v>
      </c>
      <c r="V242" s="8">
        <f t="shared" si="82"/>
        <v>43014</v>
      </c>
    </row>
    <row r="243" spans="1:22">
      <c r="A243" s="3">
        <f t="shared" si="63"/>
        <v>241</v>
      </c>
      <c r="B243" t="s">
        <v>247</v>
      </c>
      <c r="C243">
        <f t="shared" si="64"/>
        <v>28</v>
      </c>
      <c r="D243" t="str">
        <f t="shared" si="65"/>
        <v xml:space="preserve">////PR:Games_____SP:Carol20171028   $1298     </v>
      </c>
      <c r="E243">
        <f t="shared" si="66"/>
        <v>32</v>
      </c>
      <c r="F243" t="str">
        <f t="shared" si="67"/>
        <v xml:space="preserve">////PR:Games_____SP:Carol20171028   $1298     </v>
      </c>
      <c r="G243" t="str">
        <f t="shared" si="68"/>
        <v xml:space="preserve">PR:Games_____SP:Carol20171028   $1298     </v>
      </c>
      <c r="H243" t="str">
        <f t="shared" si="69"/>
        <v xml:space="preserve">PR:Games     SP:Carol20171028   $1298     </v>
      </c>
      <c r="I243" t="str">
        <f t="shared" si="70"/>
        <v>PR:Games SP:Carol20171028 $1298</v>
      </c>
      <c r="J243">
        <f t="shared" si="71"/>
        <v>31</v>
      </c>
      <c r="K243">
        <f t="shared" si="72"/>
        <v>56</v>
      </c>
      <c r="L243" t="str">
        <f t="shared" si="73"/>
        <v>Games SP:Carol20171028 $1298</v>
      </c>
      <c r="M243" t="str">
        <f t="shared" si="74"/>
        <v>Games Carol20171028 $1298</v>
      </c>
      <c r="N243" s="1" t="str">
        <f t="shared" si="75"/>
        <v>Games Carol 20171028 $1298</v>
      </c>
      <c r="O243" s="9">
        <f t="shared" si="83"/>
        <v>6</v>
      </c>
      <c r="P243" s="9">
        <f t="shared" si="76"/>
        <v>12</v>
      </c>
      <c r="Q243" s="10">
        <f t="shared" si="77"/>
        <v>21</v>
      </c>
      <c r="R243" s="7" t="str">
        <f t="shared" si="78"/>
        <v>Games</v>
      </c>
      <c r="S243" s="7" t="str">
        <f t="shared" si="79"/>
        <v>Carol</v>
      </c>
      <c r="T243" s="7" t="str">
        <f t="shared" si="80"/>
        <v>20171028</v>
      </c>
      <c r="U243" s="7">
        <f t="shared" si="81"/>
        <v>1298</v>
      </c>
      <c r="V243" s="8">
        <f t="shared" si="82"/>
        <v>43036</v>
      </c>
    </row>
    <row r="244" spans="1:22">
      <c r="A244" s="3">
        <f t="shared" si="63"/>
        <v>242</v>
      </c>
      <c r="B244" t="s">
        <v>248</v>
      </c>
      <c r="C244">
        <f t="shared" si="64"/>
        <v>28</v>
      </c>
      <c r="D244" t="str">
        <f t="shared" si="65"/>
        <v xml:space="preserve">/////PR:Games__SP:Barney20171021  $0 </v>
      </c>
      <c r="E244">
        <f t="shared" si="66"/>
        <v>32</v>
      </c>
      <c r="F244" t="str">
        <f t="shared" si="67"/>
        <v xml:space="preserve">/////PR:Games__SP:Barney20171021  $0 </v>
      </c>
      <c r="G244" t="str">
        <f t="shared" si="68"/>
        <v xml:space="preserve">PR:Games__SP:Barney20171021  $0 </v>
      </c>
      <c r="H244" t="str">
        <f t="shared" si="69"/>
        <v xml:space="preserve">PR:Games  SP:Barney20171021  $0 </v>
      </c>
      <c r="I244" t="str">
        <f t="shared" si="70"/>
        <v>PR:Games SP:Barney20171021 $0</v>
      </c>
      <c r="J244">
        <f t="shared" si="71"/>
        <v>29</v>
      </c>
      <c r="K244">
        <f t="shared" si="72"/>
        <v>48</v>
      </c>
      <c r="L244" t="str">
        <f t="shared" si="73"/>
        <v>Games SP:Barney20171021 $0</v>
      </c>
      <c r="M244" t="str">
        <f t="shared" si="74"/>
        <v>Games Barney20171021 $0</v>
      </c>
      <c r="N244" s="1" t="str">
        <f t="shared" si="75"/>
        <v>Games Barney 20171021 $0</v>
      </c>
      <c r="O244" s="9">
        <f t="shared" si="83"/>
        <v>6</v>
      </c>
      <c r="P244" s="9">
        <f t="shared" si="76"/>
        <v>13</v>
      </c>
      <c r="Q244" s="10">
        <f t="shared" si="77"/>
        <v>22</v>
      </c>
      <c r="R244" s="7" t="str">
        <f t="shared" si="78"/>
        <v>Games</v>
      </c>
      <c r="S244" s="7" t="str">
        <f t="shared" si="79"/>
        <v>Barney</v>
      </c>
      <c r="T244" s="7" t="str">
        <f t="shared" si="80"/>
        <v>20171021</v>
      </c>
      <c r="U244" s="7">
        <f t="shared" si="81"/>
        <v>0</v>
      </c>
      <c r="V244" s="8">
        <f t="shared" si="82"/>
        <v>43029</v>
      </c>
    </row>
    <row r="245" spans="1:22">
      <c r="A245" s="3">
        <f t="shared" si="63"/>
        <v>243</v>
      </c>
      <c r="B245" t="s">
        <v>249</v>
      </c>
      <c r="C245">
        <f t="shared" si="64"/>
        <v>30</v>
      </c>
      <c r="D245" t="str">
        <f t="shared" si="65"/>
        <v xml:space="preserve">/PR:Books__SP:Carol2017106  $0    </v>
      </c>
      <c r="E245">
        <f t="shared" si="66"/>
        <v>32</v>
      </c>
      <c r="F245" t="str">
        <f t="shared" si="67"/>
        <v xml:space="preserve">/PR:Books__SP:Carol2017106  $0    </v>
      </c>
      <c r="G245" t="str">
        <f t="shared" si="68"/>
        <v xml:space="preserve">PR:Books__SP:Carol2017106  $0    </v>
      </c>
      <c r="H245" t="str">
        <f t="shared" si="69"/>
        <v xml:space="preserve">PR:Books  SP:Carol2017106  $0    </v>
      </c>
      <c r="I245" t="str">
        <f t="shared" si="70"/>
        <v>PR:Books SP:Carol2017106 $0</v>
      </c>
      <c r="J245">
        <f t="shared" si="71"/>
        <v>27</v>
      </c>
      <c r="K245">
        <f t="shared" si="72"/>
        <v>48</v>
      </c>
      <c r="L245" t="str">
        <f t="shared" si="73"/>
        <v>Books SP:Carol2017106 $0</v>
      </c>
      <c r="M245" t="str">
        <f t="shared" si="74"/>
        <v>Books Carol2017106 $0</v>
      </c>
      <c r="N245" s="1" t="str">
        <f t="shared" si="75"/>
        <v>Books Carol 2017106 $0</v>
      </c>
      <c r="O245" s="9">
        <f t="shared" si="83"/>
        <v>6</v>
      </c>
      <c r="P245" s="9">
        <f t="shared" si="76"/>
        <v>12</v>
      </c>
      <c r="Q245" s="10">
        <f t="shared" si="77"/>
        <v>20</v>
      </c>
      <c r="R245" s="7" t="str">
        <f t="shared" si="78"/>
        <v>Books</v>
      </c>
      <c r="S245" s="7" t="str">
        <f t="shared" si="79"/>
        <v>Carol</v>
      </c>
      <c r="T245" s="7" t="str">
        <f t="shared" si="80"/>
        <v>2017106</v>
      </c>
      <c r="U245" s="7">
        <f t="shared" si="81"/>
        <v>0</v>
      </c>
      <c r="V245" s="8">
        <f t="shared" si="82"/>
        <v>43014</v>
      </c>
    </row>
    <row r="246" spans="1:22">
      <c r="A246" s="3">
        <f t="shared" si="63"/>
        <v>244</v>
      </c>
      <c r="B246" t="s">
        <v>250</v>
      </c>
      <c r="C246">
        <f t="shared" si="64"/>
        <v>31</v>
      </c>
      <c r="D246" t="str">
        <f t="shared" si="65"/>
        <v xml:space="preserve">////PR:Clothing_____SP:Carol2017109 $987  </v>
      </c>
      <c r="E246">
        <f t="shared" si="66"/>
        <v>32</v>
      </c>
      <c r="F246" t="str">
        <f t="shared" si="67"/>
        <v xml:space="preserve">////PR:Clothing_____SP:Carol2017109 $987  </v>
      </c>
      <c r="G246" t="str">
        <f t="shared" si="68"/>
        <v xml:space="preserve">PR:Clothing_____SP:Carol2017109 $987  </v>
      </c>
      <c r="H246" t="str">
        <f t="shared" si="69"/>
        <v xml:space="preserve">PR:Clothing     SP:Carol2017109 $987  </v>
      </c>
      <c r="I246" t="str">
        <f t="shared" si="70"/>
        <v>PR:Clothing SP:Carol2017109 $987</v>
      </c>
      <c r="J246">
        <f t="shared" si="71"/>
        <v>32</v>
      </c>
      <c r="K246">
        <f t="shared" si="72"/>
        <v>55</v>
      </c>
      <c r="L246" t="str">
        <f t="shared" si="73"/>
        <v>Clothing SP:Carol2017109 $987</v>
      </c>
      <c r="M246" t="str">
        <f t="shared" si="74"/>
        <v>Clothing Carol2017109 $987</v>
      </c>
      <c r="N246" s="1" t="str">
        <f t="shared" si="75"/>
        <v>Clothing Carol 2017109 $987</v>
      </c>
      <c r="O246" s="9">
        <f t="shared" si="83"/>
        <v>9</v>
      </c>
      <c r="P246" s="9">
        <f t="shared" si="76"/>
        <v>15</v>
      </c>
      <c r="Q246" s="10">
        <f t="shared" si="77"/>
        <v>23</v>
      </c>
      <c r="R246" s="7" t="str">
        <f t="shared" si="78"/>
        <v>Clothing</v>
      </c>
      <c r="S246" s="7" t="str">
        <f t="shared" si="79"/>
        <v>Carol</v>
      </c>
      <c r="T246" s="7" t="str">
        <f t="shared" si="80"/>
        <v>2017109</v>
      </c>
      <c r="U246" s="7">
        <f t="shared" si="81"/>
        <v>987</v>
      </c>
      <c r="V246" s="8">
        <f t="shared" si="82"/>
        <v>43017</v>
      </c>
    </row>
    <row r="247" spans="1:22">
      <c r="A247" s="3">
        <f t="shared" si="63"/>
        <v>245</v>
      </c>
      <c r="B247" t="s">
        <v>251</v>
      </c>
      <c r="C247">
        <f t="shared" si="64"/>
        <v>28</v>
      </c>
      <c r="D247" t="str">
        <f t="shared" si="65"/>
        <v xml:space="preserve">///PR:Music____SP:David20171013  $1454    </v>
      </c>
      <c r="E247">
        <f t="shared" si="66"/>
        <v>32</v>
      </c>
      <c r="F247" t="str">
        <f t="shared" si="67"/>
        <v xml:space="preserve">///PR:Music____SP:David20171013  $1454    </v>
      </c>
      <c r="G247" t="str">
        <f t="shared" si="68"/>
        <v xml:space="preserve">PR:Music____SP:David20171013  $1454    </v>
      </c>
      <c r="H247" t="str">
        <f t="shared" si="69"/>
        <v xml:space="preserve">PR:Music    SP:David20171013  $1454    </v>
      </c>
      <c r="I247" t="str">
        <f t="shared" si="70"/>
        <v>PR:Music SP:David20171013 $1454</v>
      </c>
      <c r="J247">
        <f t="shared" si="71"/>
        <v>31</v>
      </c>
      <c r="K247">
        <f t="shared" si="72"/>
        <v>52</v>
      </c>
      <c r="L247" t="str">
        <f t="shared" si="73"/>
        <v>Music SP:David20171013 $1454</v>
      </c>
      <c r="M247" t="str">
        <f t="shared" si="74"/>
        <v>Music David20171013 $1454</v>
      </c>
      <c r="N247" s="1" t="str">
        <f t="shared" si="75"/>
        <v>Music David 20171013 $1454</v>
      </c>
      <c r="O247" s="9">
        <f t="shared" si="83"/>
        <v>6</v>
      </c>
      <c r="P247" s="9">
        <f t="shared" si="76"/>
        <v>12</v>
      </c>
      <c r="Q247" s="10">
        <f t="shared" si="77"/>
        <v>21</v>
      </c>
      <c r="R247" s="7" t="str">
        <f t="shared" si="78"/>
        <v>Music</v>
      </c>
      <c r="S247" s="7" t="str">
        <f t="shared" si="79"/>
        <v>David</v>
      </c>
      <c r="T247" s="7" t="str">
        <f t="shared" si="80"/>
        <v>20171013</v>
      </c>
      <c r="U247" s="7">
        <f t="shared" si="81"/>
        <v>1454</v>
      </c>
      <c r="V247" s="8">
        <f t="shared" si="82"/>
        <v>43021</v>
      </c>
    </row>
    <row r="248" spans="1:22">
      <c r="A248" s="3">
        <f t="shared" si="63"/>
        <v>246</v>
      </c>
      <c r="B248" t="s">
        <v>252</v>
      </c>
      <c r="C248">
        <f t="shared" si="64"/>
        <v>31</v>
      </c>
      <c r="D248" t="str">
        <f t="shared" si="65"/>
        <v xml:space="preserve">/////PR:Games___SP:Carol20171029 $0 </v>
      </c>
      <c r="E248">
        <f t="shared" si="66"/>
        <v>32</v>
      </c>
      <c r="F248" t="str">
        <f t="shared" si="67"/>
        <v xml:space="preserve">/////PR:Games___SP:Carol20171029 $0 </v>
      </c>
      <c r="G248" t="str">
        <f t="shared" si="68"/>
        <v xml:space="preserve">PR:Games___SP:Carol20171029 $0 </v>
      </c>
      <c r="H248" t="str">
        <f t="shared" si="69"/>
        <v xml:space="preserve">PR:Games   SP:Carol20171029 $0 </v>
      </c>
      <c r="I248" t="str">
        <f t="shared" si="70"/>
        <v>PR:Games SP:Carol20171029 $0</v>
      </c>
      <c r="J248">
        <f t="shared" si="71"/>
        <v>28</v>
      </c>
      <c r="K248">
        <f t="shared" si="72"/>
        <v>48</v>
      </c>
      <c r="L248" t="str">
        <f t="shared" si="73"/>
        <v>Games SP:Carol20171029 $0</v>
      </c>
      <c r="M248" t="str">
        <f t="shared" si="74"/>
        <v>Games Carol20171029 $0</v>
      </c>
      <c r="N248" s="1" t="str">
        <f t="shared" si="75"/>
        <v>Games Carol 20171029 $0</v>
      </c>
      <c r="O248" s="9">
        <f t="shared" si="83"/>
        <v>6</v>
      </c>
      <c r="P248" s="9">
        <f t="shared" si="76"/>
        <v>12</v>
      </c>
      <c r="Q248" s="10">
        <f t="shared" si="77"/>
        <v>21</v>
      </c>
      <c r="R248" s="7" t="str">
        <f t="shared" si="78"/>
        <v>Games</v>
      </c>
      <c r="S248" s="7" t="str">
        <f t="shared" si="79"/>
        <v>Carol</v>
      </c>
      <c r="T248" s="7" t="str">
        <f t="shared" si="80"/>
        <v>20171029</v>
      </c>
      <c r="U248" s="7">
        <f t="shared" si="81"/>
        <v>0</v>
      </c>
      <c r="V248" s="8">
        <f t="shared" si="82"/>
        <v>43037</v>
      </c>
    </row>
    <row r="249" spans="1:22">
      <c r="A249" s="3">
        <f t="shared" si="63"/>
        <v>247</v>
      </c>
      <c r="B249" t="s">
        <v>253</v>
      </c>
      <c r="C249">
        <f t="shared" si="64"/>
        <v>29</v>
      </c>
      <c r="D249" t="str">
        <f t="shared" si="65"/>
        <v xml:space="preserve">/////PR:Games_SP:Carol20171030   $803  </v>
      </c>
      <c r="E249">
        <f t="shared" si="66"/>
        <v>32</v>
      </c>
      <c r="F249" t="str">
        <f t="shared" si="67"/>
        <v xml:space="preserve">/////PR:Games_SP:Carol20171030   $803  </v>
      </c>
      <c r="G249" t="str">
        <f t="shared" si="68"/>
        <v xml:space="preserve">PR:Games_SP:Carol20171030   $803  </v>
      </c>
      <c r="H249" t="str">
        <f t="shared" si="69"/>
        <v xml:space="preserve">PR:Games SP:Carol20171030   $803  </v>
      </c>
      <c r="I249" t="str">
        <f t="shared" si="70"/>
        <v>PR:Games SP:Carol20171030 $803</v>
      </c>
      <c r="J249">
        <f t="shared" si="71"/>
        <v>30</v>
      </c>
      <c r="K249">
        <f t="shared" si="72"/>
        <v>51</v>
      </c>
      <c r="L249" t="str">
        <f t="shared" si="73"/>
        <v>Games SP:Carol20171030 $803</v>
      </c>
      <c r="M249" t="str">
        <f t="shared" si="74"/>
        <v>Games Carol20171030 $803</v>
      </c>
      <c r="N249" s="1" t="str">
        <f t="shared" si="75"/>
        <v>Games Carol 20171030 $803</v>
      </c>
      <c r="O249" s="9">
        <f t="shared" si="83"/>
        <v>6</v>
      </c>
      <c r="P249" s="9">
        <f t="shared" si="76"/>
        <v>12</v>
      </c>
      <c r="Q249" s="10">
        <f t="shared" si="77"/>
        <v>21</v>
      </c>
      <c r="R249" s="7" t="str">
        <f t="shared" si="78"/>
        <v>Games</v>
      </c>
      <c r="S249" s="7" t="str">
        <f t="shared" si="79"/>
        <v>Carol</v>
      </c>
      <c r="T249" s="7" t="str">
        <f t="shared" si="80"/>
        <v>20171030</v>
      </c>
      <c r="U249" s="7">
        <f t="shared" si="81"/>
        <v>803</v>
      </c>
      <c r="V249" s="8">
        <f t="shared" si="82"/>
        <v>43038</v>
      </c>
    </row>
    <row r="250" spans="1:22">
      <c r="A250" s="3">
        <f t="shared" si="63"/>
        <v>248</v>
      </c>
      <c r="B250" t="s">
        <v>254</v>
      </c>
      <c r="C250">
        <f t="shared" si="64"/>
        <v>31</v>
      </c>
      <c r="D250" t="str">
        <f t="shared" si="65"/>
        <v xml:space="preserve">///PR:Games_SP:Barney2017105 $0    </v>
      </c>
      <c r="E250">
        <f t="shared" si="66"/>
        <v>32</v>
      </c>
      <c r="F250" t="str">
        <f t="shared" si="67"/>
        <v xml:space="preserve">///PR:Games_SP:Barney2017105 $0    </v>
      </c>
      <c r="G250" t="str">
        <f t="shared" si="68"/>
        <v xml:space="preserve">PR:Games_SP:Barney2017105 $0    </v>
      </c>
      <c r="H250" t="str">
        <f t="shared" si="69"/>
        <v xml:space="preserve">PR:Games SP:Barney2017105 $0    </v>
      </c>
      <c r="I250" t="str">
        <f t="shared" si="70"/>
        <v>PR:Games SP:Barney2017105 $0</v>
      </c>
      <c r="J250">
        <f t="shared" si="71"/>
        <v>28</v>
      </c>
      <c r="K250">
        <f t="shared" si="72"/>
        <v>48</v>
      </c>
      <c r="L250" t="str">
        <f t="shared" si="73"/>
        <v>Games SP:Barney2017105 $0</v>
      </c>
      <c r="M250" t="str">
        <f t="shared" si="74"/>
        <v>Games Barney2017105 $0</v>
      </c>
      <c r="N250" s="1" t="str">
        <f t="shared" si="75"/>
        <v>Games Barney 2017105 $0</v>
      </c>
      <c r="O250" s="9">
        <f t="shared" si="83"/>
        <v>6</v>
      </c>
      <c r="P250" s="9">
        <f t="shared" si="76"/>
        <v>13</v>
      </c>
      <c r="Q250" s="10">
        <f t="shared" si="77"/>
        <v>21</v>
      </c>
      <c r="R250" s="7" t="str">
        <f t="shared" si="78"/>
        <v>Games</v>
      </c>
      <c r="S250" s="7" t="str">
        <f t="shared" si="79"/>
        <v>Barney</v>
      </c>
      <c r="T250" s="7" t="str">
        <f t="shared" si="80"/>
        <v>2017105</v>
      </c>
      <c r="U250" s="7">
        <f t="shared" si="81"/>
        <v>0</v>
      </c>
      <c r="V250" s="8">
        <f t="shared" si="82"/>
        <v>43013</v>
      </c>
    </row>
    <row r="251" spans="1:22">
      <c r="A251" s="3">
        <f t="shared" si="63"/>
        <v>249</v>
      </c>
      <c r="B251" t="s">
        <v>255</v>
      </c>
      <c r="C251">
        <f t="shared" si="64"/>
        <v>28</v>
      </c>
      <c r="D251" t="str">
        <f t="shared" si="65"/>
        <v xml:space="preserve">////PR:Clothing_____SP:Barney20171030  $0 </v>
      </c>
      <c r="E251">
        <f t="shared" si="66"/>
        <v>32</v>
      </c>
      <c r="F251" t="str">
        <f t="shared" si="67"/>
        <v xml:space="preserve">////PR:Clothing_____SP:Barney20171030  $0 </v>
      </c>
      <c r="G251" t="str">
        <f t="shared" si="68"/>
        <v xml:space="preserve">PR:Clothing_____SP:Barney20171030  $0 </v>
      </c>
      <c r="H251" t="str">
        <f t="shared" si="69"/>
        <v xml:space="preserve">PR:Clothing     SP:Barney20171030  $0 </v>
      </c>
      <c r="I251" t="str">
        <f t="shared" si="70"/>
        <v>PR:Clothing SP:Barney20171030 $0</v>
      </c>
      <c r="J251">
        <f t="shared" si="71"/>
        <v>32</v>
      </c>
      <c r="K251">
        <f t="shared" si="72"/>
        <v>48</v>
      </c>
      <c r="L251" t="str">
        <f t="shared" si="73"/>
        <v>Clothing SP:Barney20171030 $0</v>
      </c>
      <c r="M251" t="str">
        <f t="shared" si="74"/>
        <v>Clothing Barney20171030 $0</v>
      </c>
      <c r="N251" s="1" t="str">
        <f t="shared" si="75"/>
        <v>Clothing Barney 20171030 $0</v>
      </c>
      <c r="O251" s="9">
        <f t="shared" si="83"/>
        <v>9</v>
      </c>
      <c r="P251" s="9">
        <f t="shared" si="76"/>
        <v>16</v>
      </c>
      <c r="Q251" s="10">
        <f t="shared" si="77"/>
        <v>25</v>
      </c>
      <c r="R251" s="7" t="str">
        <f t="shared" si="78"/>
        <v>Clothing</v>
      </c>
      <c r="S251" s="7" t="str">
        <f t="shared" si="79"/>
        <v>Barney</v>
      </c>
      <c r="T251" s="7" t="str">
        <f t="shared" si="80"/>
        <v>20171030</v>
      </c>
      <c r="U251" s="7">
        <f t="shared" si="81"/>
        <v>0</v>
      </c>
      <c r="V251" s="8">
        <f t="shared" si="82"/>
        <v>43038</v>
      </c>
    </row>
    <row r="252" spans="1:22">
      <c r="A252" s="3">
        <f t="shared" si="63"/>
        <v>250</v>
      </c>
      <c r="B252" t="s">
        <v>256</v>
      </c>
      <c r="C252">
        <f t="shared" si="64"/>
        <v>30</v>
      </c>
      <c r="D252" t="str">
        <f t="shared" si="65"/>
        <v xml:space="preserve">///PR:Music___SP:Barney20171030 $1227  </v>
      </c>
      <c r="E252">
        <f t="shared" si="66"/>
        <v>32</v>
      </c>
      <c r="F252" t="str">
        <f t="shared" si="67"/>
        <v xml:space="preserve">///PR:Music___SP:Barney20171030 $1227  </v>
      </c>
      <c r="G252" t="str">
        <f t="shared" si="68"/>
        <v xml:space="preserve">PR:Music___SP:Barney20171030 $1227  </v>
      </c>
      <c r="H252" t="str">
        <f t="shared" si="69"/>
        <v xml:space="preserve">PR:Music   SP:Barney20171030 $1227  </v>
      </c>
      <c r="I252" t="str">
        <f t="shared" si="70"/>
        <v>PR:Music SP:Barney20171030 $1227</v>
      </c>
      <c r="J252">
        <f t="shared" si="71"/>
        <v>32</v>
      </c>
      <c r="K252">
        <f t="shared" si="72"/>
        <v>55</v>
      </c>
      <c r="L252" t="str">
        <f t="shared" si="73"/>
        <v>Music SP:Barney20171030 $1227</v>
      </c>
      <c r="M252" t="str">
        <f t="shared" si="74"/>
        <v>Music Barney20171030 $1227</v>
      </c>
      <c r="N252" s="1" t="str">
        <f t="shared" si="75"/>
        <v>Music Barney 20171030 $1227</v>
      </c>
      <c r="O252" s="9">
        <f t="shared" si="83"/>
        <v>6</v>
      </c>
      <c r="P252" s="9">
        <f t="shared" si="76"/>
        <v>13</v>
      </c>
      <c r="Q252" s="10">
        <f t="shared" si="77"/>
        <v>22</v>
      </c>
      <c r="R252" s="7" t="str">
        <f t="shared" si="78"/>
        <v>Music</v>
      </c>
      <c r="S252" s="7" t="str">
        <f t="shared" si="79"/>
        <v>Barney</v>
      </c>
      <c r="T252" s="7" t="str">
        <f t="shared" si="80"/>
        <v>20171030</v>
      </c>
      <c r="U252" s="7">
        <f t="shared" si="81"/>
        <v>1227</v>
      </c>
      <c r="V252" s="8">
        <f t="shared" si="82"/>
        <v>43038</v>
      </c>
    </row>
    <row r="253" spans="1:22">
      <c r="A253" s="3">
        <f t="shared" si="63"/>
        <v>251</v>
      </c>
      <c r="B253" t="s">
        <v>257</v>
      </c>
      <c r="C253">
        <f t="shared" si="64"/>
        <v>28</v>
      </c>
      <c r="D253" t="str">
        <f t="shared" si="65"/>
        <v xml:space="preserve">/////PR:Music____SP:Alice20171027   $1325   </v>
      </c>
      <c r="E253">
        <f t="shared" si="66"/>
        <v>32</v>
      </c>
      <c r="F253" t="str">
        <f t="shared" si="67"/>
        <v xml:space="preserve">/////PR:Music____SP:Alice20171027   $1325   </v>
      </c>
      <c r="G253" t="str">
        <f t="shared" si="68"/>
        <v xml:space="preserve">PR:Music____SP:Alice20171027   $1325   </v>
      </c>
      <c r="H253" t="str">
        <f t="shared" si="69"/>
        <v xml:space="preserve">PR:Music    SP:Alice20171027   $1325   </v>
      </c>
      <c r="I253" t="str">
        <f t="shared" si="70"/>
        <v>PR:Music SP:Alice20171027 $1325</v>
      </c>
      <c r="J253">
        <f t="shared" si="71"/>
        <v>31</v>
      </c>
      <c r="K253">
        <f t="shared" si="72"/>
        <v>53</v>
      </c>
      <c r="L253" t="str">
        <f t="shared" si="73"/>
        <v>Music SP:Alice20171027 $1325</v>
      </c>
      <c r="M253" t="str">
        <f t="shared" si="74"/>
        <v>Music Alice20171027 $1325</v>
      </c>
      <c r="N253" s="1" t="str">
        <f t="shared" si="75"/>
        <v>Music Alice 20171027 $1325</v>
      </c>
      <c r="O253" s="9">
        <f t="shared" si="83"/>
        <v>6</v>
      </c>
      <c r="P253" s="9">
        <f t="shared" si="76"/>
        <v>12</v>
      </c>
      <c r="Q253" s="10">
        <f t="shared" si="77"/>
        <v>21</v>
      </c>
      <c r="R253" s="7" t="str">
        <f t="shared" si="78"/>
        <v>Music</v>
      </c>
      <c r="S253" s="7" t="str">
        <f t="shared" si="79"/>
        <v>Alice</v>
      </c>
      <c r="T253" s="7" t="str">
        <f t="shared" si="80"/>
        <v>20171027</v>
      </c>
      <c r="U253" s="7">
        <f t="shared" si="81"/>
        <v>1325</v>
      </c>
      <c r="V253" s="8">
        <f t="shared" si="82"/>
        <v>43035</v>
      </c>
    </row>
    <row r="254" spans="1:22">
      <c r="A254" s="3">
        <f t="shared" si="63"/>
        <v>252</v>
      </c>
      <c r="B254" t="s">
        <v>258</v>
      </c>
      <c r="C254">
        <f t="shared" si="64"/>
        <v>31</v>
      </c>
      <c r="D254" t="str">
        <f t="shared" si="65"/>
        <v xml:space="preserve">////PR:Clothing_____SP:David20171018   $0     </v>
      </c>
      <c r="E254">
        <f t="shared" si="66"/>
        <v>32</v>
      </c>
      <c r="F254" t="str">
        <f t="shared" si="67"/>
        <v xml:space="preserve">////PR:Clothing_____SP:David20171018   $0     </v>
      </c>
      <c r="G254" t="str">
        <f t="shared" si="68"/>
        <v xml:space="preserve">PR:Clothing_____SP:David20171018   $0     </v>
      </c>
      <c r="H254" t="str">
        <f t="shared" si="69"/>
        <v xml:space="preserve">PR:Clothing     SP:David20171018   $0     </v>
      </c>
      <c r="I254" t="str">
        <f t="shared" si="70"/>
        <v>PR:Clothing SP:David20171018 $0</v>
      </c>
      <c r="J254">
        <f t="shared" si="71"/>
        <v>31</v>
      </c>
      <c r="K254">
        <f t="shared" si="72"/>
        <v>48</v>
      </c>
      <c r="L254" t="str">
        <f t="shared" si="73"/>
        <v>Clothing SP:David20171018 $0</v>
      </c>
      <c r="M254" t="str">
        <f t="shared" si="74"/>
        <v>Clothing David20171018 $0</v>
      </c>
      <c r="N254" s="1" t="str">
        <f t="shared" si="75"/>
        <v>Clothing David 20171018 $0</v>
      </c>
      <c r="O254" s="9">
        <f t="shared" si="83"/>
        <v>9</v>
      </c>
      <c r="P254" s="9">
        <f t="shared" si="76"/>
        <v>15</v>
      </c>
      <c r="Q254" s="10">
        <f t="shared" si="77"/>
        <v>24</v>
      </c>
      <c r="R254" s="7" t="str">
        <f t="shared" si="78"/>
        <v>Clothing</v>
      </c>
      <c r="S254" s="7" t="str">
        <f t="shared" si="79"/>
        <v>David</v>
      </c>
      <c r="T254" s="7" t="str">
        <f t="shared" si="80"/>
        <v>20171018</v>
      </c>
      <c r="U254" s="7">
        <f t="shared" si="81"/>
        <v>0</v>
      </c>
      <c r="V254" s="8">
        <f t="shared" si="82"/>
        <v>43026</v>
      </c>
    </row>
    <row r="255" spans="1:22">
      <c r="A255" s="3">
        <f t="shared" si="63"/>
        <v>253</v>
      </c>
      <c r="B255" t="s">
        <v>259</v>
      </c>
      <c r="C255">
        <f t="shared" si="64"/>
        <v>31</v>
      </c>
      <c r="D255" t="str">
        <f t="shared" si="65"/>
        <v xml:space="preserve">////PR:Games_____SP:Alice20171024   $1035  </v>
      </c>
      <c r="E255">
        <f t="shared" si="66"/>
        <v>32</v>
      </c>
      <c r="F255" t="str">
        <f t="shared" si="67"/>
        <v xml:space="preserve">////PR:Games_____SP:Alice20171024   $1035  </v>
      </c>
      <c r="G255" t="str">
        <f t="shared" si="68"/>
        <v xml:space="preserve">PR:Games_____SP:Alice20171024   $1035  </v>
      </c>
      <c r="H255" t="str">
        <f t="shared" si="69"/>
        <v xml:space="preserve">PR:Games     SP:Alice20171024   $1035  </v>
      </c>
      <c r="I255" t="str">
        <f t="shared" si="70"/>
        <v>PR:Games SP:Alice20171024 $1035</v>
      </c>
      <c r="J255">
        <f t="shared" si="71"/>
        <v>31</v>
      </c>
      <c r="K255">
        <f t="shared" si="72"/>
        <v>53</v>
      </c>
      <c r="L255" t="str">
        <f t="shared" si="73"/>
        <v>Games SP:Alice20171024 $1035</v>
      </c>
      <c r="M255" t="str">
        <f t="shared" si="74"/>
        <v>Games Alice20171024 $1035</v>
      </c>
      <c r="N255" s="1" t="str">
        <f t="shared" si="75"/>
        <v>Games Alice 20171024 $1035</v>
      </c>
      <c r="O255" s="9">
        <f t="shared" si="83"/>
        <v>6</v>
      </c>
      <c r="P255" s="9">
        <f t="shared" si="76"/>
        <v>12</v>
      </c>
      <c r="Q255" s="10">
        <f t="shared" si="77"/>
        <v>21</v>
      </c>
      <c r="R255" s="7" t="str">
        <f t="shared" si="78"/>
        <v>Games</v>
      </c>
      <c r="S255" s="7" t="str">
        <f t="shared" si="79"/>
        <v>Alice</v>
      </c>
      <c r="T255" s="7" t="str">
        <f t="shared" si="80"/>
        <v>20171024</v>
      </c>
      <c r="U255" s="7">
        <f t="shared" si="81"/>
        <v>1035</v>
      </c>
      <c r="V255" s="8">
        <f t="shared" si="82"/>
        <v>43032</v>
      </c>
    </row>
    <row r="256" spans="1:22">
      <c r="A256" s="3">
        <f t="shared" si="63"/>
        <v>254</v>
      </c>
      <c r="B256" t="s">
        <v>260</v>
      </c>
      <c r="C256">
        <f t="shared" si="64"/>
        <v>28</v>
      </c>
      <c r="D256" t="str">
        <f t="shared" si="65"/>
        <v xml:space="preserve">///PR:Books___SP:David20171030 $553 </v>
      </c>
      <c r="E256">
        <f t="shared" si="66"/>
        <v>32</v>
      </c>
      <c r="F256" t="str">
        <f t="shared" si="67"/>
        <v xml:space="preserve">///PR:Books___SP:David20171030 $553 </v>
      </c>
      <c r="G256" t="str">
        <f t="shared" si="68"/>
        <v xml:space="preserve">PR:Books___SP:David20171030 $553 </v>
      </c>
      <c r="H256" t="str">
        <f t="shared" si="69"/>
        <v xml:space="preserve">PR:Books   SP:David20171030 $553 </v>
      </c>
      <c r="I256" t="str">
        <f t="shared" si="70"/>
        <v>PR:Books SP:David20171030 $553</v>
      </c>
      <c r="J256">
        <f t="shared" si="71"/>
        <v>30</v>
      </c>
      <c r="K256">
        <f t="shared" si="72"/>
        <v>51</v>
      </c>
      <c r="L256" t="str">
        <f t="shared" si="73"/>
        <v>Books SP:David20171030 $553</v>
      </c>
      <c r="M256" t="str">
        <f t="shared" si="74"/>
        <v>Books David20171030 $553</v>
      </c>
      <c r="N256" s="1" t="str">
        <f t="shared" si="75"/>
        <v>Books David 20171030 $553</v>
      </c>
      <c r="O256" s="9">
        <f t="shared" si="83"/>
        <v>6</v>
      </c>
      <c r="P256" s="9">
        <f t="shared" si="76"/>
        <v>12</v>
      </c>
      <c r="Q256" s="10">
        <f t="shared" si="77"/>
        <v>21</v>
      </c>
      <c r="R256" s="7" t="str">
        <f t="shared" si="78"/>
        <v>Books</v>
      </c>
      <c r="S256" s="7" t="str">
        <f t="shared" si="79"/>
        <v>David</v>
      </c>
      <c r="T256" s="7" t="str">
        <f t="shared" si="80"/>
        <v>20171030</v>
      </c>
      <c r="U256" s="7">
        <f t="shared" si="81"/>
        <v>553</v>
      </c>
      <c r="V256" s="8">
        <f t="shared" si="82"/>
        <v>43038</v>
      </c>
    </row>
    <row r="257" spans="1:22">
      <c r="A257" s="3">
        <f t="shared" si="63"/>
        <v>255</v>
      </c>
      <c r="B257" t="s">
        <v>261</v>
      </c>
      <c r="C257">
        <f t="shared" si="64"/>
        <v>28</v>
      </c>
      <c r="D257" t="str">
        <f t="shared" si="65"/>
        <v xml:space="preserve">//PR:Music___SP:Barney20171021 $1139 </v>
      </c>
      <c r="E257">
        <f t="shared" si="66"/>
        <v>32</v>
      </c>
      <c r="F257" t="str">
        <f t="shared" si="67"/>
        <v xml:space="preserve">//PR:Music___SP:Barney20171021 $1139 </v>
      </c>
      <c r="G257" t="str">
        <f t="shared" si="68"/>
        <v xml:space="preserve">PR:Music___SP:Barney20171021 $1139 </v>
      </c>
      <c r="H257" t="str">
        <f t="shared" si="69"/>
        <v xml:space="preserve">PR:Music   SP:Barney20171021 $1139 </v>
      </c>
      <c r="I257" t="str">
        <f t="shared" si="70"/>
        <v>PR:Music SP:Barney20171021 $1139</v>
      </c>
      <c r="J257">
        <f t="shared" si="71"/>
        <v>32</v>
      </c>
      <c r="K257">
        <f t="shared" si="72"/>
        <v>57</v>
      </c>
      <c r="L257" t="str">
        <f t="shared" si="73"/>
        <v>Music SP:Barney20171021 $1139</v>
      </c>
      <c r="M257" t="str">
        <f t="shared" si="74"/>
        <v>Music Barney20171021 $1139</v>
      </c>
      <c r="N257" s="1" t="str">
        <f t="shared" si="75"/>
        <v>Music Barney 20171021 $1139</v>
      </c>
      <c r="O257" s="9">
        <f t="shared" si="83"/>
        <v>6</v>
      </c>
      <c r="P257" s="9">
        <f t="shared" si="76"/>
        <v>13</v>
      </c>
      <c r="Q257" s="10">
        <f t="shared" si="77"/>
        <v>22</v>
      </c>
      <c r="R257" s="7" t="str">
        <f t="shared" si="78"/>
        <v>Music</v>
      </c>
      <c r="S257" s="7" t="str">
        <f t="shared" si="79"/>
        <v>Barney</v>
      </c>
      <c r="T257" s="7" t="str">
        <f t="shared" si="80"/>
        <v>20171021</v>
      </c>
      <c r="U257" s="7">
        <f t="shared" si="81"/>
        <v>1139</v>
      </c>
      <c r="V257" s="8">
        <f t="shared" si="82"/>
        <v>43029</v>
      </c>
    </row>
    <row r="258" spans="1:22">
      <c r="A258" s="3">
        <f t="shared" si="63"/>
        <v>256</v>
      </c>
      <c r="B258" t="s">
        <v>262</v>
      </c>
      <c r="C258">
        <f t="shared" si="64"/>
        <v>28</v>
      </c>
      <c r="D258" t="str">
        <f t="shared" si="65"/>
        <v xml:space="preserve">/////PR:Games__SP:Barney20171029   $0     </v>
      </c>
      <c r="E258">
        <f t="shared" si="66"/>
        <v>32</v>
      </c>
      <c r="F258" t="str">
        <f t="shared" si="67"/>
        <v xml:space="preserve">/////PR:Games__SP:Barney20171029   $0     </v>
      </c>
      <c r="G258" t="str">
        <f t="shared" si="68"/>
        <v xml:space="preserve">PR:Games__SP:Barney20171029   $0     </v>
      </c>
      <c r="H258" t="str">
        <f t="shared" si="69"/>
        <v xml:space="preserve">PR:Games  SP:Barney20171029   $0     </v>
      </c>
      <c r="I258" t="str">
        <f t="shared" si="70"/>
        <v>PR:Games SP:Barney20171029 $0</v>
      </c>
      <c r="J258">
        <f t="shared" si="71"/>
        <v>29</v>
      </c>
      <c r="K258">
        <f t="shared" si="72"/>
        <v>48</v>
      </c>
      <c r="L258" t="str">
        <f t="shared" si="73"/>
        <v>Games SP:Barney20171029 $0</v>
      </c>
      <c r="M258" t="str">
        <f t="shared" si="74"/>
        <v>Games Barney20171029 $0</v>
      </c>
      <c r="N258" s="1" t="str">
        <f t="shared" si="75"/>
        <v>Games Barney 20171029 $0</v>
      </c>
      <c r="O258" s="9">
        <f t="shared" si="83"/>
        <v>6</v>
      </c>
      <c r="P258" s="9">
        <f t="shared" si="76"/>
        <v>13</v>
      </c>
      <c r="Q258" s="10">
        <f t="shared" si="77"/>
        <v>22</v>
      </c>
      <c r="R258" s="7" t="str">
        <f t="shared" si="78"/>
        <v>Games</v>
      </c>
      <c r="S258" s="7" t="str">
        <f t="shared" si="79"/>
        <v>Barney</v>
      </c>
      <c r="T258" s="7" t="str">
        <f t="shared" si="80"/>
        <v>20171029</v>
      </c>
      <c r="U258" s="7">
        <f t="shared" si="81"/>
        <v>0</v>
      </c>
      <c r="V258" s="8">
        <f t="shared" si="82"/>
        <v>43037</v>
      </c>
    </row>
    <row r="259" spans="1:22">
      <c r="A259" s="3">
        <f t="shared" si="63"/>
        <v>257</v>
      </c>
      <c r="B259" t="s">
        <v>263</v>
      </c>
      <c r="C259">
        <f t="shared" si="64"/>
        <v>29</v>
      </c>
      <c r="D259" t="str">
        <f t="shared" si="65"/>
        <v xml:space="preserve">//PR:Music_SP:Carol20171026     $0    </v>
      </c>
      <c r="E259">
        <f t="shared" si="66"/>
        <v>32</v>
      </c>
      <c r="F259" t="str">
        <f t="shared" si="67"/>
        <v xml:space="preserve">//PR:Music_SP:Carol20171026     $0    </v>
      </c>
      <c r="G259" t="str">
        <f t="shared" si="68"/>
        <v xml:space="preserve">PR:Music_SP:Carol20171026     $0    </v>
      </c>
      <c r="H259" t="str">
        <f t="shared" si="69"/>
        <v xml:space="preserve">PR:Music SP:Carol20171026     $0    </v>
      </c>
      <c r="I259" t="str">
        <f t="shared" si="70"/>
        <v>PR:Music SP:Carol20171026 $0</v>
      </c>
      <c r="J259">
        <f t="shared" si="71"/>
        <v>28</v>
      </c>
      <c r="K259">
        <f t="shared" si="72"/>
        <v>48</v>
      </c>
      <c r="L259" t="str">
        <f t="shared" si="73"/>
        <v>Music SP:Carol20171026 $0</v>
      </c>
      <c r="M259" t="str">
        <f t="shared" si="74"/>
        <v>Music Carol20171026 $0</v>
      </c>
      <c r="N259" s="1" t="str">
        <f t="shared" si="75"/>
        <v>Music Carol 20171026 $0</v>
      </c>
      <c r="O259" s="9">
        <f t="shared" si="83"/>
        <v>6</v>
      </c>
      <c r="P259" s="9">
        <f t="shared" si="76"/>
        <v>12</v>
      </c>
      <c r="Q259" s="10">
        <f t="shared" si="77"/>
        <v>21</v>
      </c>
      <c r="R259" s="7" t="str">
        <f t="shared" si="78"/>
        <v>Music</v>
      </c>
      <c r="S259" s="7" t="str">
        <f t="shared" si="79"/>
        <v>Carol</v>
      </c>
      <c r="T259" s="7" t="str">
        <f t="shared" si="80"/>
        <v>20171026</v>
      </c>
      <c r="U259" s="7">
        <f t="shared" si="81"/>
        <v>0</v>
      </c>
      <c r="V259" s="8">
        <f t="shared" si="82"/>
        <v>43034</v>
      </c>
    </row>
    <row r="260" spans="1:22">
      <c r="A260" s="3">
        <f t="shared" ref="A260:A323" si="84">A259+1</f>
        <v>258</v>
      </c>
      <c r="B260" t="s">
        <v>264</v>
      </c>
      <c r="C260">
        <f t="shared" ref="C260:C323" si="85">CODE(RIGHT(B260,1))</f>
        <v>31</v>
      </c>
      <c r="D260" t="str">
        <f t="shared" ref="D260:D323" si="86">CLEAN(B260)</f>
        <v xml:space="preserve">////PR:Books____SP:Barney20171013 $922    </v>
      </c>
      <c r="E260">
        <f t="shared" ref="E260:E323" si="87">CODE(RIGHT(D260,1))</f>
        <v>32</v>
      </c>
      <c r="F260" t="str">
        <f t="shared" ref="F260:F323" si="88">SUBSTITUTE(D260,CHAR(160)," ")</f>
        <v xml:space="preserve">////PR:Books____SP:Barney20171013 $922    </v>
      </c>
      <c r="G260" t="str">
        <f t="shared" ref="G260:G323" si="89">SUBSTITUTE(F260,"/","")</f>
        <v xml:space="preserve">PR:Books____SP:Barney20171013 $922    </v>
      </c>
      <c r="H260" t="str">
        <f t="shared" ref="H260:H323" si="90">SUBSTITUTE(G260,"_"," ")</f>
        <v xml:space="preserve">PR:Books    SP:Barney20171013 $922    </v>
      </c>
      <c r="I260" t="str">
        <f t="shared" ref="I260:I323" si="91">TRIM(H260)</f>
        <v>PR:Books SP:Barney20171013 $922</v>
      </c>
      <c r="J260">
        <f t="shared" ref="J260:J323" si="92">LEN(I260)</f>
        <v>31</v>
      </c>
      <c r="K260">
        <f t="shared" ref="K260:K323" si="93">CODE(RIGHT(I260,1))</f>
        <v>50</v>
      </c>
      <c r="L260" t="str">
        <f t="shared" ref="L260:L323" si="94">SUBSTITUTE(I260,"PR:","")</f>
        <v>Books SP:Barney20171013 $922</v>
      </c>
      <c r="M260" t="str">
        <f t="shared" ref="M260:M323" si="95">SUBSTITUTE(L260,"SP:","")</f>
        <v>Books Barney20171013 $922</v>
      </c>
      <c r="N260" s="1" t="str">
        <f t="shared" ref="N260:N323" si="96">SUBSTITUTE(M260,"201710"," 201710")</f>
        <v>Books Barney 20171013 $922</v>
      </c>
      <c r="O260" s="9">
        <f t="shared" si="83"/>
        <v>6</v>
      </c>
      <c r="P260" s="9">
        <f t="shared" ref="P260:P323" si="97">FIND(" ",N260,O260+1)</f>
        <v>13</v>
      </c>
      <c r="Q260" s="10">
        <f t="shared" ref="Q260:Q323" si="98">FIND("$",N260,1)-1</f>
        <v>22</v>
      </c>
      <c r="R260" s="7" t="str">
        <f t="shared" ref="R260:R323" si="99">LEFT(N260,O260-1)</f>
        <v>Books</v>
      </c>
      <c r="S260" s="7" t="str">
        <f t="shared" ref="S260:S323" si="100">MID(N260,O260+1,P260-O260-1)</f>
        <v>Barney</v>
      </c>
      <c r="T260" s="7" t="str">
        <f t="shared" ref="T260:T323" si="101">MID(N260,P260+1,Q260-P260-1)</f>
        <v>20171013</v>
      </c>
      <c r="U260" s="7">
        <f t="shared" ref="U260:U323" si="102">VALUE(MID(N260,Q260+2,99))</f>
        <v>922</v>
      </c>
      <c r="V260" s="8">
        <f t="shared" ref="V260:V323" si="103">DATE(2017,10,MID(T260,7,99))</f>
        <v>43021</v>
      </c>
    </row>
    <row r="261" spans="1:22">
      <c r="A261" s="3">
        <f t="shared" si="84"/>
        <v>259</v>
      </c>
      <c r="B261" t="s">
        <v>265</v>
      </c>
      <c r="C261">
        <f t="shared" si="85"/>
        <v>31</v>
      </c>
      <c r="D261" t="str">
        <f t="shared" si="86"/>
        <v xml:space="preserve">/////PR:Books____SP:Alice20171029  $933   </v>
      </c>
      <c r="E261">
        <f t="shared" si="87"/>
        <v>32</v>
      </c>
      <c r="F261" t="str">
        <f t="shared" si="88"/>
        <v xml:space="preserve">/////PR:Books____SP:Alice20171029  $933   </v>
      </c>
      <c r="G261" t="str">
        <f t="shared" si="89"/>
        <v xml:space="preserve">PR:Books____SP:Alice20171029  $933   </v>
      </c>
      <c r="H261" t="str">
        <f t="shared" si="90"/>
        <v xml:space="preserve">PR:Books    SP:Alice20171029  $933   </v>
      </c>
      <c r="I261" t="str">
        <f t="shared" si="91"/>
        <v>PR:Books SP:Alice20171029 $933</v>
      </c>
      <c r="J261">
        <f t="shared" si="92"/>
        <v>30</v>
      </c>
      <c r="K261">
        <f t="shared" si="93"/>
        <v>51</v>
      </c>
      <c r="L261" t="str">
        <f t="shared" si="94"/>
        <v>Books SP:Alice20171029 $933</v>
      </c>
      <c r="M261" t="str">
        <f t="shared" si="95"/>
        <v>Books Alice20171029 $933</v>
      </c>
      <c r="N261" s="1" t="str">
        <f t="shared" si="96"/>
        <v>Books Alice 20171029 $933</v>
      </c>
      <c r="O261" s="9">
        <f t="shared" ref="O261:O324" si="104">FIND(" ",N261,1)</f>
        <v>6</v>
      </c>
      <c r="P261" s="9">
        <f t="shared" si="97"/>
        <v>12</v>
      </c>
      <c r="Q261" s="10">
        <f t="shared" si="98"/>
        <v>21</v>
      </c>
      <c r="R261" s="7" t="str">
        <f t="shared" si="99"/>
        <v>Books</v>
      </c>
      <c r="S261" s="7" t="str">
        <f t="shared" si="100"/>
        <v>Alice</v>
      </c>
      <c r="T261" s="7" t="str">
        <f t="shared" si="101"/>
        <v>20171029</v>
      </c>
      <c r="U261" s="7">
        <f t="shared" si="102"/>
        <v>933</v>
      </c>
      <c r="V261" s="8">
        <f t="shared" si="103"/>
        <v>43037</v>
      </c>
    </row>
    <row r="262" spans="1:22">
      <c r="A262" s="3">
        <f t="shared" si="84"/>
        <v>260</v>
      </c>
      <c r="B262" t="s">
        <v>266</v>
      </c>
      <c r="C262">
        <f t="shared" si="85"/>
        <v>29</v>
      </c>
      <c r="D262" t="str">
        <f t="shared" si="86"/>
        <v xml:space="preserve">///PR:Music____SP:Carol2017101   $902 </v>
      </c>
      <c r="E262">
        <f t="shared" si="87"/>
        <v>32</v>
      </c>
      <c r="F262" t="str">
        <f t="shared" si="88"/>
        <v xml:space="preserve">///PR:Music____SP:Carol2017101   $902 </v>
      </c>
      <c r="G262" t="str">
        <f t="shared" si="89"/>
        <v xml:space="preserve">PR:Music____SP:Carol2017101   $902 </v>
      </c>
      <c r="H262" t="str">
        <f t="shared" si="90"/>
        <v xml:space="preserve">PR:Music    SP:Carol2017101   $902 </v>
      </c>
      <c r="I262" t="str">
        <f t="shared" si="91"/>
        <v>PR:Music SP:Carol2017101 $902</v>
      </c>
      <c r="J262">
        <f t="shared" si="92"/>
        <v>29</v>
      </c>
      <c r="K262">
        <f t="shared" si="93"/>
        <v>50</v>
      </c>
      <c r="L262" t="str">
        <f t="shared" si="94"/>
        <v>Music SP:Carol2017101 $902</v>
      </c>
      <c r="M262" t="str">
        <f t="shared" si="95"/>
        <v>Music Carol2017101 $902</v>
      </c>
      <c r="N262" s="1" t="str">
        <f t="shared" si="96"/>
        <v>Music Carol 2017101 $902</v>
      </c>
      <c r="O262" s="9">
        <f t="shared" si="104"/>
        <v>6</v>
      </c>
      <c r="P262" s="9">
        <f t="shared" si="97"/>
        <v>12</v>
      </c>
      <c r="Q262" s="10">
        <f t="shared" si="98"/>
        <v>20</v>
      </c>
      <c r="R262" s="7" t="str">
        <f t="shared" si="99"/>
        <v>Music</v>
      </c>
      <c r="S262" s="7" t="str">
        <f t="shared" si="100"/>
        <v>Carol</v>
      </c>
      <c r="T262" s="7" t="str">
        <f t="shared" si="101"/>
        <v>2017101</v>
      </c>
      <c r="U262" s="7">
        <f t="shared" si="102"/>
        <v>902</v>
      </c>
      <c r="V262" s="8">
        <f t="shared" si="103"/>
        <v>43009</v>
      </c>
    </row>
    <row r="263" spans="1:22">
      <c r="A263" s="3">
        <f t="shared" si="84"/>
        <v>261</v>
      </c>
      <c r="B263" t="s">
        <v>267</v>
      </c>
      <c r="C263">
        <f t="shared" si="85"/>
        <v>28</v>
      </c>
      <c r="D263" t="str">
        <f t="shared" si="86"/>
        <v xml:space="preserve">//PR:Books___SP:Barney2017102  $885 </v>
      </c>
      <c r="E263">
        <f t="shared" si="87"/>
        <v>32</v>
      </c>
      <c r="F263" t="str">
        <f t="shared" si="88"/>
        <v xml:space="preserve">//PR:Books___SP:Barney2017102  $885 </v>
      </c>
      <c r="G263" t="str">
        <f t="shared" si="89"/>
        <v xml:space="preserve">PR:Books___SP:Barney2017102  $885 </v>
      </c>
      <c r="H263" t="str">
        <f t="shared" si="90"/>
        <v xml:space="preserve">PR:Books   SP:Barney2017102  $885 </v>
      </c>
      <c r="I263" t="str">
        <f t="shared" si="91"/>
        <v>PR:Books SP:Barney2017102 $885</v>
      </c>
      <c r="J263">
        <f t="shared" si="92"/>
        <v>30</v>
      </c>
      <c r="K263">
        <f t="shared" si="93"/>
        <v>53</v>
      </c>
      <c r="L263" t="str">
        <f t="shared" si="94"/>
        <v>Books SP:Barney2017102 $885</v>
      </c>
      <c r="M263" t="str">
        <f t="shared" si="95"/>
        <v>Books Barney2017102 $885</v>
      </c>
      <c r="N263" s="1" t="str">
        <f t="shared" si="96"/>
        <v>Books Barney 2017102 $885</v>
      </c>
      <c r="O263" s="9">
        <f t="shared" si="104"/>
        <v>6</v>
      </c>
      <c r="P263" s="9">
        <f t="shared" si="97"/>
        <v>13</v>
      </c>
      <c r="Q263" s="10">
        <f t="shared" si="98"/>
        <v>21</v>
      </c>
      <c r="R263" s="7" t="str">
        <f t="shared" si="99"/>
        <v>Books</v>
      </c>
      <c r="S263" s="7" t="str">
        <f t="shared" si="100"/>
        <v>Barney</v>
      </c>
      <c r="T263" s="7" t="str">
        <f t="shared" si="101"/>
        <v>2017102</v>
      </c>
      <c r="U263" s="7">
        <f t="shared" si="102"/>
        <v>885</v>
      </c>
      <c r="V263" s="8">
        <f t="shared" si="103"/>
        <v>43010</v>
      </c>
    </row>
    <row r="264" spans="1:22">
      <c r="A264" s="3">
        <f t="shared" si="84"/>
        <v>262</v>
      </c>
      <c r="B264" t="s">
        <v>268</v>
      </c>
      <c r="C264">
        <f t="shared" si="85"/>
        <v>29</v>
      </c>
      <c r="D264" t="str">
        <f t="shared" si="86"/>
        <v xml:space="preserve">/////PR:Clothing___SP:Barney20171031     $0  </v>
      </c>
      <c r="E264">
        <f t="shared" si="87"/>
        <v>32</v>
      </c>
      <c r="F264" t="str">
        <f t="shared" si="88"/>
        <v xml:space="preserve">/////PR:Clothing___SP:Barney20171031     $0  </v>
      </c>
      <c r="G264" t="str">
        <f t="shared" si="89"/>
        <v xml:space="preserve">PR:Clothing___SP:Barney20171031     $0  </v>
      </c>
      <c r="H264" t="str">
        <f t="shared" si="90"/>
        <v xml:space="preserve">PR:Clothing   SP:Barney20171031     $0  </v>
      </c>
      <c r="I264" t="str">
        <f t="shared" si="91"/>
        <v>PR:Clothing SP:Barney20171031 $0</v>
      </c>
      <c r="J264">
        <f t="shared" si="92"/>
        <v>32</v>
      </c>
      <c r="K264">
        <f t="shared" si="93"/>
        <v>48</v>
      </c>
      <c r="L264" t="str">
        <f t="shared" si="94"/>
        <v>Clothing SP:Barney20171031 $0</v>
      </c>
      <c r="M264" t="str">
        <f t="shared" si="95"/>
        <v>Clothing Barney20171031 $0</v>
      </c>
      <c r="N264" s="1" t="str">
        <f t="shared" si="96"/>
        <v>Clothing Barney 20171031 $0</v>
      </c>
      <c r="O264" s="9">
        <f t="shared" si="104"/>
        <v>9</v>
      </c>
      <c r="P264" s="9">
        <f t="shared" si="97"/>
        <v>16</v>
      </c>
      <c r="Q264" s="10">
        <f t="shared" si="98"/>
        <v>25</v>
      </c>
      <c r="R264" s="7" t="str">
        <f t="shared" si="99"/>
        <v>Clothing</v>
      </c>
      <c r="S264" s="7" t="str">
        <f t="shared" si="100"/>
        <v>Barney</v>
      </c>
      <c r="T264" s="7" t="str">
        <f t="shared" si="101"/>
        <v>20171031</v>
      </c>
      <c r="U264" s="7">
        <f t="shared" si="102"/>
        <v>0</v>
      </c>
      <c r="V264" s="8">
        <f t="shared" si="103"/>
        <v>43039</v>
      </c>
    </row>
    <row r="265" spans="1:22">
      <c r="A265" s="3">
        <f t="shared" si="84"/>
        <v>263</v>
      </c>
      <c r="B265" t="s">
        <v>269</v>
      </c>
      <c r="C265">
        <f t="shared" si="85"/>
        <v>31</v>
      </c>
      <c r="D265" t="str">
        <f t="shared" si="86"/>
        <v xml:space="preserve">/PR:Clothing___SP:Alice20171016  $0    </v>
      </c>
      <c r="E265">
        <f t="shared" si="87"/>
        <v>32</v>
      </c>
      <c r="F265" t="str">
        <f t="shared" si="88"/>
        <v xml:space="preserve">/PR:Clothing___SP:Alice20171016  $0    </v>
      </c>
      <c r="G265" t="str">
        <f t="shared" si="89"/>
        <v xml:space="preserve">PR:Clothing___SP:Alice20171016  $0    </v>
      </c>
      <c r="H265" t="str">
        <f t="shared" si="90"/>
        <v xml:space="preserve">PR:Clothing   SP:Alice20171016  $0    </v>
      </c>
      <c r="I265" t="str">
        <f t="shared" si="91"/>
        <v>PR:Clothing SP:Alice20171016 $0</v>
      </c>
      <c r="J265">
        <f t="shared" si="92"/>
        <v>31</v>
      </c>
      <c r="K265">
        <f t="shared" si="93"/>
        <v>48</v>
      </c>
      <c r="L265" t="str">
        <f t="shared" si="94"/>
        <v>Clothing SP:Alice20171016 $0</v>
      </c>
      <c r="M265" t="str">
        <f t="shared" si="95"/>
        <v>Clothing Alice20171016 $0</v>
      </c>
      <c r="N265" s="1" t="str">
        <f t="shared" si="96"/>
        <v>Clothing Alice 20171016 $0</v>
      </c>
      <c r="O265" s="9">
        <f t="shared" si="104"/>
        <v>9</v>
      </c>
      <c r="P265" s="9">
        <f t="shared" si="97"/>
        <v>15</v>
      </c>
      <c r="Q265" s="10">
        <f t="shared" si="98"/>
        <v>24</v>
      </c>
      <c r="R265" s="7" t="str">
        <f t="shared" si="99"/>
        <v>Clothing</v>
      </c>
      <c r="S265" s="7" t="str">
        <f t="shared" si="100"/>
        <v>Alice</v>
      </c>
      <c r="T265" s="7" t="str">
        <f t="shared" si="101"/>
        <v>20171016</v>
      </c>
      <c r="U265" s="7">
        <f t="shared" si="102"/>
        <v>0</v>
      </c>
      <c r="V265" s="8">
        <f t="shared" si="103"/>
        <v>43024</v>
      </c>
    </row>
    <row r="266" spans="1:22">
      <c r="A266" s="3">
        <f t="shared" si="84"/>
        <v>264</v>
      </c>
      <c r="B266" t="s">
        <v>270</v>
      </c>
      <c r="C266">
        <f t="shared" si="85"/>
        <v>30</v>
      </c>
      <c r="D266" t="str">
        <f t="shared" si="86"/>
        <v xml:space="preserve">/////PR:Music___SP:David20171010 $1040 </v>
      </c>
      <c r="E266">
        <f t="shared" si="87"/>
        <v>32</v>
      </c>
      <c r="F266" t="str">
        <f t="shared" si="88"/>
        <v xml:space="preserve">/////PR:Music___SP:David20171010 $1040 </v>
      </c>
      <c r="G266" t="str">
        <f t="shared" si="89"/>
        <v xml:space="preserve">PR:Music___SP:David20171010 $1040 </v>
      </c>
      <c r="H266" t="str">
        <f t="shared" si="90"/>
        <v xml:space="preserve">PR:Music   SP:David20171010 $1040 </v>
      </c>
      <c r="I266" t="str">
        <f t="shared" si="91"/>
        <v>PR:Music SP:David20171010 $1040</v>
      </c>
      <c r="J266">
        <f t="shared" si="92"/>
        <v>31</v>
      </c>
      <c r="K266">
        <f t="shared" si="93"/>
        <v>48</v>
      </c>
      <c r="L266" t="str">
        <f t="shared" si="94"/>
        <v>Music SP:David20171010 $1040</v>
      </c>
      <c r="M266" t="str">
        <f t="shared" si="95"/>
        <v>Music David20171010 $1040</v>
      </c>
      <c r="N266" s="1" t="str">
        <f t="shared" si="96"/>
        <v>Music David 20171010 $1040</v>
      </c>
      <c r="O266" s="9">
        <f t="shared" si="104"/>
        <v>6</v>
      </c>
      <c r="P266" s="9">
        <f t="shared" si="97"/>
        <v>12</v>
      </c>
      <c r="Q266" s="10">
        <f t="shared" si="98"/>
        <v>21</v>
      </c>
      <c r="R266" s="7" t="str">
        <f t="shared" si="99"/>
        <v>Music</v>
      </c>
      <c r="S266" s="7" t="str">
        <f t="shared" si="100"/>
        <v>David</v>
      </c>
      <c r="T266" s="7" t="str">
        <f t="shared" si="101"/>
        <v>20171010</v>
      </c>
      <c r="U266" s="7">
        <f t="shared" si="102"/>
        <v>1040</v>
      </c>
      <c r="V266" s="8">
        <f t="shared" si="103"/>
        <v>43018</v>
      </c>
    </row>
    <row r="267" spans="1:22">
      <c r="A267" s="3">
        <f t="shared" si="84"/>
        <v>265</v>
      </c>
      <c r="B267" t="s">
        <v>271</v>
      </c>
      <c r="C267">
        <f t="shared" si="85"/>
        <v>29</v>
      </c>
      <c r="D267" t="str">
        <f t="shared" si="86"/>
        <v xml:space="preserve">////PR:Clothing_____SP:Carol20171031  $0    </v>
      </c>
      <c r="E267">
        <f t="shared" si="87"/>
        <v>32</v>
      </c>
      <c r="F267" t="str">
        <f t="shared" si="88"/>
        <v xml:space="preserve">////PR:Clothing_____SP:Carol20171031  $0    </v>
      </c>
      <c r="G267" t="str">
        <f t="shared" si="89"/>
        <v xml:space="preserve">PR:Clothing_____SP:Carol20171031  $0    </v>
      </c>
      <c r="H267" t="str">
        <f t="shared" si="90"/>
        <v xml:space="preserve">PR:Clothing     SP:Carol20171031  $0    </v>
      </c>
      <c r="I267" t="str">
        <f t="shared" si="91"/>
        <v>PR:Clothing SP:Carol20171031 $0</v>
      </c>
      <c r="J267">
        <f t="shared" si="92"/>
        <v>31</v>
      </c>
      <c r="K267">
        <f t="shared" si="93"/>
        <v>48</v>
      </c>
      <c r="L267" t="str">
        <f t="shared" si="94"/>
        <v>Clothing SP:Carol20171031 $0</v>
      </c>
      <c r="M267" t="str">
        <f t="shared" si="95"/>
        <v>Clothing Carol20171031 $0</v>
      </c>
      <c r="N267" s="1" t="str">
        <f t="shared" si="96"/>
        <v>Clothing Carol 20171031 $0</v>
      </c>
      <c r="O267" s="9">
        <f t="shared" si="104"/>
        <v>9</v>
      </c>
      <c r="P267" s="9">
        <f t="shared" si="97"/>
        <v>15</v>
      </c>
      <c r="Q267" s="10">
        <f t="shared" si="98"/>
        <v>24</v>
      </c>
      <c r="R267" s="7" t="str">
        <f t="shared" si="99"/>
        <v>Clothing</v>
      </c>
      <c r="S267" s="7" t="str">
        <f t="shared" si="100"/>
        <v>Carol</v>
      </c>
      <c r="T267" s="7" t="str">
        <f t="shared" si="101"/>
        <v>20171031</v>
      </c>
      <c r="U267" s="7">
        <f t="shared" si="102"/>
        <v>0</v>
      </c>
      <c r="V267" s="8">
        <f t="shared" si="103"/>
        <v>43039</v>
      </c>
    </row>
    <row r="268" spans="1:22">
      <c r="A268" s="3">
        <f t="shared" si="84"/>
        <v>266</v>
      </c>
      <c r="B268" t="s">
        <v>272</v>
      </c>
      <c r="C268">
        <f t="shared" si="85"/>
        <v>29</v>
      </c>
      <c r="D268" t="str">
        <f t="shared" si="86"/>
        <v xml:space="preserve">////PR:Games_____SP:Carol2017105 $2347     </v>
      </c>
      <c r="E268">
        <f t="shared" si="87"/>
        <v>32</v>
      </c>
      <c r="F268" t="str">
        <f t="shared" si="88"/>
        <v xml:space="preserve">////PR:Games_____SP:Carol2017105 $2347     </v>
      </c>
      <c r="G268" t="str">
        <f t="shared" si="89"/>
        <v xml:space="preserve">PR:Games_____SP:Carol2017105 $2347     </v>
      </c>
      <c r="H268" t="str">
        <f t="shared" si="90"/>
        <v xml:space="preserve">PR:Games     SP:Carol2017105 $2347     </v>
      </c>
      <c r="I268" t="str">
        <f t="shared" si="91"/>
        <v>PR:Games SP:Carol2017105 $2347</v>
      </c>
      <c r="J268">
        <f t="shared" si="92"/>
        <v>30</v>
      </c>
      <c r="K268">
        <f t="shared" si="93"/>
        <v>55</v>
      </c>
      <c r="L268" t="str">
        <f t="shared" si="94"/>
        <v>Games SP:Carol2017105 $2347</v>
      </c>
      <c r="M268" t="str">
        <f t="shared" si="95"/>
        <v>Games Carol2017105 $2347</v>
      </c>
      <c r="N268" s="1" t="str">
        <f t="shared" si="96"/>
        <v>Games Carol 2017105 $2347</v>
      </c>
      <c r="O268" s="9">
        <f t="shared" si="104"/>
        <v>6</v>
      </c>
      <c r="P268" s="9">
        <f t="shared" si="97"/>
        <v>12</v>
      </c>
      <c r="Q268" s="10">
        <f t="shared" si="98"/>
        <v>20</v>
      </c>
      <c r="R268" s="7" t="str">
        <f t="shared" si="99"/>
        <v>Games</v>
      </c>
      <c r="S268" s="7" t="str">
        <f t="shared" si="100"/>
        <v>Carol</v>
      </c>
      <c r="T268" s="7" t="str">
        <f t="shared" si="101"/>
        <v>2017105</v>
      </c>
      <c r="U268" s="7">
        <f t="shared" si="102"/>
        <v>2347</v>
      </c>
      <c r="V268" s="8">
        <f t="shared" si="103"/>
        <v>43013</v>
      </c>
    </row>
    <row r="269" spans="1:22">
      <c r="A269" s="3">
        <f t="shared" si="84"/>
        <v>267</v>
      </c>
      <c r="B269" t="s">
        <v>273</v>
      </c>
      <c r="C269">
        <f t="shared" si="85"/>
        <v>29</v>
      </c>
      <c r="D269" t="str">
        <f t="shared" si="86"/>
        <v xml:space="preserve">/////PR:Games_____SP:Alice20171019  $1388   </v>
      </c>
      <c r="E269">
        <f t="shared" si="87"/>
        <v>32</v>
      </c>
      <c r="F269" t="str">
        <f t="shared" si="88"/>
        <v xml:space="preserve">/////PR:Games_____SP:Alice20171019  $1388   </v>
      </c>
      <c r="G269" t="str">
        <f t="shared" si="89"/>
        <v xml:space="preserve">PR:Games_____SP:Alice20171019  $1388   </v>
      </c>
      <c r="H269" t="str">
        <f t="shared" si="90"/>
        <v xml:space="preserve">PR:Games     SP:Alice20171019  $1388   </v>
      </c>
      <c r="I269" t="str">
        <f t="shared" si="91"/>
        <v>PR:Games SP:Alice20171019 $1388</v>
      </c>
      <c r="J269">
        <f t="shared" si="92"/>
        <v>31</v>
      </c>
      <c r="K269">
        <f t="shared" si="93"/>
        <v>56</v>
      </c>
      <c r="L269" t="str">
        <f t="shared" si="94"/>
        <v>Games SP:Alice20171019 $1388</v>
      </c>
      <c r="M269" t="str">
        <f t="shared" si="95"/>
        <v>Games Alice20171019 $1388</v>
      </c>
      <c r="N269" s="1" t="str">
        <f t="shared" si="96"/>
        <v>Games Alice 20171019 $1388</v>
      </c>
      <c r="O269" s="9">
        <f t="shared" si="104"/>
        <v>6</v>
      </c>
      <c r="P269" s="9">
        <f t="shared" si="97"/>
        <v>12</v>
      </c>
      <c r="Q269" s="10">
        <f t="shared" si="98"/>
        <v>21</v>
      </c>
      <c r="R269" s="7" t="str">
        <f t="shared" si="99"/>
        <v>Games</v>
      </c>
      <c r="S269" s="7" t="str">
        <f t="shared" si="100"/>
        <v>Alice</v>
      </c>
      <c r="T269" s="7" t="str">
        <f t="shared" si="101"/>
        <v>20171019</v>
      </c>
      <c r="U269" s="7">
        <f t="shared" si="102"/>
        <v>1388</v>
      </c>
      <c r="V269" s="8">
        <f t="shared" si="103"/>
        <v>43027</v>
      </c>
    </row>
    <row r="270" spans="1:22">
      <c r="A270" s="3">
        <f t="shared" si="84"/>
        <v>268</v>
      </c>
      <c r="B270" t="s">
        <v>274</v>
      </c>
      <c r="C270">
        <f t="shared" si="85"/>
        <v>31</v>
      </c>
      <c r="D270" t="str">
        <f t="shared" si="86"/>
        <v xml:space="preserve">/PR:Clothing____SP:David2017102 $0   </v>
      </c>
      <c r="E270">
        <f t="shared" si="87"/>
        <v>32</v>
      </c>
      <c r="F270" t="str">
        <f t="shared" si="88"/>
        <v xml:space="preserve">/PR:Clothing____SP:David2017102 $0   </v>
      </c>
      <c r="G270" t="str">
        <f t="shared" si="89"/>
        <v xml:space="preserve">PR:Clothing____SP:David2017102 $0   </v>
      </c>
      <c r="H270" t="str">
        <f t="shared" si="90"/>
        <v xml:space="preserve">PR:Clothing    SP:David2017102 $0   </v>
      </c>
      <c r="I270" t="str">
        <f t="shared" si="91"/>
        <v>PR:Clothing SP:David2017102 $0</v>
      </c>
      <c r="J270">
        <f t="shared" si="92"/>
        <v>30</v>
      </c>
      <c r="K270">
        <f t="shared" si="93"/>
        <v>48</v>
      </c>
      <c r="L270" t="str">
        <f t="shared" si="94"/>
        <v>Clothing SP:David2017102 $0</v>
      </c>
      <c r="M270" t="str">
        <f t="shared" si="95"/>
        <v>Clothing David2017102 $0</v>
      </c>
      <c r="N270" s="1" t="str">
        <f t="shared" si="96"/>
        <v>Clothing David 2017102 $0</v>
      </c>
      <c r="O270" s="9">
        <f t="shared" si="104"/>
        <v>9</v>
      </c>
      <c r="P270" s="9">
        <f t="shared" si="97"/>
        <v>15</v>
      </c>
      <c r="Q270" s="10">
        <f t="shared" si="98"/>
        <v>23</v>
      </c>
      <c r="R270" s="7" t="str">
        <f t="shared" si="99"/>
        <v>Clothing</v>
      </c>
      <c r="S270" s="7" t="str">
        <f t="shared" si="100"/>
        <v>David</v>
      </c>
      <c r="T270" s="7" t="str">
        <f t="shared" si="101"/>
        <v>2017102</v>
      </c>
      <c r="U270" s="7">
        <f t="shared" si="102"/>
        <v>0</v>
      </c>
      <c r="V270" s="8">
        <f t="shared" si="103"/>
        <v>43010</v>
      </c>
    </row>
    <row r="271" spans="1:22">
      <c r="A271" s="3">
        <f t="shared" si="84"/>
        <v>269</v>
      </c>
      <c r="B271" t="s">
        <v>275</v>
      </c>
      <c r="C271">
        <f t="shared" si="85"/>
        <v>30</v>
      </c>
      <c r="D271" t="str">
        <f t="shared" si="86"/>
        <v xml:space="preserve">//PR:Clothing_____SP:Barney2017104    $1992  </v>
      </c>
      <c r="E271">
        <f t="shared" si="87"/>
        <v>32</v>
      </c>
      <c r="F271" t="str">
        <f t="shared" si="88"/>
        <v xml:space="preserve">//PR:Clothing_____SP:Barney2017104    $1992  </v>
      </c>
      <c r="G271" t="str">
        <f t="shared" si="89"/>
        <v xml:space="preserve">PR:Clothing_____SP:Barney2017104    $1992  </v>
      </c>
      <c r="H271" t="str">
        <f t="shared" si="90"/>
        <v xml:space="preserve">PR:Clothing     SP:Barney2017104    $1992  </v>
      </c>
      <c r="I271" t="str">
        <f t="shared" si="91"/>
        <v>PR:Clothing SP:Barney2017104 $1992</v>
      </c>
      <c r="J271">
        <f t="shared" si="92"/>
        <v>34</v>
      </c>
      <c r="K271">
        <f t="shared" si="93"/>
        <v>50</v>
      </c>
      <c r="L271" t="str">
        <f t="shared" si="94"/>
        <v>Clothing SP:Barney2017104 $1992</v>
      </c>
      <c r="M271" t="str">
        <f t="shared" si="95"/>
        <v>Clothing Barney2017104 $1992</v>
      </c>
      <c r="N271" s="1" t="str">
        <f t="shared" si="96"/>
        <v>Clothing Barney 2017104 $1992</v>
      </c>
      <c r="O271" s="9">
        <f t="shared" si="104"/>
        <v>9</v>
      </c>
      <c r="P271" s="9">
        <f t="shared" si="97"/>
        <v>16</v>
      </c>
      <c r="Q271" s="10">
        <f t="shared" si="98"/>
        <v>24</v>
      </c>
      <c r="R271" s="7" t="str">
        <f t="shared" si="99"/>
        <v>Clothing</v>
      </c>
      <c r="S271" s="7" t="str">
        <f t="shared" si="100"/>
        <v>Barney</v>
      </c>
      <c r="T271" s="7" t="str">
        <f t="shared" si="101"/>
        <v>2017104</v>
      </c>
      <c r="U271" s="7">
        <f t="shared" si="102"/>
        <v>1992</v>
      </c>
      <c r="V271" s="8">
        <f t="shared" si="103"/>
        <v>43012</v>
      </c>
    </row>
    <row r="272" spans="1:22">
      <c r="A272" s="3">
        <f t="shared" si="84"/>
        <v>270</v>
      </c>
      <c r="B272" t="s">
        <v>276</v>
      </c>
      <c r="C272">
        <f t="shared" si="85"/>
        <v>31</v>
      </c>
      <c r="D272" t="str">
        <f t="shared" si="86"/>
        <v xml:space="preserve">/PR:Games__SP:David20171014    $1110   </v>
      </c>
      <c r="E272">
        <f t="shared" si="87"/>
        <v>32</v>
      </c>
      <c r="F272" t="str">
        <f t="shared" si="88"/>
        <v xml:space="preserve">/PR:Games__SP:David20171014    $1110   </v>
      </c>
      <c r="G272" t="str">
        <f t="shared" si="89"/>
        <v xml:space="preserve">PR:Games__SP:David20171014    $1110   </v>
      </c>
      <c r="H272" t="str">
        <f t="shared" si="90"/>
        <v xml:space="preserve">PR:Games  SP:David20171014    $1110   </v>
      </c>
      <c r="I272" t="str">
        <f t="shared" si="91"/>
        <v>PR:Games SP:David20171014 $1110</v>
      </c>
      <c r="J272">
        <f t="shared" si="92"/>
        <v>31</v>
      </c>
      <c r="K272">
        <f t="shared" si="93"/>
        <v>48</v>
      </c>
      <c r="L272" t="str">
        <f t="shared" si="94"/>
        <v>Games SP:David20171014 $1110</v>
      </c>
      <c r="M272" t="str">
        <f t="shared" si="95"/>
        <v>Games David20171014 $1110</v>
      </c>
      <c r="N272" s="1" t="str">
        <f t="shared" si="96"/>
        <v>Games David 20171014 $1110</v>
      </c>
      <c r="O272" s="9">
        <f t="shared" si="104"/>
        <v>6</v>
      </c>
      <c r="P272" s="9">
        <f t="shared" si="97"/>
        <v>12</v>
      </c>
      <c r="Q272" s="10">
        <f t="shared" si="98"/>
        <v>21</v>
      </c>
      <c r="R272" s="7" t="str">
        <f t="shared" si="99"/>
        <v>Games</v>
      </c>
      <c r="S272" s="7" t="str">
        <f t="shared" si="100"/>
        <v>David</v>
      </c>
      <c r="T272" s="7" t="str">
        <f t="shared" si="101"/>
        <v>20171014</v>
      </c>
      <c r="U272" s="7">
        <f t="shared" si="102"/>
        <v>1110</v>
      </c>
      <c r="V272" s="8">
        <f t="shared" si="103"/>
        <v>43022</v>
      </c>
    </row>
    <row r="273" spans="1:22">
      <c r="A273" s="3">
        <f t="shared" si="84"/>
        <v>271</v>
      </c>
      <c r="B273" t="s">
        <v>277</v>
      </c>
      <c r="C273">
        <f t="shared" si="85"/>
        <v>31</v>
      </c>
      <c r="D273" t="str">
        <f t="shared" si="86"/>
        <v xml:space="preserve">//PR:Music_____SP:David2017102    $1315 </v>
      </c>
      <c r="E273">
        <f t="shared" si="87"/>
        <v>32</v>
      </c>
      <c r="F273" t="str">
        <f t="shared" si="88"/>
        <v xml:space="preserve">//PR:Music_____SP:David2017102    $1315 </v>
      </c>
      <c r="G273" t="str">
        <f t="shared" si="89"/>
        <v xml:space="preserve">PR:Music_____SP:David2017102    $1315 </v>
      </c>
      <c r="H273" t="str">
        <f t="shared" si="90"/>
        <v xml:space="preserve">PR:Music     SP:David2017102    $1315 </v>
      </c>
      <c r="I273" t="str">
        <f t="shared" si="91"/>
        <v>PR:Music SP:David2017102 $1315</v>
      </c>
      <c r="J273">
        <f t="shared" si="92"/>
        <v>30</v>
      </c>
      <c r="K273">
        <f t="shared" si="93"/>
        <v>53</v>
      </c>
      <c r="L273" t="str">
        <f t="shared" si="94"/>
        <v>Music SP:David2017102 $1315</v>
      </c>
      <c r="M273" t="str">
        <f t="shared" si="95"/>
        <v>Music David2017102 $1315</v>
      </c>
      <c r="N273" s="1" t="str">
        <f t="shared" si="96"/>
        <v>Music David 2017102 $1315</v>
      </c>
      <c r="O273" s="9">
        <f t="shared" si="104"/>
        <v>6</v>
      </c>
      <c r="P273" s="9">
        <f t="shared" si="97"/>
        <v>12</v>
      </c>
      <c r="Q273" s="10">
        <f t="shared" si="98"/>
        <v>20</v>
      </c>
      <c r="R273" s="7" t="str">
        <f t="shared" si="99"/>
        <v>Music</v>
      </c>
      <c r="S273" s="7" t="str">
        <f t="shared" si="100"/>
        <v>David</v>
      </c>
      <c r="T273" s="7" t="str">
        <f t="shared" si="101"/>
        <v>2017102</v>
      </c>
      <c r="U273" s="7">
        <f t="shared" si="102"/>
        <v>1315</v>
      </c>
      <c r="V273" s="8">
        <f t="shared" si="103"/>
        <v>43010</v>
      </c>
    </row>
    <row r="274" spans="1:22">
      <c r="A274" s="3">
        <f t="shared" si="84"/>
        <v>272</v>
      </c>
      <c r="B274" t="s">
        <v>278</v>
      </c>
      <c r="C274">
        <f t="shared" si="85"/>
        <v>29</v>
      </c>
      <c r="D274" t="str">
        <f t="shared" si="86"/>
        <v xml:space="preserve">/////PR:Clothing_____SP:David20171014     $962     </v>
      </c>
      <c r="E274">
        <f t="shared" si="87"/>
        <v>32</v>
      </c>
      <c r="F274" t="str">
        <f t="shared" si="88"/>
        <v xml:space="preserve">/////PR:Clothing_____SP:David20171014     $962     </v>
      </c>
      <c r="G274" t="str">
        <f t="shared" si="89"/>
        <v xml:space="preserve">PR:Clothing_____SP:David20171014     $962     </v>
      </c>
      <c r="H274" t="str">
        <f t="shared" si="90"/>
        <v xml:space="preserve">PR:Clothing     SP:David20171014     $962     </v>
      </c>
      <c r="I274" t="str">
        <f t="shared" si="91"/>
        <v>PR:Clothing SP:David20171014 $962</v>
      </c>
      <c r="J274">
        <f t="shared" si="92"/>
        <v>33</v>
      </c>
      <c r="K274">
        <f t="shared" si="93"/>
        <v>50</v>
      </c>
      <c r="L274" t="str">
        <f t="shared" si="94"/>
        <v>Clothing SP:David20171014 $962</v>
      </c>
      <c r="M274" t="str">
        <f t="shared" si="95"/>
        <v>Clothing David20171014 $962</v>
      </c>
      <c r="N274" s="1" t="str">
        <f t="shared" si="96"/>
        <v>Clothing David 20171014 $962</v>
      </c>
      <c r="O274" s="9">
        <f t="shared" si="104"/>
        <v>9</v>
      </c>
      <c r="P274" s="9">
        <f t="shared" si="97"/>
        <v>15</v>
      </c>
      <c r="Q274" s="10">
        <f t="shared" si="98"/>
        <v>24</v>
      </c>
      <c r="R274" s="7" t="str">
        <f t="shared" si="99"/>
        <v>Clothing</v>
      </c>
      <c r="S274" s="7" t="str">
        <f t="shared" si="100"/>
        <v>David</v>
      </c>
      <c r="T274" s="7" t="str">
        <f t="shared" si="101"/>
        <v>20171014</v>
      </c>
      <c r="U274" s="7">
        <f t="shared" si="102"/>
        <v>962</v>
      </c>
      <c r="V274" s="8">
        <f t="shared" si="103"/>
        <v>43022</v>
      </c>
    </row>
    <row r="275" spans="1:22">
      <c r="A275" s="3">
        <f t="shared" si="84"/>
        <v>273</v>
      </c>
      <c r="B275" t="s">
        <v>279</v>
      </c>
      <c r="C275">
        <f t="shared" si="85"/>
        <v>30</v>
      </c>
      <c r="D275" t="str">
        <f t="shared" si="86"/>
        <v xml:space="preserve">/PR:Clothing____SP:David20171012  $1066     </v>
      </c>
      <c r="E275">
        <f t="shared" si="87"/>
        <v>32</v>
      </c>
      <c r="F275" t="str">
        <f t="shared" si="88"/>
        <v xml:space="preserve">/PR:Clothing____SP:David20171012  $1066     </v>
      </c>
      <c r="G275" t="str">
        <f t="shared" si="89"/>
        <v xml:space="preserve">PR:Clothing____SP:David20171012  $1066     </v>
      </c>
      <c r="H275" t="str">
        <f t="shared" si="90"/>
        <v xml:space="preserve">PR:Clothing    SP:David20171012  $1066     </v>
      </c>
      <c r="I275" t="str">
        <f t="shared" si="91"/>
        <v>PR:Clothing SP:David20171012 $1066</v>
      </c>
      <c r="J275">
        <f t="shared" si="92"/>
        <v>34</v>
      </c>
      <c r="K275">
        <f t="shared" si="93"/>
        <v>54</v>
      </c>
      <c r="L275" t="str">
        <f t="shared" si="94"/>
        <v>Clothing SP:David20171012 $1066</v>
      </c>
      <c r="M275" t="str">
        <f t="shared" si="95"/>
        <v>Clothing David20171012 $1066</v>
      </c>
      <c r="N275" s="1" t="str">
        <f t="shared" si="96"/>
        <v>Clothing David 20171012 $1066</v>
      </c>
      <c r="O275" s="9">
        <f t="shared" si="104"/>
        <v>9</v>
      </c>
      <c r="P275" s="9">
        <f t="shared" si="97"/>
        <v>15</v>
      </c>
      <c r="Q275" s="10">
        <f t="shared" si="98"/>
        <v>24</v>
      </c>
      <c r="R275" s="7" t="str">
        <f t="shared" si="99"/>
        <v>Clothing</v>
      </c>
      <c r="S275" s="7" t="str">
        <f t="shared" si="100"/>
        <v>David</v>
      </c>
      <c r="T275" s="7" t="str">
        <f t="shared" si="101"/>
        <v>20171012</v>
      </c>
      <c r="U275" s="7">
        <f t="shared" si="102"/>
        <v>1066</v>
      </c>
      <c r="V275" s="8">
        <f t="shared" si="103"/>
        <v>43020</v>
      </c>
    </row>
    <row r="276" spans="1:22">
      <c r="A276" s="3">
        <f t="shared" si="84"/>
        <v>274</v>
      </c>
      <c r="B276" t="s">
        <v>280</v>
      </c>
      <c r="C276">
        <f t="shared" si="85"/>
        <v>29</v>
      </c>
      <c r="D276" t="str">
        <f t="shared" si="86"/>
        <v xml:space="preserve">///PR:Books_SP:David20171025    $749 </v>
      </c>
      <c r="E276">
        <f t="shared" si="87"/>
        <v>32</v>
      </c>
      <c r="F276" t="str">
        <f t="shared" si="88"/>
        <v xml:space="preserve">///PR:Books_SP:David20171025    $749 </v>
      </c>
      <c r="G276" t="str">
        <f t="shared" si="89"/>
        <v xml:space="preserve">PR:Books_SP:David20171025    $749 </v>
      </c>
      <c r="H276" t="str">
        <f t="shared" si="90"/>
        <v xml:space="preserve">PR:Books SP:David20171025    $749 </v>
      </c>
      <c r="I276" t="str">
        <f t="shared" si="91"/>
        <v>PR:Books SP:David20171025 $749</v>
      </c>
      <c r="J276">
        <f t="shared" si="92"/>
        <v>30</v>
      </c>
      <c r="K276">
        <f t="shared" si="93"/>
        <v>57</v>
      </c>
      <c r="L276" t="str">
        <f t="shared" si="94"/>
        <v>Books SP:David20171025 $749</v>
      </c>
      <c r="M276" t="str">
        <f t="shared" si="95"/>
        <v>Books David20171025 $749</v>
      </c>
      <c r="N276" s="1" t="str">
        <f t="shared" si="96"/>
        <v>Books David 20171025 $749</v>
      </c>
      <c r="O276" s="9">
        <f t="shared" si="104"/>
        <v>6</v>
      </c>
      <c r="P276" s="9">
        <f t="shared" si="97"/>
        <v>12</v>
      </c>
      <c r="Q276" s="10">
        <f t="shared" si="98"/>
        <v>21</v>
      </c>
      <c r="R276" s="7" t="str">
        <f t="shared" si="99"/>
        <v>Books</v>
      </c>
      <c r="S276" s="7" t="str">
        <f t="shared" si="100"/>
        <v>David</v>
      </c>
      <c r="T276" s="7" t="str">
        <f t="shared" si="101"/>
        <v>20171025</v>
      </c>
      <c r="U276" s="7">
        <f t="shared" si="102"/>
        <v>749</v>
      </c>
      <c r="V276" s="8">
        <f t="shared" si="103"/>
        <v>43033</v>
      </c>
    </row>
    <row r="277" spans="1:22">
      <c r="A277" s="3">
        <f t="shared" si="84"/>
        <v>275</v>
      </c>
      <c r="B277" t="s">
        <v>281</v>
      </c>
      <c r="C277">
        <f t="shared" si="85"/>
        <v>31</v>
      </c>
      <c r="D277" t="str">
        <f t="shared" si="86"/>
        <v xml:space="preserve">/////PR:Clothing__SP:Carol2017107 $1535     </v>
      </c>
      <c r="E277">
        <f t="shared" si="87"/>
        <v>32</v>
      </c>
      <c r="F277" t="str">
        <f t="shared" si="88"/>
        <v xml:space="preserve">/////PR:Clothing__SP:Carol2017107 $1535     </v>
      </c>
      <c r="G277" t="str">
        <f t="shared" si="89"/>
        <v xml:space="preserve">PR:Clothing__SP:Carol2017107 $1535     </v>
      </c>
      <c r="H277" t="str">
        <f t="shared" si="90"/>
        <v xml:space="preserve">PR:Clothing  SP:Carol2017107 $1535     </v>
      </c>
      <c r="I277" t="str">
        <f t="shared" si="91"/>
        <v>PR:Clothing SP:Carol2017107 $1535</v>
      </c>
      <c r="J277">
        <f t="shared" si="92"/>
        <v>33</v>
      </c>
      <c r="K277">
        <f t="shared" si="93"/>
        <v>53</v>
      </c>
      <c r="L277" t="str">
        <f t="shared" si="94"/>
        <v>Clothing SP:Carol2017107 $1535</v>
      </c>
      <c r="M277" t="str">
        <f t="shared" si="95"/>
        <v>Clothing Carol2017107 $1535</v>
      </c>
      <c r="N277" s="1" t="str">
        <f t="shared" si="96"/>
        <v>Clothing Carol 2017107 $1535</v>
      </c>
      <c r="O277" s="9">
        <f t="shared" si="104"/>
        <v>9</v>
      </c>
      <c r="P277" s="9">
        <f t="shared" si="97"/>
        <v>15</v>
      </c>
      <c r="Q277" s="10">
        <f t="shared" si="98"/>
        <v>23</v>
      </c>
      <c r="R277" s="7" t="str">
        <f t="shared" si="99"/>
        <v>Clothing</v>
      </c>
      <c r="S277" s="7" t="str">
        <f t="shared" si="100"/>
        <v>Carol</v>
      </c>
      <c r="T277" s="7" t="str">
        <f t="shared" si="101"/>
        <v>2017107</v>
      </c>
      <c r="U277" s="7">
        <f t="shared" si="102"/>
        <v>1535</v>
      </c>
      <c r="V277" s="8">
        <f t="shared" si="103"/>
        <v>43015</v>
      </c>
    </row>
    <row r="278" spans="1:22">
      <c r="A278" s="3">
        <f t="shared" si="84"/>
        <v>276</v>
      </c>
      <c r="B278" t="s">
        <v>282</v>
      </c>
      <c r="C278">
        <f t="shared" si="85"/>
        <v>30</v>
      </c>
      <c r="D278" t="str">
        <f t="shared" si="86"/>
        <v xml:space="preserve">/PR:Music___SP:Alice20171026   $1330   </v>
      </c>
      <c r="E278">
        <f t="shared" si="87"/>
        <v>32</v>
      </c>
      <c r="F278" t="str">
        <f t="shared" si="88"/>
        <v xml:space="preserve">/PR:Music___SP:Alice20171026   $1330   </v>
      </c>
      <c r="G278" t="str">
        <f t="shared" si="89"/>
        <v xml:space="preserve">PR:Music___SP:Alice20171026   $1330   </v>
      </c>
      <c r="H278" t="str">
        <f t="shared" si="90"/>
        <v xml:space="preserve">PR:Music   SP:Alice20171026   $1330   </v>
      </c>
      <c r="I278" t="str">
        <f t="shared" si="91"/>
        <v>PR:Music SP:Alice20171026 $1330</v>
      </c>
      <c r="J278">
        <f t="shared" si="92"/>
        <v>31</v>
      </c>
      <c r="K278">
        <f t="shared" si="93"/>
        <v>48</v>
      </c>
      <c r="L278" t="str">
        <f t="shared" si="94"/>
        <v>Music SP:Alice20171026 $1330</v>
      </c>
      <c r="M278" t="str">
        <f t="shared" si="95"/>
        <v>Music Alice20171026 $1330</v>
      </c>
      <c r="N278" s="1" t="str">
        <f t="shared" si="96"/>
        <v>Music Alice 20171026 $1330</v>
      </c>
      <c r="O278" s="9">
        <f t="shared" si="104"/>
        <v>6</v>
      </c>
      <c r="P278" s="9">
        <f t="shared" si="97"/>
        <v>12</v>
      </c>
      <c r="Q278" s="10">
        <f t="shared" si="98"/>
        <v>21</v>
      </c>
      <c r="R278" s="7" t="str">
        <f t="shared" si="99"/>
        <v>Music</v>
      </c>
      <c r="S278" s="7" t="str">
        <f t="shared" si="100"/>
        <v>Alice</v>
      </c>
      <c r="T278" s="7" t="str">
        <f t="shared" si="101"/>
        <v>20171026</v>
      </c>
      <c r="U278" s="7">
        <f t="shared" si="102"/>
        <v>1330</v>
      </c>
      <c r="V278" s="8">
        <f t="shared" si="103"/>
        <v>43034</v>
      </c>
    </row>
    <row r="279" spans="1:22">
      <c r="A279" s="3">
        <f t="shared" si="84"/>
        <v>277</v>
      </c>
      <c r="B279" t="s">
        <v>283</v>
      </c>
      <c r="C279">
        <f t="shared" si="85"/>
        <v>30</v>
      </c>
      <c r="D279" t="str">
        <f t="shared" si="86"/>
        <v xml:space="preserve">/PR:Games__SP:Carol20171011 $0    </v>
      </c>
      <c r="E279">
        <f t="shared" si="87"/>
        <v>32</v>
      </c>
      <c r="F279" t="str">
        <f t="shared" si="88"/>
        <v xml:space="preserve">/PR:Games__SP:Carol20171011 $0    </v>
      </c>
      <c r="G279" t="str">
        <f t="shared" si="89"/>
        <v xml:space="preserve">PR:Games__SP:Carol20171011 $0    </v>
      </c>
      <c r="H279" t="str">
        <f t="shared" si="90"/>
        <v xml:space="preserve">PR:Games  SP:Carol20171011 $0    </v>
      </c>
      <c r="I279" t="str">
        <f t="shared" si="91"/>
        <v>PR:Games SP:Carol20171011 $0</v>
      </c>
      <c r="J279">
        <f t="shared" si="92"/>
        <v>28</v>
      </c>
      <c r="K279">
        <f t="shared" si="93"/>
        <v>48</v>
      </c>
      <c r="L279" t="str">
        <f t="shared" si="94"/>
        <v>Games SP:Carol20171011 $0</v>
      </c>
      <c r="M279" t="str">
        <f t="shared" si="95"/>
        <v>Games Carol20171011 $0</v>
      </c>
      <c r="N279" s="1" t="str">
        <f t="shared" si="96"/>
        <v>Games Carol 20171011 $0</v>
      </c>
      <c r="O279" s="9">
        <f t="shared" si="104"/>
        <v>6</v>
      </c>
      <c r="P279" s="9">
        <f t="shared" si="97"/>
        <v>12</v>
      </c>
      <c r="Q279" s="10">
        <f t="shared" si="98"/>
        <v>21</v>
      </c>
      <c r="R279" s="7" t="str">
        <f t="shared" si="99"/>
        <v>Games</v>
      </c>
      <c r="S279" s="7" t="str">
        <f t="shared" si="100"/>
        <v>Carol</v>
      </c>
      <c r="T279" s="7" t="str">
        <f t="shared" si="101"/>
        <v>20171011</v>
      </c>
      <c r="U279" s="7">
        <f t="shared" si="102"/>
        <v>0</v>
      </c>
      <c r="V279" s="8">
        <f t="shared" si="103"/>
        <v>43019</v>
      </c>
    </row>
    <row r="280" spans="1:22">
      <c r="A280" s="3">
        <f t="shared" si="84"/>
        <v>278</v>
      </c>
      <c r="B280" t="s">
        <v>284</v>
      </c>
      <c r="C280">
        <f t="shared" si="85"/>
        <v>29</v>
      </c>
      <c r="D280" t="str">
        <f t="shared" si="86"/>
        <v xml:space="preserve">/////PR:Games___SP:David2017106  $1248   </v>
      </c>
      <c r="E280">
        <f t="shared" si="87"/>
        <v>32</v>
      </c>
      <c r="F280" t="str">
        <f t="shared" si="88"/>
        <v xml:space="preserve">/////PR:Games___SP:David2017106  $1248   </v>
      </c>
      <c r="G280" t="str">
        <f t="shared" si="89"/>
        <v xml:space="preserve">PR:Games___SP:David2017106  $1248   </v>
      </c>
      <c r="H280" t="str">
        <f t="shared" si="90"/>
        <v xml:space="preserve">PR:Games   SP:David2017106  $1248   </v>
      </c>
      <c r="I280" t="str">
        <f t="shared" si="91"/>
        <v>PR:Games SP:David2017106 $1248</v>
      </c>
      <c r="J280">
        <f t="shared" si="92"/>
        <v>30</v>
      </c>
      <c r="K280">
        <f t="shared" si="93"/>
        <v>56</v>
      </c>
      <c r="L280" t="str">
        <f t="shared" si="94"/>
        <v>Games SP:David2017106 $1248</v>
      </c>
      <c r="M280" t="str">
        <f t="shared" si="95"/>
        <v>Games David2017106 $1248</v>
      </c>
      <c r="N280" s="1" t="str">
        <f t="shared" si="96"/>
        <v>Games David 2017106 $1248</v>
      </c>
      <c r="O280" s="9">
        <f t="shared" si="104"/>
        <v>6</v>
      </c>
      <c r="P280" s="9">
        <f t="shared" si="97"/>
        <v>12</v>
      </c>
      <c r="Q280" s="10">
        <f t="shared" si="98"/>
        <v>20</v>
      </c>
      <c r="R280" s="7" t="str">
        <f t="shared" si="99"/>
        <v>Games</v>
      </c>
      <c r="S280" s="7" t="str">
        <f t="shared" si="100"/>
        <v>David</v>
      </c>
      <c r="T280" s="7" t="str">
        <f t="shared" si="101"/>
        <v>2017106</v>
      </c>
      <c r="U280" s="7">
        <f t="shared" si="102"/>
        <v>1248</v>
      </c>
      <c r="V280" s="8">
        <f t="shared" si="103"/>
        <v>43014</v>
      </c>
    </row>
    <row r="281" spans="1:22">
      <c r="A281" s="3">
        <f t="shared" si="84"/>
        <v>279</v>
      </c>
      <c r="B281" t="s">
        <v>285</v>
      </c>
      <c r="C281">
        <f t="shared" si="85"/>
        <v>31</v>
      </c>
      <c r="D281" t="str">
        <f t="shared" si="86"/>
        <v xml:space="preserve">//PR:Clothing__SP:David2017106     $1106 </v>
      </c>
      <c r="E281">
        <f t="shared" si="87"/>
        <v>32</v>
      </c>
      <c r="F281" t="str">
        <f t="shared" si="88"/>
        <v xml:space="preserve">//PR:Clothing__SP:David2017106     $1106 </v>
      </c>
      <c r="G281" t="str">
        <f t="shared" si="89"/>
        <v xml:space="preserve">PR:Clothing__SP:David2017106     $1106 </v>
      </c>
      <c r="H281" t="str">
        <f t="shared" si="90"/>
        <v xml:space="preserve">PR:Clothing  SP:David2017106     $1106 </v>
      </c>
      <c r="I281" t="str">
        <f t="shared" si="91"/>
        <v>PR:Clothing SP:David2017106 $1106</v>
      </c>
      <c r="J281">
        <f t="shared" si="92"/>
        <v>33</v>
      </c>
      <c r="K281">
        <f t="shared" si="93"/>
        <v>54</v>
      </c>
      <c r="L281" t="str">
        <f t="shared" si="94"/>
        <v>Clothing SP:David2017106 $1106</v>
      </c>
      <c r="M281" t="str">
        <f t="shared" si="95"/>
        <v>Clothing David2017106 $1106</v>
      </c>
      <c r="N281" s="1" t="str">
        <f t="shared" si="96"/>
        <v>Clothing David 2017106 $1106</v>
      </c>
      <c r="O281" s="9">
        <f t="shared" si="104"/>
        <v>9</v>
      </c>
      <c r="P281" s="9">
        <f t="shared" si="97"/>
        <v>15</v>
      </c>
      <c r="Q281" s="10">
        <f t="shared" si="98"/>
        <v>23</v>
      </c>
      <c r="R281" s="7" t="str">
        <f t="shared" si="99"/>
        <v>Clothing</v>
      </c>
      <c r="S281" s="7" t="str">
        <f t="shared" si="100"/>
        <v>David</v>
      </c>
      <c r="T281" s="7" t="str">
        <f t="shared" si="101"/>
        <v>2017106</v>
      </c>
      <c r="U281" s="7">
        <f t="shared" si="102"/>
        <v>1106</v>
      </c>
      <c r="V281" s="8">
        <f t="shared" si="103"/>
        <v>43014</v>
      </c>
    </row>
    <row r="282" spans="1:22">
      <c r="A282" s="3">
        <f t="shared" si="84"/>
        <v>280</v>
      </c>
      <c r="B282" t="s">
        <v>286</v>
      </c>
      <c r="C282">
        <f t="shared" si="85"/>
        <v>29</v>
      </c>
      <c r="D282" t="str">
        <f t="shared" si="86"/>
        <v xml:space="preserve">//PR:Games____SP:Alice20171029     $1164    </v>
      </c>
      <c r="E282">
        <f t="shared" si="87"/>
        <v>32</v>
      </c>
      <c r="F282" t="str">
        <f t="shared" si="88"/>
        <v xml:space="preserve">//PR:Games____SP:Alice20171029     $1164    </v>
      </c>
      <c r="G282" t="str">
        <f t="shared" si="89"/>
        <v xml:space="preserve">PR:Games____SP:Alice20171029     $1164    </v>
      </c>
      <c r="H282" t="str">
        <f t="shared" si="90"/>
        <v xml:space="preserve">PR:Games    SP:Alice20171029     $1164    </v>
      </c>
      <c r="I282" t="str">
        <f t="shared" si="91"/>
        <v>PR:Games SP:Alice20171029 $1164</v>
      </c>
      <c r="J282">
        <f t="shared" si="92"/>
        <v>31</v>
      </c>
      <c r="K282">
        <f t="shared" si="93"/>
        <v>52</v>
      </c>
      <c r="L282" t="str">
        <f t="shared" si="94"/>
        <v>Games SP:Alice20171029 $1164</v>
      </c>
      <c r="M282" t="str">
        <f t="shared" si="95"/>
        <v>Games Alice20171029 $1164</v>
      </c>
      <c r="N282" s="1" t="str">
        <f t="shared" si="96"/>
        <v>Games Alice 20171029 $1164</v>
      </c>
      <c r="O282" s="9">
        <f t="shared" si="104"/>
        <v>6</v>
      </c>
      <c r="P282" s="9">
        <f t="shared" si="97"/>
        <v>12</v>
      </c>
      <c r="Q282" s="10">
        <f t="shared" si="98"/>
        <v>21</v>
      </c>
      <c r="R282" s="7" t="str">
        <f t="shared" si="99"/>
        <v>Games</v>
      </c>
      <c r="S282" s="7" t="str">
        <f t="shared" si="100"/>
        <v>Alice</v>
      </c>
      <c r="T282" s="7" t="str">
        <f t="shared" si="101"/>
        <v>20171029</v>
      </c>
      <c r="U282" s="7">
        <f t="shared" si="102"/>
        <v>1164</v>
      </c>
      <c r="V282" s="8">
        <f t="shared" si="103"/>
        <v>43037</v>
      </c>
    </row>
    <row r="283" spans="1:22">
      <c r="A283" s="3">
        <f t="shared" si="84"/>
        <v>281</v>
      </c>
      <c r="B283" t="s">
        <v>287</v>
      </c>
      <c r="C283">
        <f t="shared" si="85"/>
        <v>31</v>
      </c>
      <c r="D283" t="str">
        <f t="shared" si="86"/>
        <v xml:space="preserve">//PR:Games____SP:Barney2017106  $0 </v>
      </c>
      <c r="E283">
        <f t="shared" si="87"/>
        <v>32</v>
      </c>
      <c r="F283" t="str">
        <f t="shared" si="88"/>
        <v xml:space="preserve">//PR:Games____SP:Barney2017106  $0 </v>
      </c>
      <c r="G283" t="str">
        <f t="shared" si="89"/>
        <v xml:space="preserve">PR:Games____SP:Barney2017106  $0 </v>
      </c>
      <c r="H283" t="str">
        <f t="shared" si="90"/>
        <v xml:space="preserve">PR:Games    SP:Barney2017106  $0 </v>
      </c>
      <c r="I283" t="str">
        <f t="shared" si="91"/>
        <v>PR:Games SP:Barney2017106 $0</v>
      </c>
      <c r="J283">
        <f t="shared" si="92"/>
        <v>28</v>
      </c>
      <c r="K283">
        <f t="shared" si="93"/>
        <v>48</v>
      </c>
      <c r="L283" t="str">
        <f t="shared" si="94"/>
        <v>Games SP:Barney2017106 $0</v>
      </c>
      <c r="M283" t="str">
        <f t="shared" si="95"/>
        <v>Games Barney2017106 $0</v>
      </c>
      <c r="N283" s="1" t="str">
        <f t="shared" si="96"/>
        <v>Games Barney 2017106 $0</v>
      </c>
      <c r="O283" s="9">
        <f t="shared" si="104"/>
        <v>6</v>
      </c>
      <c r="P283" s="9">
        <f t="shared" si="97"/>
        <v>13</v>
      </c>
      <c r="Q283" s="10">
        <f t="shared" si="98"/>
        <v>21</v>
      </c>
      <c r="R283" s="7" t="str">
        <f t="shared" si="99"/>
        <v>Games</v>
      </c>
      <c r="S283" s="7" t="str">
        <f t="shared" si="100"/>
        <v>Barney</v>
      </c>
      <c r="T283" s="7" t="str">
        <f t="shared" si="101"/>
        <v>2017106</v>
      </c>
      <c r="U283" s="7">
        <f t="shared" si="102"/>
        <v>0</v>
      </c>
      <c r="V283" s="8">
        <f t="shared" si="103"/>
        <v>43014</v>
      </c>
    </row>
    <row r="284" spans="1:22">
      <c r="A284" s="3">
        <f t="shared" si="84"/>
        <v>282</v>
      </c>
      <c r="B284" t="s">
        <v>288</v>
      </c>
      <c r="C284">
        <f t="shared" si="85"/>
        <v>29</v>
      </c>
      <c r="D284" t="str">
        <f t="shared" si="86"/>
        <v xml:space="preserve">////PR:Games___SP:David20171030   $1281  </v>
      </c>
      <c r="E284">
        <f t="shared" si="87"/>
        <v>32</v>
      </c>
      <c r="F284" t="str">
        <f t="shared" si="88"/>
        <v xml:space="preserve">////PR:Games___SP:David20171030   $1281  </v>
      </c>
      <c r="G284" t="str">
        <f t="shared" si="89"/>
        <v xml:space="preserve">PR:Games___SP:David20171030   $1281  </v>
      </c>
      <c r="H284" t="str">
        <f t="shared" si="90"/>
        <v xml:space="preserve">PR:Games   SP:David20171030   $1281  </v>
      </c>
      <c r="I284" t="str">
        <f t="shared" si="91"/>
        <v>PR:Games SP:David20171030 $1281</v>
      </c>
      <c r="J284">
        <f t="shared" si="92"/>
        <v>31</v>
      </c>
      <c r="K284">
        <f t="shared" si="93"/>
        <v>49</v>
      </c>
      <c r="L284" t="str">
        <f t="shared" si="94"/>
        <v>Games SP:David20171030 $1281</v>
      </c>
      <c r="M284" t="str">
        <f t="shared" si="95"/>
        <v>Games David20171030 $1281</v>
      </c>
      <c r="N284" s="1" t="str">
        <f t="shared" si="96"/>
        <v>Games David 20171030 $1281</v>
      </c>
      <c r="O284" s="9">
        <f t="shared" si="104"/>
        <v>6</v>
      </c>
      <c r="P284" s="9">
        <f t="shared" si="97"/>
        <v>12</v>
      </c>
      <c r="Q284" s="10">
        <f t="shared" si="98"/>
        <v>21</v>
      </c>
      <c r="R284" s="7" t="str">
        <f t="shared" si="99"/>
        <v>Games</v>
      </c>
      <c r="S284" s="7" t="str">
        <f t="shared" si="100"/>
        <v>David</v>
      </c>
      <c r="T284" s="7" t="str">
        <f t="shared" si="101"/>
        <v>20171030</v>
      </c>
      <c r="U284" s="7">
        <f t="shared" si="102"/>
        <v>1281</v>
      </c>
      <c r="V284" s="8">
        <f t="shared" si="103"/>
        <v>43038</v>
      </c>
    </row>
    <row r="285" spans="1:22">
      <c r="A285" s="3">
        <f t="shared" si="84"/>
        <v>283</v>
      </c>
      <c r="B285" t="s">
        <v>289</v>
      </c>
      <c r="C285">
        <f t="shared" si="85"/>
        <v>30</v>
      </c>
      <c r="D285" t="str">
        <f t="shared" si="86"/>
        <v xml:space="preserve">///PR:Music_SP:Alice20171019    $0     </v>
      </c>
      <c r="E285">
        <f t="shared" si="87"/>
        <v>32</v>
      </c>
      <c r="F285" t="str">
        <f t="shared" si="88"/>
        <v xml:space="preserve">///PR:Music_SP:Alice20171019    $0     </v>
      </c>
      <c r="G285" t="str">
        <f t="shared" si="89"/>
        <v xml:space="preserve">PR:Music_SP:Alice20171019    $0     </v>
      </c>
      <c r="H285" t="str">
        <f t="shared" si="90"/>
        <v xml:space="preserve">PR:Music SP:Alice20171019    $0     </v>
      </c>
      <c r="I285" t="str">
        <f t="shared" si="91"/>
        <v>PR:Music SP:Alice20171019 $0</v>
      </c>
      <c r="J285">
        <f t="shared" si="92"/>
        <v>28</v>
      </c>
      <c r="K285">
        <f t="shared" si="93"/>
        <v>48</v>
      </c>
      <c r="L285" t="str">
        <f t="shared" si="94"/>
        <v>Music SP:Alice20171019 $0</v>
      </c>
      <c r="M285" t="str">
        <f t="shared" si="95"/>
        <v>Music Alice20171019 $0</v>
      </c>
      <c r="N285" s="1" t="str">
        <f t="shared" si="96"/>
        <v>Music Alice 20171019 $0</v>
      </c>
      <c r="O285" s="9">
        <f t="shared" si="104"/>
        <v>6</v>
      </c>
      <c r="P285" s="9">
        <f t="shared" si="97"/>
        <v>12</v>
      </c>
      <c r="Q285" s="10">
        <f t="shared" si="98"/>
        <v>21</v>
      </c>
      <c r="R285" s="7" t="str">
        <f t="shared" si="99"/>
        <v>Music</v>
      </c>
      <c r="S285" s="7" t="str">
        <f t="shared" si="100"/>
        <v>Alice</v>
      </c>
      <c r="T285" s="7" t="str">
        <f t="shared" si="101"/>
        <v>20171019</v>
      </c>
      <c r="U285" s="7">
        <f t="shared" si="102"/>
        <v>0</v>
      </c>
      <c r="V285" s="8">
        <f t="shared" si="103"/>
        <v>43027</v>
      </c>
    </row>
    <row r="286" spans="1:22">
      <c r="A286" s="3">
        <f t="shared" si="84"/>
        <v>284</v>
      </c>
      <c r="B286" t="s">
        <v>290</v>
      </c>
      <c r="C286">
        <f t="shared" si="85"/>
        <v>31</v>
      </c>
      <c r="D286" t="str">
        <f t="shared" si="86"/>
        <v xml:space="preserve">//PR:Clothing_SP:Alice20171027   $0    </v>
      </c>
      <c r="E286">
        <f t="shared" si="87"/>
        <v>32</v>
      </c>
      <c r="F286" t="str">
        <f t="shared" si="88"/>
        <v xml:space="preserve">//PR:Clothing_SP:Alice20171027   $0    </v>
      </c>
      <c r="G286" t="str">
        <f t="shared" si="89"/>
        <v xml:space="preserve">PR:Clothing_SP:Alice20171027   $0    </v>
      </c>
      <c r="H286" t="str">
        <f t="shared" si="90"/>
        <v xml:space="preserve">PR:Clothing SP:Alice20171027   $0    </v>
      </c>
      <c r="I286" t="str">
        <f t="shared" si="91"/>
        <v>PR:Clothing SP:Alice20171027 $0</v>
      </c>
      <c r="J286">
        <f t="shared" si="92"/>
        <v>31</v>
      </c>
      <c r="K286">
        <f t="shared" si="93"/>
        <v>48</v>
      </c>
      <c r="L286" t="str">
        <f t="shared" si="94"/>
        <v>Clothing SP:Alice20171027 $0</v>
      </c>
      <c r="M286" t="str">
        <f t="shared" si="95"/>
        <v>Clothing Alice20171027 $0</v>
      </c>
      <c r="N286" s="1" t="str">
        <f t="shared" si="96"/>
        <v>Clothing Alice 20171027 $0</v>
      </c>
      <c r="O286" s="9">
        <f t="shared" si="104"/>
        <v>9</v>
      </c>
      <c r="P286" s="9">
        <f t="shared" si="97"/>
        <v>15</v>
      </c>
      <c r="Q286" s="10">
        <f t="shared" si="98"/>
        <v>24</v>
      </c>
      <c r="R286" s="7" t="str">
        <f t="shared" si="99"/>
        <v>Clothing</v>
      </c>
      <c r="S286" s="7" t="str">
        <f t="shared" si="100"/>
        <v>Alice</v>
      </c>
      <c r="T286" s="7" t="str">
        <f t="shared" si="101"/>
        <v>20171027</v>
      </c>
      <c r="U286" s="7">
        <f t="shared" si="102"/>
        <v>0</v>
      </c>
      <c r="V286" s="8">
        <f t="shared" si="103"/>
        <v>43035</v>
      </c>
    </row>
    <row r="287" spans="1:22">
      <c r="A287" s="3">
        <f t="shared" si="84"/>
        <v>285</v>
      </c>
      <c r="B287" t="s">
        <v>291</v>
      </c>
      <c r="C287">
        <f t="shared" si="85"/>
        <v>31</v>
      </c>
      <c r="D287" t="str">
        <f t="shared" si="86"/>
        <v xml:space="preserve">//PR:Books_____SP:David20171027     $0    </v>
      </c>
      <c r="E287">
        <f t="shared" si="87"/>
        <v>32</v>
      </c>
      <c r="F287" t="str">
        <f t="shared" si="88"/>
        <v xml:space="preserve">//PR:Books_____SP:David20171027     $0    </v>
      </c>
      <c r="G287" t="str">
        <f t="shared" si="89"/>
        <v xml:space="preserve">PR:Books_____SP:David20171027     $0    </v>
      </c>
      <c r="H287" t="str">
        <f t="shared" si="90"/>
        <v xml:space="preserve">PR:Books     SP:David20171027     $0    </v>
      </c>
      <c r="I287" t="str">
        <f t="shared" si="91"/>
        <v>PR:Books SP:David20171027 $0</v>
      </c>
      <c r="J287">
        <f t="shared" si="92"/>
        <v>28</v>
      </c>
      <c r="K287">
        <f t="shared" si="93"/>
        <v>48</v>
      </c>
      <c r="L287" t="str">
        <f t="shared" si="94"/>
        <v>Books SP:David20171027 $0</v>
      </c>
      <c r="M287" t="str">
        <f t="shared" si="95"/>
        <v>Books David20171027 $0</v>
      </c>
      <c r="N287" s="1" t="str">
        <f t="shared" si="96"/>
        <v>Books David 20171027 $0</v>
      </c>
      <c r="O287" s="9">
        <f t="shared" si="104"/>
        <v>6</v>
      </c>
      <c r="P287" s="9">
        <f t="shared" si="97"/>
        <v>12</v>
      </c>
      <c r="Q287" s="10">
        <f t="shared" si="98"/>
        <v>21</v>
      </c>
      <c r="R287" s="7" t="str">
        <f t="shared" si="99"/>
        <v>Books</v>
      </c>
      <c r="S287" s="7" t="str">
        <f t="shared" si="100"/>
        <v>David</v>
      </c>
      <c r="T287" s="7" t="str">
        <f t="shared" si="101"/>
        <v>20171027</v>
      </c>
      <c r="U287" s="7">
        <f t="shared" si="102"/>
        <v>0</v>
      </c>
      <c r="V287" s="8">
        <f t="shared" si="103"/>
        <v>43035</v>
      </c>
    </row>
    <row r="288" spans="1:22">
      <c r="A288" s="3">
        <f t="shared" si="84"/>
        <v>286</v>
      </c>
      <c r="B288" t="s">
        <v>292</v>
      </c>
      <c r="C288">
        <f t="shared" si="85"/>
        <v>30</v>
      </c>
      <c r="D288" t="str">
        <f t="shared" si="86"/>
        <v xml:space="preserve">//PR:Clothing____SP:Alice2017104     $1616 </v>
      </c>
      <c r="E288">
        <f t="shared" si="87"/>
        <v>32</v>
      </c>
      <c r="F288" t="str">
        <f t="shared" si="88"/>
        <v xml:space="preserve">//PR:Clothing____SP:Alice2017104     $1616 </v>
      </c>
      <c r="G288" t="str">
        <f t="shared" si="89"/>
        <v xml:space="preserve">PR:Clothing____SP:Alice2017104     $1616 </v>
      </c>
      <c r="H288" t="str">
        <f t="shared" si="90"/>
        <v xml:space="preserve">PR:Clothing    SP:Alice2017104     $1616 </v>
      </c>
      <c r="I288" t="str">
        <f t="shared" si="91"/>
        <v>PR:Clothing SP:Alice2017104 $1616</v>
      </c>
      <c r="J288">
        <f t="shared" si="92"/>
        <v>33</v>
      </c>
      <c r="K288">
        <f t="shared" si="93"/>
        <v>54</v>
      </c>
      <c r="L288" t="str">
        <f t="shared" si="94"/>
        <v>Clothing SP:Alice2017104 $1616</v>
      </c>
      <c r="M288" t="str">
        <f t="shared" si="95"/>
        <v>Clothing Alice2017104 $1616</v>
      </c>
      <c r="N288" s="1" t="str">
        <f t="shared" si="96"/>
        <v>Clothing Alice 2017104 $1616</v>
      </c>
      <c r="O288" s="9">
        <f t="shared" si="104"/>
        <v>9</v>
      </c>
      <c r="P288" s="9">
        <f t="shared" si="97"/>
        <v>15</v>
      </c>
      <c r="Q288" s="10">
        <f t="shared" si="98"/>
        <v>23</v>
      </c>
      <c r="R288" s="7" t="str">
        <f t="shared" si="99"/>
        <v>Clothing</v>
      </c>
      <c r="S288" s="7" t="str">
        <f t="shared" si="100"/>
        <v>Alice</v>
      </c>
      <c r="T288" s="7" t="str">
        <f t="shared" si="101"/>
        <v>2017104</v>
      </c>
      <c r="U288" s="7">
        <f t="shared" si="102"/>
        <v>1616</v>
      </c>
      <c r="V288" s="8">
        <f t="shared" si="103"/>
        <v>43012</v>
      </c>
    </row>
    <row r="289" spans="1:22">
      <c r="A289" s="3">
        <f t="shared" si="84"/>
        <v>287</v>
      </c>
      <c r="B289" t="s">
        <v>293</v>
      </c>
      <c r="C289">
        <f t="shared" si="85"/>
        <v>30</v>
      </c>
      <c r="D289" t="str">
        <f t="shared" si="86"/>
        <v xml:space="preserve">////PR:Games_SP:Alice20171020    $2087 </v>
      </c>
      <c r="E289">
        <f t="shared" si="87"/>
        <v>32</v>
      </c>
      <c r="F289" t="str">
        <f t="shared" si="88"/>
        <v xml:space="preserve">////PR:Games_SP:Alice20171020    $2087 </v>
      </c>
      <c r="G289" t="str">
        <f t="shared" si="89"/>
        <v xml:space="preserve">PR:Games_SP:Alice20171020    $2087 </v>
      </c>
      <c r="H289" t="str">
        <f t="shared" si="90"/>
        <v xml:space="preserve">PR:Games SP:Alice20171020    $2087 </v>
      </c>
      <c r="I289" t="str">
        <f t="shared" si="91"/>
        <v>PR:Games SP:Alice20171020 $2087</v>
      </c>
      <c r="J289">
        <f t="shared" si="92"/>
        <v>31</v>
      </c>
      <c r="K289">
        <f t="shared" si="93"/>
        <v>55</v>
      </c>
      <c r="L289" t="str">
        <f t="shared" si="94"/>
        <v>Games SP:Alice20171020 $2087</v>
      </c>
      <c r="M289" t="str">
        <f t="shared" si="95"/>
        <v>Games Alice20171020 $2087</v>
      </c>
      <c r="N289" s="1" t="str">
        <f t="shared" si="96"/>
        <v>Games Alice 20171020 $2087</v>
      </c>
      <c r="O289" s="9">
        <f t="shared" si="104"/>
        <v>6</v>
      </c>
      <c r="P289" s="9">
        <f t="shared" si="97"/>
        <v>12</v>
      </c>
      <c r="Q289" s="10">
        <f t="shared" si="98"/>
        <v>21</v>
      </c>
      <c r="R289" s="7" t="str">
        <f t="shared" si="99"/>
        <v>Games</v>
      </c>
      <c r="S289" s="7" t="str">
        <f t="shared" si="100"/>
        <v>Alice</v>
      </c>
      <c r="T289" s="7" t="str">
        <f t="shared" si="101"/>
        <v>20171020</v>
      </c>
      <c r="U289" s="7">
        <f t="shared" si="102"/>
        <v>2087</v>
      </c>
      <c r="V289" s="8">
        <f t="shared" si="103"/>
        <v>43028</v>
      </c>
    </row>
    <row r="290" spans="1:22">
      <c r="A290" s="3">
        <f t="shared" si="84"/>
        <v>288</v>
      </c>
      <c r="B290" t="s">
        <v>294</v>
      </c>
      <c r="C290">
        <f t="shared" si="85"/>
        <v>30</v>
      </c>
      <c r="D290" t="str">
        <f t="shared" si="86"/>
        <v xml:space="preserve">///PR:Books____SP:Alice20171024  $762   </v>
      </c>
      <c r="E290">
        <f t="shared" si="87"/>
        <v>32</v>
      </c>
      <c r="F290" t="str">
        <f t="shared" si="88"/>
        <v xml:space="preserve">///PR:Books____SP:Alice20171024  $762   </v>
      </c>
      <c r="G290" t="str">
        <f t="shared" si="89"/>
        <v xml:space="preserve">PR:Books____SP:Alice20171024  $762   </v>
      </c>
      <c r="H290" t="str">
        <f t="shared" si="90"/>
        <v xml:space="preserve">PR:Books    SP:Alice20171024  $762   </v>
      </c>
      <c r="I290" t="str">
        <f t="shared" si="91"/>
        <v>PR:Books SP:Alice20171024 $762</v>
      </c>
      <c r="J290">
        <f t="shared" si="92"/>
        <v>30</v>
      </c>
      <c r="K290">
        <f t="shared" si="93"/>
        <v>50</v>
      </c>
      <c r="L290" t="str">
        <f t="shared" si="94"/>
        <v>Books SP:Alice20171024 $762</v>
      </c>
      <c r="M290" t="str">
        <f t="shared" si="95"/>
        <v>Books Alice20171024 $762</v>
      </c>
      <c r="N290" s="1" t="str">
        <f t="shared" si="96"/>
        <v>Books Alice 20171024 $762</v>
      </c>
      <c r="O290" s="9">
        <f t="shared" si="104"/>
        <v>6</v>
      </c>
      <c r="P290" s="9">
        <f t="shared" si="97"/>
        <v>12</v>
      </c>
      <c r="Q290" s="10">
        <f t="shared" si="98"/>
        <v>21</v>
      </c>
      <c r="R290" s="7" t="str">
        <f t="shared" si="99"/>
        <v>Books</v>
      </c>
      <c r="S290" s="7" t="str">
        <f t="shared" si="100"/>
        <v>Alice</v>
      </c>
      <c r="T290" s="7" t="str">
        <f t="shared" si="101"/>
        <v>20171024</v>
      </c>
      <c r="U290" s="7">
        <f t="shared" si="102"/>
        <v>762</v>
      </c>
      <c r="V290" s="8">
        <f t="shared" si="103"/>
        <v>43032</v>
      </c>
    </row>
    <row r="291" spans="1:22">
      <c r="A291" s="3">
        <f t="shared" si="84"/>
        <v>289</v>
      </c>
      <c r="B291" t="s">
        <v>295</v>
      </c>
      <c r="C291">
        <f t="shared" si="85"/>
        <v>28</v>
      </c>
      <c r="D291" t="str">
        <f t="shared" si="86"/>
        <v xml:space="preserve">/////PR:Clothing____SP:Barney20171023     $0 </v>
      </c>
      <c r="E291">
        <f t="shared" si="87"/>
        <v>32</v>
      </c>
      <c r="F291" t="str">
        <f t="shared" si="88"/>
        <v xml:space="preserve">/////PR:Clothing____SP:Barney20171023     $0 </v>
      </c>
      <c r="G291" t="str">
        <f t="shared" si="89"/>
        <v xml:space="preserve">PR:Clothing____SP:Barney20171023     $0 </v>
      </c>
      <c r="H291" t="str">
        <f t="shared" si="90"/>
        <v xml:space="preserve">PR:Clothing    SP:Barney20171023     $0 </v>
      </c>
      <c r="I291" t="str">
        <f t="shared" si="91"/>
        <v>PR:Clothing SP:Barney20171023 $0</v>
      </c>
      <c r="J291">
        <f t="shared" si="92"/>
        <v>32</v>
      </c>
      <c r="K291">
        <f t="shared" si="93"/>
        <v>48</v>
      </c>
      <c r="L291" t="str">
        <f t="shared" si="94"/>
        <v>Clothing SP:Barney20171023 $0</v>
      </c>
      <c r="M291" t="str">
        <f t="shared" si="95"/>
        <v>Clothing Barney20171023 $0</v>
      </c>
      <c r="N291" s="1" t="str">
        <f t="shared" si="96"/>
        <v>Clothing Barney 20171023 $0</v>
      </c>
      <c r="O291" s="9">
        <f t="shared" si="104"/>
        <v>9</v>
      </c>
      <c r="P291" s="9">
        <f t="shared" si="97"/>
        <v>16</v>
      </c>
      <c r="Q291" s="10">
        <f t="shared" si="98"/>
        <v>25</v>
      </c>
      <c r="R291" s="7" t="str">
        <f t="shared" si="99"/>
        <v>Clothing</v>
      </c>
      <c r="S291" s="7" t="str">
        <f t="shared" si="100"/>
        <v>Barney</v>
      </c>
      <c r="T291" s="7" t="str">
        <f t="shared" si="101"/>
        <v>20171023</v>
      </c>
      <c r="U291" s="7">
        <f t="shared" si="102"/>
        <v>0</v>
      </c>
      <c r="V291" s="8">
        <f t="shared" si="103"/>
        <v>43031</v>
      </c>
    </row>
    <row r="292" spans="1:22">
      <c r="A292" s="3">
        <f t="shared" si="84"/>
        <v>290</v>
      </c>
      <c r="B292" t="s">
        <v>296</v>
      </c>
      <c r="C292">
        <f t="shared" si="85"/>
        <v>28</v>
      </c>
      <c r="D292" t="str">
        <f t="shared" si="86"/>
        <v xml:space="preserve">////PR:Books_SP:Barney2017103    $0  </v>
      </c>
      <c r="E292">
        <f t="shared" si="87"/>
        <v>32</v>
      </c>
      <c r="F292" t="str">
        <f t="shared" si="88"/>
        <v xml:space="preserve">////PR:Books_SP:Barney2017103    $0  </v>
      </c>
      <c r="G292" t="str">
        <f t="shared" si="89"/>
        <v xml:space="preserve">PR:Books_SP:Barney2017103    $0  </v>
      </c>
      <c r="H292" t="str">
        <f t="shared" si="90"/>
        <v xml:space="preserve">PR:Books SP:Barney2017103    $0  </v>
      </c>
      <c r="I292" t="str">
        <f t="shared" si="91"/>
        <v>PR:Books SP:Barney2017103 $0</v>
      </c>
      <c r="J292">
        <f t="shared" si="92"/>
        <v>28</v>
      </c>
      <c r="K292">
        <f t="shared" si="93"/>
        <v>48</v>
      </c>
      <c r="L292" t="str">
        <f t="shared" si="94"/>
        <v>Books SP:Barney2017103 $0</v>
      </c>
      <c r="M292" t="str">
        <f t="shared" si="95"/>
        <v>Books Barney2017103 $0</v>
      </c>
      <c r="N292" s="1" t="str">
        <f t="shared" si="96"/>
        <v>Books Barney 2017103 $0</v>
      </c>
      <c r="O292" s="9">
        <f t="shared" si="104"/>
        <v>6</v>
      </c>
      <c r="P292" s="9">
        <f t="shared" si="97"/>
        <v>13</v>
      </c>
      <c r="Q292" s="10">
        <f t="shared" si="98"/>
        <v>21</v>
      </c>
      <c r="R292" s="7" t="str">
        <f t="shared" si="99"/>
        <v>Books</v>
      </c>
      <c r="S292" s="7" t="str">
        <f t="shared" si="100"/>
        <v>Barney</v>
      </c>
      <c r="T292" s="7" t="str">
        <f t="shared" si="101"/>
        <v>2017103</v>
      </c>
      <c r="U292" s="7">
        <f t="shared" si="102"/>
        <v>0</v>
      </c>
      <c r="V292" s="8">
        <f t="shared" si="103"/>
        <v>43011</v>
      </c>
    </row>
    <row r="293" spans="1:22">
      <c r="A293" s="3">
        <f t="shared" si="84"/>
        <v>291</v>
      </c>
      <c r="B293" t="s">
        <v>297</v>
      </c>
      <c r="C293">
        <f t="shared" si="85"/>
        <v>28</v>
      </c>
      <c r="D293" t="str">
        <f t="shared" si="86"/>
        <v xml:space="preserve">//PR:Books__SP:David20171028    $904   </v>
      </c>
      <c r="E293">
        <f t="shared" si="87"/>
        <v>32</v>
      </c>
      <c r="F293" t="str">
        <f t="shared" si="88"/>
        <v xml:space="preserve">//PR:Books__SP:David20171028    $904   </v>
      </c>
      <c r="G293" t="str">
        <f t="shared" si="89"/>
        <v xml:space="preserve">PR:Books__SP:David20171028    $904   </v>
      </c>
      <c r="H293" t="str">
        <f t="shared" si="90"/>
        <v xml:space="preserve">PR:Books  SP:David20171028    $904   </v>
      </c>
      <c r="I293" t="str">
        <f t="shared" si="91"/>
        <v>PR:Books SP:David20171028 $904</v>
      </c>
      <c r="J293">
        <f t="shared" si="92"/>
        <v>30</v>
      </c>
      <c r="K293">
        <f t="shared" si="93"/>
        <v>52</v>
      </c>
      <c r="L293" t="str">
        <f t="shared" si="94"/>
        <v>Books SP:David20171028 $904</v>
      </c>
      <c r="M293" t="str">
        <f t="shared" si="95"/>
        <v>Books David20171028 $904</v>
      </c>
      <c r="N293" s="1" t="str">
        <f t="shared" si="96"/>
        <v>Books David 20171028 $904</v>
      </c>
      <c r="O293" s="9">
        <f t="shared" si="104"/>
        <v>6</v>
      </c>
      <c r="P293" s="9">
        <f t="shared" si="97"/>
        <v>12</v>
      </c>
      <c r="Q293" s="10">
        <f t="shared" si="98"/>
        <v>21</v>
      </c>
      <c r="R293" s="7" t="str">
        <f t="shared" si="99"/>
        <v>Books</v>
      </c>
      <c r="S293" s="7" t="str">
        <f t="shared" si="100"/>
        <v>David</v>
      </c>
      <c r="T293" s="7" t="str">
        <f t="shared" si="101"/>
        <v>20171028</v>
      </c>
      <c r="U293" s="7">
        <f t="shared" si="102"/>
        <v>904</v>
      </c>
      <c r="V293" s="8">
        <f t="shared" si="103"/>
        <v>43036</v>
      </c>
    </row>
    <row r="294" spans="1:22">
      <c r="A294" s="3">
        <f t="shared" si="84"/>
        <v>292</v>
      </c>
      <c r="B294" t="s">
        <v>298</v>
      </c>
      <c r="C294">
        <f t="shared" si="85"/>
        <v>31</v>
      </c>
      <c r="D294" t="str">
        <f t="shared" si="86"/>
        <v xml:space="preserve">//PR:Books__SP:Alice20171010     $0 </v>
      </c>
      <c r="E294">
        <f t="shared" si="87"/>
        <v>32</v>
      </c>
      <c r="F294" t="str">
        <f t="shared" si="88"/>
        <v xml:space="preserve">//PR:Books__SP:Alice20171010     $0 </v>
      </c>
      <c r="G294" t="str">
        <f t="shared" si="89"/>
        <v xml:space="preserve">PR:Books__SP:Alice20171010     $0 </v>
      </c>
      <c r="H294" t="str">
        <f t="shared" si="90"/>
        <v xml:space="preserve">PR:Books  SP:Alice20171010     $0 </v>
      </c>
      <c r="I294" t="str">
        <f t="shared" si="91"/>
        <v>PR:Books SP:Alice20171010 $0</v>
      </c>
      <c r="J294">
        <f t="shared" si="92"/>
        <v>28</v>
      </c>
      <c r="K294">
        <f t="shared" si="93"/>
        <v>48</v>
      </c>
      <c r="L294" t="str">
        <f t="shared" si="94"/>
        <v>Books SP:Alice20171010 $0</v>
      </c>
      <c r="M294" t="str">
        <f t="shared" si="95"/>
        <v>Books Alice20171010 $0</v>
      </c>
      <c r="N294" s="1" t="str">
        <f t="shared" si="96"/>
        <v>Books Alice 20171010 $0</v>
      </c>
      <c r="O294" s="9">
        <f t="shared" si="104"/>
        <v>6</v>
      </c>
      <c r="P294" s="9">
        <f t="shared" si="97"/>
        <v>12</v>
      </c>
      <c r="Q294" s="10">
        <f t="shared" si="98"/>
        <v>21</v>
      </c>
      <c r="R294" s="7" t="str">
        <f t="shared" si="99"/>
        <v>Books</v>
      </c>
      <c r="S294" s="7" t="str">
        <f t="shared" si="100"/>
        <v>Alice</v>
      </c>
      <c r="T294" s="7" t="str">
        <f t="shared" si="101"/>
        <v>20171010</v>
      </c>
      <c r="U294" s="7">
        <f t="shared" si="102"/>
        <v>0</v>
      </c>
      <c r="V294" s="8">
        <f t="shared" si="103"/>
        <v>43018</v>
      </c>
    </row>
    <row r="295" spans="1:22">
      <c r="A295" s="3">
        <f t="shared" si="84"/>
        <v>293</v>
      </c>
      <c r="B295" t="s">
        <v>299</v>
      </c>
      <c r="C295">
        <f t="shared" si="85"/>
        <v>29</v>
      </c>
      <c r="D295" t="str">
        <f t="shared" si="86"/>
        <v xml:space="preserve">///PR:Games___SP:Barney20171015 $0    </v>
      </c>
      <c r="E295">
        <f t="shared" si="87"/>
        <v>32</v>
      </c>
      <c r="F295" t="str">
        <f t="shared" si="88"/>
        <v xml:space="preserve">///PR:Games___SP:Barney20171015 $0    </v>
      </c>
      <c r="G295" t="str">
        <f t="shared" si="89"/>
        <v xml:space="preserve">PR:Games___SP:Barney20171015 $0    </v>
      </c>
      <c r="H295" t="str">
        <f t="shared" si="90"/>
        <v xml:space="preserve">PR:Games   SP:Barney20171015 $0    </v>
      </c>
      <c r="I295" t="str">
        <f t="shared" si="91"/>
        <v>PR:Games SP:Barney20171015 $0</v>
      </c>
      <c r="J295">
        <f t="shared" si="92"/>
        <v>29</v>
      </c>
      <c r="K295">
        <f t="shared" si="93"/>
        <v>48</v>
      </c>
      <c r="L295" t="str">
        <f t="shared" si="94"/>
        <v>Games SP:Barney20171015 $0</v>
      </c>
      <c r="M295" t="str">
        <f t="shared" si="95"/>
        <v>Games Barney20171015 $0</v>
      </c>
      <c r="N295" s="1" t="str">
        <f t="shared" si="96"/>
        <v>Games Barney 20171015 $0</v>
      </c>
      <c r="O295" s="9">
        <f t="shared" si="104"/>
        <v>6</v>
      </c>
      <c r="P295" s="9">
        <f t="shared" si="97"/>
        <v>13</v>
      </c>
      <c r="Q295" s="10">
        <f t="shared" si="98"/>
        <v>22</v>
      </c>
      <c r="R295" s="7" t="str">
        <f t="shared" si="99"/>
        <v>Games</v>
      </c>
      <c r="S295" s="7" t="str">
        <f t="shared" si="100"/>
        <v>Barney</v>
      </c>
      <c r="T295" s="7" t="str">
        <f t="shared" si="101"/>
        <v>20171015</v>
      </c>
      <c r="U295" s="7">
        <f t="shared" si="102"/>
        <v>0</v>
      </c>
      <c r="V295" s="8">
        <f t="shared" si="103"/>
        <v>43023</v>
      </c>
    </row>
    <row r="296" spans="1:22">
      <c r="A296" s="3">
        <f t="shared" si="84"/>
        <v>294</v>
      </c>
      <c r="B296" t="s">
        <v>300</v>
      </c>
      <c r="C296">
        <f t="shared" si="85"/>
        <v>29</v>
      </c>
      <c r="D296" t="str">
        <f t="shared" si="86"/>
        <v xml:space="preserve">////PR:Books__SP:David2017106 $523  </v>
      </c>
      <c r="E296">
        <f t="shared" si="87"/>
        <v>32</v>
      </c>
      <c r="F296" t="str">
        <f t="shared" si="88"/>
        <v xml:space="preserve">////PR:Books__SP:David2017106 $523  </v>
      </c>
      <c r="G296" t="str">
        <f t="shared" si="89"/>
        <v xml:space="preserve">PR:Books__SP:David2017106 $523  </v>
      </c>
      <c r="H296" t="str">
        <f t="shared" si="90"/>
        <v xml:space="preserve">PR:Books  SP:David2017106 $523  </v>
      </c>
      <c r="I296" t="str">
        <f t="shared" si="91"/>
        <v>PR:Books SP:David2017106 $523</v>
      </c>
      <c r="J296">
        <f t="shared" si="92"/>
        <v>29</v>
      </c>
      <c r="K296">
        <f t="shared" si="93"/>
        <v>51</v>
      </c>
      <c r="L296" t="str">
        <f t="shared" si="94"/>
        <v>Books SP:David2017106 $523</v>
      </c>
      <c r="M296" t="str">
        <f t="shared" si="95"/>
        <v>Books David2017106 $523</v>
      </c>
      <c r="N296" s="1" t="str">
        <f t="shared" si="96"/>
        <v>Books David 2017106 $523</v>
      </c>
      <c r="O296" s="9">
        <f t="shared" si="104"/>
        <v>6</v>
      </c>
      <c r="P296" s="9">
        <f t="shared" si="97"/>
        <v>12</v>
      </c>
      <c r="Q296" s="10">
        <f t="shared" si="98"/>
        <v>20</v>
      </c>
      <c r="R296" s="7" t="str">
        <f t="shared" si="99"/>
        <v>Books</v>
      </c>
      <c r="S296" s="7" t="str">
        <f t="shared" si="100"/>
        <v>David</v>
      </c>
      <c r="T296" s="7" t="str">
        <f t="shared" si="101"/>
        <v>2017106</v>
      </c>
      <c r="U296" s="7">
        <f t="shared" si="102"/>
        <v>523</v>
      </c>
      <c r="V296" s="8">
        <f t="shared" si="103"/>
        <v>43014</v>
      </c>
    </row>
    <row r="297" spans="1:22">
      <c r="A297" s="3">
        <f t="shared" si="84"/>
        <v>295</v>
      </c>
      <c r="B297" t="s">
        <v>301</v>
      </c>
      <c r="C297">
        <f t="shared" si="85"/>
        <v>28</v>
      </c>
      <c r="D297" t="str">
        <f t="shared" si="86"/>
        <v xml:space="preserve">////PR:Clothing_SP:Carol20171018  $905     </v>
      </c>
      <c r="E297">
        <f t="shared" si="87"/>
        <v>32</v>
      </c>
      <c r="F297" t="str">
        <f t="shared" si="88"/>
        <v xml:space="preserve">////PR:Clothing_SP:Carol20171018  $905     </v>
      </c>
      <c r="G297" t="str">
        <f t="shared" si="89"/>
        <v xml:space="preserve">PR:Clothing_SP:Carol20171018  $905     </v>
      </c>
      <c r="H297" t="str">
        <f t="shared" si="90"/>
        <v xml:space="preserve">PR:Clothing SP:Carol20171018  $905     </v>
      </c>
      <c r="I297" t="str">
        <f t="shared" si="91"/>
        <v>PR:Clothing SP:Carol20171018 $905</v>
      </c>
      <c r="J297">
        <f t="shared" si="92"/>
        <v>33</v>
      </c>
      <c r="K297">
        <f t="shared" si="93"/>
        <v>53</v>
      </c>
      <c r="L297" t="str">
        <f t="shared" si="94"/>
        <v>Clothing SP:Carol20171018 $905</v>
      </c>
      <c r="M297" t="str">
        <f t="shared" si="95"/>
        <v>Clothing Carol20171018 $905</v>
      </c>
      <c r="N297" s="1" t="str">
        <f t="shared" si="96"/>
        <v>Clothing Carol 20171018 $905</v>
      </c>
      <c r="O297" s="9">
        <f t="shared" si="104"/>
        <v>9</v>
      </c>
      <c r="P297" s="9">
        <f t="shared" si="97"/>
        <v>15</v>
      </c>
      <c r="Q297" s="10">
        <f t="shared" si="98"/>
        <v>24</v>
      </c>
      <c r="R297" s="7" t="str">
        <f t="shared" si="99"/>
        <v>Clothing</v>
      </c>
      <c r="S297" s="7" t="str">
        <f t="shared" si="100"/>
        <v>Carol</v>
      </c>
      <c r="T297" s="7" t="str">
        <f t="shared" si="101"/>
        <v>20171018</v>
      </c>
      <c r="U297" s="7">
        <f t="shared" si="102"/>
        <v>905</v>
      </c>
      <c r="V297" s="8">
        <f t="shared" si="103"/>
        <v>43026</v>
      </c>
    </row>
    <row r="298" spans="1:22">
      <c r="A298" s="3">
        <f t="shared" si="84"/>
        <v>296</v>
      </c>
      <c r="B298" t="s">
        <v>302</v>
      </c>
      <c r="C298">
        <f t="shared" si="85"/>
        <v>28</v>
      </c>
      <c r="D298" t="str">
        <f t="shared" si="86"/>
        <v xml:space="preserve">/PR:Clothing____SP:Alice20171021  $834   </v>
      </c>
      <c r="E298">
        <f t="shared" si="87"/>
        <v>32</v>
      </c>
      <c r="F298" t="str">
        <f t="shared" si="88"/>
        <v xml:space="preserve">/PR:Clothing____SP:Alice20171021  $834   </v>
      </c>
      <c r="G298" t="str">
        <f t="shared" si="89"/>
        <v xml:space="preserve">PR:Clothing____SP:Alice20171021  $834   </v>
      </c>
      <c r="H298" t="str">
        <f t="shared" si="90"/>
        <v xml:space="preserve">PR:Clothing    SP:Alice20171021  $834   </v>
      </c>
      <c r="I298" t="str">
        <f t="shared" si="91"/>
        <v>PR:Clothing SP:Alice20171021 $834</v>
      </c>
      <c r="J298">
        <f t="shared" si="92"/>
        <v>33</v>
      </c>
      <c r="K298">
        <f t="shared" si="93"/>
        <v>52</v>
      </c>
      <c r="L298" t="str">
        <f t="shared" si="94"/>
        <v>Clothing SP:Alice20171021 $834</v>
      </c>
      <c r="M298" t="str">
        <f t="shared" si="95"/>
        <v>Clothing Alice20171021 $834</v>
      </c>
      <c r="N298" s="1" t="str">
        <f t="shared" si="96"/>
        <v>Clothing Alice 20171021 $834</v>
      </c>
      <c r="O298" s="9">
        <f t="shared" si="104"/>
        <v>9</v>
      </c>
      <c r="P298" s="9">
        <f t="shared" si="97"/>
        <v>15</v>
      </c>
      <c r="Q298" s="10">
        <f t="shared" si="98"/>
        <v>24</v>
      </c>
      <c r="R298" s="7" t="str">
        <f t="shared" si="99"/>
        <v>Clothing</v>
      </c>
      <c r="S298" s="7" t="str">
        <f t="shared" si="100"/>
        <v>Alice</v>
      </c>
      <c r="T298" s="7" t="str">
        <f t="shared" si="101"/>
        <v>20171021</v>
      </c>
      <c r="U298" s="7">
        <f t="shared" si="102"/>
        <v>834</v>
      </c>
      <c r="V298" s="8">
        <f t="shared" si="103"/>
        <v>43029</v>
      </c>
    </row>
    <row r="299" spans="1:22">
      <c r="A299" s="3">
        <f t="shared" si="84"/>
        <v>297</v>
      </c>
      <c r="B299" t="s">
        <v>303</v>
      </c>
      <c r="C299">
        <f t="shared" si="85"/>
        <v>31</v>
      </c>
      <c r="D299" t="str">
        <f t="shared" si="86"/>
        <v xml:space="preserve">////PR:Clothing__SP:Barney20171017   $1740   </v>
      </c>
      <c r="E299">
        <f t="shared" si="87"/>
        <v>32</v>
      </c>
      <c r="F299" t="str">
        <f t="shared" si="88"/>
        <v xml:space="preserve">////PR:Clothing__SP:Barney20171017   $1740   </v>
      </c>
      <c r="G299" t="str">
        <f t="shared" si="89"/>
        <v xml:space="preserve">PR:Clothing__SP:Barney20171017   $1740   </v>
      </c>
      <c r="H299" t="str">
        <f t="shared" si="90"/>
        <v xml:space="preserve">PR:Clothing  SP:Barney20171017   $1740   </v>
      </c>
      <c r="I299" t="str">
        <f t="shared" si="91"/>
        <v>PR:Clothing SP:Barney20171017 $1740</v>
      </c>
      <c r="J299">
        <f t="shared" si="92"/>
        <v>35</v>
      </c>
      <c r="K299">
        <f t="shared" si="93"/>
        <v>48</v>
      </c>
      <c r="L299" t="str">
        <f t="shared" si="94"/>
        <v>Clothing SP:Barney20171017 $1740</v>
      </c>
      <c r="M299" t="str">
        <f t="shared" si="95"/>
        <v>Clothing Barney20171017 $1740</v>
      </c>
      <c r="N299" s="1" t="str">
        <f t="shared" si="96"/>
        <v>Clothing Barney 20171017 $1740</v>
      </c>
      <c r="O299" s="9">
        <f t="shared" si="104"/>
        <v>9</v>
      </c>
      <c r="P299" s="9">
        <f t="shared" si="97"/>
        <v>16</v>
      </c>
      <c r="Q299" s="10">
        <f t="shared" si="98"/>
        <v>25</v>
      </c>
      <c r="R299" s="7" t="str">
        <f t="shared" si="99"/>
        <v>Clothing</v>
      </c>
      <c r="S299" s="7" t="str">
        <f t="shared" si="100"/>
        <v>Barney</v>
      </c>
      <c r="T299" s="7" t="str">
        <f t="shared" si="101"/>
        <v>20171017</v>
      </c>
      <c r="U299" s="7">
        <f t="shared" si="102"/>
        <v>1740</v>
      </c>
      <c r="V299" s="8">
        <f t="shared" si="103"/>
        <v>43025</v>
      </c>
    </row>
    <row r="300" spans="1:22">
      <c r="A300" s="3">
        <f t="shared" si="84"/>
        <v>298</v>
      </c>
      <c r="B300" t="s">
        <v>304</v>
      </c>
      <c r="C300">
        <f t="shared" si="85"/>
        <v>29</v>
      </c>
      <c r="D300" t="str">
        <f t="shared" si="86"/>
        <v xml:space="preserve">//PR:Music_SP:Carol20171013 $1143   </v>
      </c>
      <c r="E300">
        <f t="shared" si="87"/>
        <v>32</v>
      </c>
      <c r="F300" t="str">
        <f t="shared" si="88"/>
        <v xml:space="preserve">//PR:Music_SP:Carol20171013 $1143   </v>
      </c>
      <c r="G300" t="str">
        <f t="shared" si="89"/>
        <v xml:space="preserve">PR:Music_SP:Carol20171013 $1143   </v>
      </c>
      <c r="H300" t="str">
        <f t="shared" si="90"/>
        <v xml:space="preserve">PR:Music SP:Carol20171013 $1143   </v>
      </c>
      <c r="I300" t="str">
        <f t="shared" si="91"/>
        <v>PR:Music SP:Carol20171013 $1143</v>
      </c>
      <c r="J300">
        <f t="shared" si="92"/>
        <v>31</v>
      </c>
      <c r="K300">
        <f t="shared" si="93"/>
        <v>51</v>
      </c>
      <c r="L300" t="str">
        <f t="shared" si="94"/>
        <v>Music SP:Carol20171013 $1143</v>
      </c>
      <c r="M300" t="str">
        <f t="shared" si="95"/>
        <v>Music Carol20171013 $1143</v>
      </c>
      <c r="N300" s="1" t="str">
        <f t="shared" si="96"/>
        <v>Music Carol 20171013 $1143</v>
      </c>
      <c r="O300" s="9">
        <f t="shared" si="104"/>
        <v>6</v>
      </c>
      <c r="P300" s="9">
        <f t="shared" si="97"/>
        <v>12</v>
      </c>
      <c r="Q300" s="10">
        <f t="shared" si="98"/>
        <v>21</v>
      </c>
      <c r="R300" s="7" t="str">
        <f t="shared" si="99"/>
        <v>Music</v>
      </c>
      <c r="S300" s="7" t="str">
        <f t="shared" si="100"/>
        <v>Carol</v>
      </c>
      <c r="T300" s="7" t="str">
        <f t="shared" si="101"/>
        <v>20171013</v>
      </c>
      <c r="U300" s="7">
        <f t="shared" si="102"/>
        <v>1143</v>
      </c>
      <c r="V300" s="8">
        <f t="shared" si="103"/>
        <v>43021</v>
      </c>
    </row>
    <row r="301" spans="1:22">
      <c r="A301" s="3">
        <f t="shared" si="84"/>
        <v>299</v>
      </c>
      <c r="B301" t="s">
        <v>305</v>
      </c>
      <c r="C301">
        <f t="shared" si="85"/>
        <v>31</v>
      </c>
      <c r="D301" t="str">
        <f t="shared" si="86"/>
        <v xml:space="preserve">/////PR:Clothing__SP:Barney20171019    $0 </v>
      </c>
      <c r="E301">
        <f t="shared" si="87"/>
        <v>32</v>
      </c>
      <c r="F301" t="str">
        <f t="shared" si="88"/>
        <v xml:space="preserve">/////PR:Clothing__SP:Barney20171019    $0 </v>
      </c>
      <c r="G301" t="str">
        <f t="shared" si="89"/>
        <v xml:space="preserve">PR:Clothing__SP:Barney20171019    $0 </v>
      </c>
      <c r="H301" t="str">
        <f t="shared" si="90"/>
        <v xml:space="preserve">PR:Clothing  SP:Barney20171019    $0 </v>
      </c>
      <c r="I301" t="str">
        <f t="shared" si="91"/>
        <v>PR:Clothing SP:Barney20171019 $0</v>
      </c>
      <c r="J301">
        <f t="shared" si="92"/>
        <v>32</v>
      </c>
      <c r="K301">
        <f t="shared" si="93"/>
        <v>48</v>
      </c>
      <c r="L301" t="str">
        <f t="shared" si="94"/>
        <v>Clothing SP:Barney20171019 $0</v>
      </c>
      <c r="M301" t="str">
        <f t="shared" si="95"/>
        <v>Clothing Barney20171019 $0</v>
      </c>
      <c r="N301" s="1" t="str">
        <f t="shared" si="96"/>
        <v>Clothing Barney 20171019 $0</v>
      </c>
      <c r="O301" s="9">
        <f t="shared" si="104"/>
        <v>9</v>
      </c>
      <c r="P301" s="9">
        <f t="shared" si="97"/>
        <v>16</v>
      </c>
      <c r="Q301" s="10">
        <f t="shared" si="98"/>
        <v>25</v>
      </c>
      <c r="R301" s="7" t="str">
        <f t="shared" si="99"/>
        <v>Clothing</v>
      </c>
      <c r="S301" s="7" t="str">
        <f t="shared" si="100"/>
        <v>Barney</v>
      </c>
      <c r="T301" s="7" t="str">
        <f t="shared" si="101"/>
        <v>20171019</v>
      </c>
      <c r="U301" s="7">
        <f t="shared" si="102"/>
        <v>0</v>
      </c>
      <c r="V301" s="8">
        <f t="shared" si="103"/>
        <v>43027</v>
      </c>
    </row>
    <row r="302" spans="1:22">
      <c r="A302" s="3">
        <f t="shared" si="84"/>
        <v>300</v>
      </c>
      <c r="B302" t="s">
        <v>306</v>
      </c>
      <c r="C302">
        <f t="shared" si="85"/>
        <v>29</v>
      </c>
      <c r="D302" t="str">
        <f t="shared" si="86"/>
        <v xml:space="preserve">//PR:Music__SP:Barney20171023  $984     </v>
      </c>
      <c r="E302">
        <f t="shared" si="87"/>
        <v>32</v>
      </c>
      <c r="F302" t="str">
        <f t="shared" si="88"/>
        <v xml:space="preserve">//PR:Music__SP:Barney20171023  $984     </v>
      </c>
      <c r="G302" t="str">
        <f t="shared" si="89"/>
        <v xml:space="preserve">PR:Music__SP:Barney20171023  $984     </v>
      </c>
      <c r="H302" t="str">
        <f t="shared" si="90"/>
        <v xml:space="preserve">PR:Music  SP:Barney20171023  $984     </v>
      </c>
      <c r="I302" t="str">
        <f t="shared" si="91"/>
        <v>PR:Music SP:Barney20171023 $984</v>
      </c>
      <c r="J302">
        <f t="shared" si="92"/>
        <v>31</v>
      </c>
      <c r="K302">
        <f t="shared" si="93"/>
        <v>52</v>
      </c>
      <c r="L302" t="str">
        <f t="shared" si="94"/>
        <v>Music SP:Barney20171023 $984</v>
      </c>
      <c r="M302" t="str">
        <f t="shared" si="95"/>
        <v>Music Barney20171023 $984</v>
      </c>
      <c r="N302" s="1" t="str">
        <f t="shared" si="96"/>
        <v>Music Barney 20171023 $984</v>
      </c>
      <c r="O302" s="9">
        <f t="shared" si="104"/>
        <v>6</v>
      </c>
      <c r="P302" s="9">
        <f t="shared" si="97"/>
        <v>13</v>
      </c>
      <c r="Q302" s="10">
        <f t="shared" si="98"/>
        <v>22</v>
      </c>
      <c r="R302" s="7" t="str">
        <f t="shared" si="99"/>
        <v>Music</v>
      </c>
      <c r="S302" s="7" t="str">
        <f t="shared" si="100"/>
        <v>Barney</v>
      </c>
      <c r="T302" s="7" t="str">
        <f t="shared" si="101"/>
        <v>20171023</v>
      </c>
      <c r="U302" s="7">
        <f t="shared" si="102"/>
        <v>984</v>
      </c>
      <c r="V302" s="8">
        <f t="shared" si="103"/>
        <v>43031</v>
      </c>
    </row>
    <row r="303" spans="1:22">
      <c r="A303" s="3">
        <f t="shared" si="84"/>
        <v>301</v>
      </c>
      <c r="B303" t="s">
        <v>307</v>
      </c>
      <c r="C303">
        <f t="shared" si="85"/>
        <v>31</v>
      </c>
      <c r="D303" t="str">
        <f t="shared" si="86"/>
        <v xml:space="preserve">//PR:Books__SP:Barney20171019 $604    </v>
      </c>
      <c r="E303">
        <f t="shared" si="87"/>
        <v>32</v>
      </c>
      <c r="F303" t="str">
        <f t="shared" si="88"/>
        <v xml:space="preserve">//PR:Books__SP:Barney20171019 $604    </v>
      </c>
      <c r="G303" t="str">
        <f t="shared" si="89"/>
        <v xml:space="preserve">PR:Books__SP:Barney20171019 $604    </v>
      </c>
      <c r="H303" t="str">
        <f t="shared" si="90"/>
        <v xml:space="preserve">PR:Books  SP:Barney20171019 $604    </v>
      </c>
      <c r="I303" t="str">
        <f t="shared" si="91"/>
        <v>PR:Books SP:Barney20171019 $604</v>
      </c>
      <c r="J303">
        <f t="shared" si="92"/>
        <v>31</v>
      </c>
      <c r="K303">
        <f t="shared" si="93"/>
        <v>52</v>
      </c>
      <c r="L303" t="str">
        <f t="shared" si="94"/>
        <v>Books SP:Barney20171019 $604</v>
      </c>
      <c r="M303" t="str">
        <f t="shared" si="95"/>
        <v>Books Barney20171019 $604</v>
      </c>
      <c r="N303" s="1" t="str">
        <f t="shared" si="96"/>
        <v>Books Barney 20171019 $604</v>
      </c>
      <c r="O303" s="9">
        <f t="shared" si="104"/>
        <v>6</v>
      </c>
      <c r="P303" s="9">
        <f t="shared" si="97"/>
        <v>13</v>
      </c>
      <c r="Q303" s="10">
        <f t="shared" si="98"/>
        <v>22</v>
      </c>
      <c r="R303" s="7" t="str">
        <f t="shared" si="99"/>
        <v>Books</v>
      </c>
      <c r="S303" s="7" t="str">
        <f t="shared" si="100"/>
        <v>Barney</v>
      </c>
      <c r="T303" s="7" t="str">
        <f t="shared" si="101"/>
        <v>20171019</v>
      </c>
      <c r="U303" s="7">
        <f t="shared" si="102"/>
        <v>604</v>
      </c>
      <c r="V303" s="8">
        <f t="shared" si="103"/>
        <v>43027</v>
      </c>
    </row>
    <row r="304" spans="1:22">
      <c r="A304" s="3">
        <f t="shared" si="84"/>
        <v>302</v>
      </c>
      <c r="B304" t="s">
        <v>308</v>
      </c>
      <c r="C304">
        <f t="shared" si="85"/>
        <v>29</v>
      </c>
      <c r="D304" t="str">
        <f t="shared" si="86"/>
        <v xml:space="preserve">//PR:Games_____SP:Barney20171013   $1349    </v>
      </c>
      <c r="E304">
        <f t="shared" si="87"/>
        <v>32</v>
      </c>
      <c r="F304" t="str">
        <f t="shared" si="88"/>
        <v xml:space="preserve">//PR:Games_____SP:Barney20171013   $1349    </v>
      </c>
      <c r="G304" t="str">
        <f t="shared" si="89"/>
        <v xml:space="preserve">PR:Games_____SP:Barney20171013   $1349    </v>
      </c>
      <c r="H304" t="str">
        <f t="shared" si="90"/>
        <v xml:space="preserve">PR:Games     SP:Barney20171013   $1349    </v>
      </c>
      <c r="I304" t="str">
        <f t="shared" si="91"/>
        <v>PR:Games SP:Barney20171013 $1349</v>
      </c>
      <c r="J304">
        <f t="shared" si="92"/>
        <v>32</v>
      </c>
      <c r="K304">
        <f t="shared" si="93"/>
        <v>57</v>
      </c>
      <c r="L304" t="str">
        <f t="shared" si="94"/>
        <v>Games SP:Barney20171013 $1349</v>
      </c>
      <c r="M304" t="str">
        <f t="shared" si="95"/>
        <v>Games Barney20171013 $1349</v>
      </c>
      <c r="N304" s="1" t="str">
        <f t="shared" si="96"/>
        <v>Games Barney 20171013 $1349</v>
      </c>
      <c r="O304" s="9">
        <f t="shared" si="104"/>
        <v>6</v>
      </c>
      <c r="P304" s="9">
        <f t="shared" si="97"/>
        <v>13</v>
      </c>
      <c r="Q304" s="10">
        <f t="shared" si="98"/>
        <v>22</v>
      </c>
      <c r="R304" s="7" t="str">
        <f t="shared" si="99"/>
        <v>Games</v>
      </c>
      <c r="S304" s="7" t="str">
        <f t="shared" si="100"/>
        <v>Barney</v>
      </c>
      <c r="T304" s="7" t="str">
        <f t="shared" si="101"/>
        <v>20171013</v>
      </c>
      <c r="U304" s="7">
        <f t="shared" si="102"/>
        <v>1349</v>
      </c>
      <c r="V304" s="8">
        <f t="shared" si="103"/>
        <v>43021</v>
      </c>
    </row>
    <row r="305" spans="1:22">
      <c r="A305" s="3">
        <f t="shared" si="84"/>
        <v>303</v>
      </c>
      <c r="B305" t="s">
        <v>309</v>
      </c>
      <c r="C305">
        <f t="shared" si="85"/>
        <v>30</v>
      </c>
      <c r="D305" t="str">
        <f t="shared" si="86"/>
        <v xml:space="preserve">//PR:Books_SP:David20171015  $852  </v>
      </c>
      <c r="E305">
        <f t="shared" si="87"/>
        <v>32</v>
      </c>
      <c r="F305" t="str">
        <f t="shared" si="88"/>
        <v xml:space="preserve">//PR:Books_SP:David20171015  $852  </v>
      </c>
      <c r="G305" t="str">
        <f t="shared" si="89"/>
        <v xml:space="preserve">PR:Books_SP:David20171015  $852  </v>
      </c>
      <c r="H305" t="str">
        <f t="shared" si="90"/>
        <v xml:space="preserve">PR:Books SP:David20171015  $852  </v>
      </c>
      <c r="I305" t="str">
        <f t="shared" si="91"/>
        <v>PR:Books SP:David20171015 $852</v>
      </c>
      <c r="J305">
        <f t="shared" si="92"/>
        <v>30</v>
      </c>
      <c r="K305">
        <f t="shared" si="93"/>
        <v>50</v>
      </c>
      <c r="L305" t="str">
        <f t="shared" si="94"/>
        <v>Books SP:David20171015 $852</v>
      </c>
      <c r="M305" t="str">
        <f t="shared" si="95"/>
        <v>Books David20171015 $852</v>
      </c>
      <c r="N305" s="1" t="str">
        <f t="shared" si="96"/>
        <v>Books David 20171015 $852</v>
      </c>
      <c r="O305" s="9">
        <f t="shared" si="104"/>
        <v>6</v>
      </c>
      <c r="P305" s="9">
        <f t="shared" si="97"/>
        <v>12</v>
      </c>
      <c r="Q305" s="10">
        <f t="shared" si="98"/>
        <v>21</v>
      </c>
      <c r="R305" s="7" t="str">
        <f t="shared" si="99"/>
        <v>Books</v>
      </c>
      <c r="S305" s="7" t="str">
        <f t="shared" si="100"/>
        <v>David</v>
      </c>
      <c r="T305" s="7" t="str">
        <f t="shared" si="101"/>
        <v>20171015</v>
      </c>
      <c r="U305" s="7">
        <f t="shared" si="102"/>
        <v>852</v>
      </c>
      <c r="V305" s="8">
        <f t="shared" si="103"/>
        <v>43023</v>
      </c>
    </row>
    <row r="306" spans="1:22">
      <c r="A306" s="3">
        <f t="shared" si="84"/>
        <v>304</v>
      </c>
      <c r="B306" t="s">
        <v>310</v>
      </c>
      <c r="C306">
        <f t="shared" si="85"/>
        <v>29</v>
      </c>
      <c r="D306" t="str">
        <f t="shared" si="86"/>
        <v xml:space="preserve">/PR:Books__SP:Barney20171014 $621     </v>
      </c>
      <c r="E306">
        <f t="shared" si="87"/>
        <v>32</v>
      </c>
      <c r="F306" t="str">
        <f t="shared" si="88"/>
        <v xml:space="preserve">/PR:Books__SP:Barney20171014 $621     </v>
      </c>
      <c r="G306" t="str">
        <f t="shared" si="89"/>
        <v xml:space="preserve">PR:Books__SP:Barney20171014 $621     </v>
      </c>
      <c r="H306" t="str">
        <f t="shared" si="90"/>
        <v xml:space="preserve">PR:Books  SP:Barney20171014 $621     </v>
      </c>
      <c r="I306" t="str">
        <f t="shared" si="91"/>
        <v>PR:Books SP:Barney20171014 $621</v>
      </c>
      <c r="J306">
        <f t="shared" si="92"/>
        <v>31</v>
      </c>
      <c r="K306">
        <f t="shared" si="93"/>
        <v>49</v>
      </c>
      <c r="L306" t="str">
        <f t="shared" si="94"/>
        <v>Books SP:Barney20171014 $621</v>
      </c>
      <c r="M306" t="str">
        <f t="shared" si="95"/>
        <v>Books Barney20171014 $621</v>
      </c>
      <c r="N306" s="1" t="str">
        <f t="shared" si="96"/>
        <v>Books Barney 20171014 $621</v>
      </c>
      <c r="O306" s="9">
        <f t="shared" si="104"/>
        <v>6</v>
      </c>
      <c r="P306" s="9">
        <f t="shared" si="97"/>
        <v>13</v>
      </c>
      <c r="Q306" s="10">
        <f t="shared" si="98"/>
        <v>22</v>
      </c>
      <c r="R306" s="7" t="str">
        <f t="shared" si="99"/>
        <v>Books</v>
      </c>
      <c r="S306" s="7" t="str">
        <f t="shared" si="100"/>
        <v>Barney</v>
      </c>
      <c r="T306" s="7" t="str">
        <f t="shared" si="101"/>
        <v>20171014</v>
      </c>
      <c r="U306" s="7">
        <f t="shared" si="102"/>
        <v>621</v>
      </c>
      <c r="V306" s="8">
        <f t="shared" si="103"/>
        <v>43022</v>
      </c>
    </row>
    <row r="307" spans="1:22">
      <c r="A307" s="3">
        <f t="shared" si="84"/>
        <v>305</v>
      </c>
      <c r="B307" t="s">
        <v>311</v>
      </c>
      <c r="C307">
        <f t="shared" si="85"/>
        <v>28</v>
      </c>
      <c r="D307" t="str">
        <f t="shared" si="86"/>
        <v xml:space="preserve">//PR:Books____SP:Alice20171026   $950  </v>
      </c>
      <c r="E307">
        <f t="shared" si="87"/>
        <v>32</v>
      </c>
      <c r="F307" t="str">
        <f t="shared" si="88"/>
        <v xml:space="preserve">//PR:Books____SP:Alice20171026   $950  </v>
      </c>
      <c r="G307" t="str">
        <f t="shared" si="89"/>
        <v xml:space="preserve">PR:Books____SP:Alice20171026   $950  </v>
      </c>
      <c r="H307" t="str">
        <f t="shared" si="90"/>
        <v xml:space="preserve">PR:Books    SP:Alice20171026   $950  </v>
      </c>
      <c r="I307" t="str">
        <f t="shared" si="91"/>
        <v>PR:Books SP:Alice20171026 $950</v>
      </c>
      <c r="J307">
        <f t="shared" si="92"/>
        <v>30</v>
      </c>
      <c r="K307">
        <f t="shared" si="93"/>
        <v>48</v>
      </c>
      <c r="L307" t="str">
        <f t="shared" si="94"/>
        <v>Books SP:Alice20171026 $950</v>
      </c>
      <c r="M307" t="str">
        <f t="shared" si="95"/>
        <v>Books Alice20171026 $950</v>
      </c>
      <c r="N307" s="1" t="str">
        <f t="shared" si="96"/>
        <v>Books Alice 20171026 $950</v>
      </c>
      <c r="O307" s="9">
        <f t="shared" si="104"/>
        <v>6</v>
      </c>
      <c r="P307" s="9">
        <f t="shared" si="97"/>
        <v>12</v>
      </c>
      <c r="Q307" s="10">
        <f t="shared" si="98"/>
        <v>21</v>
      </c>
      <c r="R307" s="7" t="str">
        <f t="shared" si="99"/>
        <v>Books</v>
      </c>
      <c r="S307" s="7" t="str">
        <f t="shared" si="100"/>
        <v>Alice</v>
      </c>
      <c r="T307" s="7" t="str">
        <f t="shared" si="101"/>
        <v>20171026</v>
      </c>
      <c r="U307" s="7">
        <f t="shared" si="102"/>
        <v>950</v>
      </c>
      <c r="V307" s="8">
        <f t="shared" si="103"/>
        <v>43034</v>
      </c>
    </row>
    <row r="308" spans="1:22">
      <c r="A308" s="3">
        <f t="shared" si="84"/>
        <v>306</v>
      </c>
      <c r="B308" t="s">
        <v>312</v>
      </c>
      <c r="C308">
        <f t="shared" si="85"/>
        <v>28</v>
      </c>
      <c r="D308" t="str">
        <f t="shared" si="86"/>
        <v xml:space="preserve">////PR:Books_SP:Carol20171020 $713  </v>
      </c>
      <c r="E308">
        <f t="shared" si="87"/>
        <v>32</v>
      </c>
      <c r="F308" t="str">
        <f t="shared" si="88"/>
        <v xml:space="preserve">////PR:Books_SP:Carol20171020 $713  </v>
      </c>
      <c r="G308" t="str">
        <f t="shared" si="89"/>
        <v xml:space="preserve">PR:Books_SP:Carol20171020 $713  </v>
      </c>
      <c r="H308" t="str">
        <f t="shared" si="90"/>
        <v xml:space="preserve">PR:Books SP:Carol20171020 $713  </v>
      </c>
      <c r="I308" t="str">
        <f t="shared" si="91"/>
        <v>PR:Books SP:Carol20171020 $713</v>
      </c>
      <c r="J308">
        <f t="shared" si="92"/>
        <v>30</v>
      </c>
      <c r="K308">
        <f t="shared" si="93"/>
        <v>51</v>
      </c>
      <c r="L308" t="str">
        <f t="shared" si="94"/>
        <v>Books SP:Carol20171020 $713</v>
      </c>
      <c r="M308" t="str">
        <f t="shared" si="95"/>
        <v>Books Carol20171020 $713</v>
      </c>
      <c r="N308" s="1" t="str">
        <f t="shared" si="96"/>
        <v>Books Carol 20171020 $713</v>
      </c>
      <c r="O308" s="9">
        <f t="shared" si="104"/>
        <v>6</v>
      </c>
      <c r="P308" s="9">
        <f t="shared" si="97"/>
        <v>12</v>
      </c>
      <c r="Q308" s="10">
        <f t="shared" si="98"/>
        <v>21</v>
      </c>
      <c r="R308" s="7" t="str">
        <f t="shared" si="99"/>
        <v>Books</v>
      </c>
      <c r="S308" s="7" t="str">
        <f t="shared" si="100"/>
        <v>Carol</v>
      </c>
      <c r="T308" s="7" t="str">
        <f t="shared" si="101"/>
        <v>20171020</v>
      </c>
      <c r="U308" s="7">
        <f t="shared" si="102"/>
        <v>713</v>
      </c>
      <c r="V308" s="8">
        <f t="shared" si="103"/>
        <v>43028</v>
      </c>
    </row>
    <row r="309" spans="1:22">
      <c r="A309" s="3">
        <f t="shared" si="84"/>
        <v>307</v>
      </c>
      <c r="B309" t="s">
        <v>313</v>
      </c>
      <c r="C309">
        <f t="shared" si="85"/>
        <v>29</v>
      </c>
      <c r="D309" t="str">
        <f t="shared" si="86"/>
        <v xml:space="preserve">///PR:Clothing___SP:Barney2017105    $999 </v>
      </c>
      <c r="E309">
        <f t="shared" si="87"/>
        <v>32</v>
      </c>
      <c r="F309" t="str">
        <f t="shared" si="88"/>
        <v xml:space="preserve">///PR:Clothing___SP:Barney2017105    $999 </v>
      </c>
      <c r="G309" t="str">
        <f t="shared" si="89"/>
        <v xml:space="preserve">PR:Clothing___SP:Barney2017105    $999 </v>
      </c>
      <c r="H309" t="str">
        <f t="shared" si="90"/>
        <v xml:space="preserve">PR:Clothing   SP:Barney2017105    $999 </v>
      </c>
      <c r="I309" t="str">
        <f t="shared" si="91"/>
        <v>PR:Clothing SP:Barney2017105 $999</v>
      </c>
      <c r="J309">
        <f t="shared" si="92"/>
        <v>33</v>
      </c>
      <c r="K309">
        <f t="shared" si="93"/>
        <v>57</v>
      </c>
      <c r="L309" t="str">
        <f t="shared" si="94"/>
        <v>Clothing SP:Barney2017105 $999</v>
      </c>
      <c r="M309" t="str">
        <f t="shared" si="95"/>
        <v>Clothing Barney2017105 $999</v>
      </c>
      <c r="N309" s="1" t="str">
        <f t="shared" si="96"/>
        <v>Clothing Barney 2017105 $999</v>
      </c>
      <c r="O309" s="9">
        <f t="shared" si="104"/>
        <v>9</v>
      </c>
      <c r="P309" s="9">
        <f t="shared" si="97"/>
        <v>16</v>
      </c>
      <c r="Q309" s="10">
        <f t="shared" si="98"/>
        <v>24</v>
      </c>
      <c r="R309" s="7" t="str">
        <f t="shared" si="99"/>
        <v>Clothing</v>
      </c>
      <c r="S309" s="7" t="str">
        <f t="shared" si="100"/>
        <v>Barney</v>
      </c>
      <c r="T309" s="7" t="str">
        <f t="shared" si="101"/>
        <v>2017105</v>
      </c>
      <c r="U309" s="7">
        <f t="shared" si="102"/>
        <v>999</v>
      </c>
      <c r="V309" s="8">
        <f t="shared" si="103"/>
        <v>43013</v>
      </c>
    </row>
    <row r="310" spans="1:22">
      <c r="A310" s="3">
        <f t="shared" si="84"/>
        <v>308</v>
      </c>
      <c r="B310" t="s">
        <v>314</v>
      </c>
      <c r="C310">
        <f t="shared" si="85"/>
        <v>31</v>
      </c>
      <c r="D310" t="str">
        <f t="shared" si="86"/>
        <v xml:space="preserve">//PR:Clothing____SP:Carol20171011     $1635     </v>
      </c>
      <c r="E310">
        <f t="shared" si="87"/>
        <v>32</v>
      </c>
      <c r="F310" t="str">
        <f t="shared" si="88"/>
        <v xml:space="preserve">//PR:Clothing____SP:Carol20171011     $1635     </v>
      </c>
      <c r="G310" t="str">
        <f t="shared" si="89"/>
        <v xml:space="preserve">PR:Clothing____SP:Carol20171011     $1635     </v>
      </c>
      <c r="H310" t="str">
        <f t="shared" si="90"/>
        <v xml:space="preserve">PR:Clothing    SP:Carol20171011     $1635     </v>
      </c>
      <c r="I310" t="str">
        <f t="shared" si="91"/>
        <v>PR:Clothing SP:Carol20171011 $1635</v>
      </c>
      <c r="J310">
        <f t="shared" si="92"/>
        <v>34</v>
      </c>
      <c r="K310">
        <f t="shared" si="93"/>
        <v>53</v>
      </c>
      <c r="L310" t="str">
        <f t="shared" si="94"/>
        <v>Clothing SP:Carol20171011 $1635</v>
      </c>
      <c r="M310" t="str">
        <f t="shared" si="95"/>
        <v>Clothing Carol20171011 $1635</v>
      </c>
      <c r="N310" s="1" t="str">
        <f t="shared" si="96"/>
        <v>Clothing Carol 20171011 $1635</v>
      </c>
      <c r="O310" s="9">
        <f t="shared" si="104"/>
        <v>9</v>
      </c>
      <c r="P310" s="9">
        <f t="shared" si="97"/>
        <v>15</v>
      </c>
      <c r="Q310" s="10">
        <f t="shared" si="98"/>
        <v>24</v>
      </c>
      <c r="R310" s="7" t="str">
        <f t="shared" si="99"/>
        <v>Clothing</v>
      </c>
      <c r="S310" s="7" t="str">
        <f t="shared" si="100"/>
        <v>Carol</v>
      </c>
      <c r="T310" s="7" t="str">
        <f t="shared" si="101"/>
        <v>20171011</v>
      </c>
      <c r="U310" s="7">
        <f t="shared" si="102"/>
        <v>1635</v>
      </c>
      <c r="V310" s="8">
        <f t="shared" si="103"/>
        <v>43019</v>
      </c>
    </row>
    <row r="311" spans="1:22">
      <c r="A311" s="3">
        <f t="shared" si="84"/>
        <v>309</v>
      </c>
      <c r="B311" t="s">
        <v>315</v>
      </c>
      <c r="C311">
        <f t="shared" si="85"/>
        <v>31</v>
      </c>
      <c r="D311" t="str">
        <f t="shared" si="86"/>
        <v xml:space="preserve">////PR:Books_SP:Alice20171020 $940   </v>
      </c>
      <c r="E311">
        <f t="shared" si="87"/>
        <v>32</v>
      </c>
      <c r="F311" t="str">
        <f t="shared" si="88"/>
        <v xml:space="preserve">////PR:Books_SP:Alice20171020 $940   </v>
      </c>
      <c r="G311" t="str">
        <f t="shared" si="89"/>
        <v xml:space="preserve">PR:Books_SP:Alice20171020 $940   </v>
      </c>
      <c r="H311" t="str">
        <f t="shared" si="90"/>
        <v xml:space="preserve">PR:Books SP:Alice20171020 $940   </v>
      </c>
      <c r="I311" t="str">
        <f t="shared" si="91"/>
        <v>PR:Books SP:Alice20171020 $940</v>
      </c>
      <c r="J311">
        <f t="shared" si="92"/>
        <v>30</v>
      </c>
      <c r="K311">
        <f t="shared" si="93"/>
        <v>48</v>
      </c>
      <c r="L311" t="str">
        <f t="shared" si="94"/>
        <v>Books SP:Alice20171020 $940</v>
      </c>
      <c r="M311" t="str">
        <f t="shared" si="95"/>
        <v>Books Alice20171020 $940</v>
      </c>
      <c r="N311" s="1" t="str">
        <f t="shared" si="96"/>
        <v>Books Alice 20171020 $940</v>
      </c>
      <c r="O311" s="9">
        <f t="shared" si="104"/>
        <v>6</v>
      </c>
      <c r="P311" s="9">
        <f t="shared" si="97"/>
        <v>12</v>
      </c>
      <c r="Q311" s="10">
        <f t="shared" si="98"/>
        <v>21</v>
      </c>
      <c r="R311" s="7" t="str">
        <f t="shared" si="99"/>
        <v>Books</v>
      </c>
      <c r="S311" s="7" t="str">
        <f t="shared" si="100"/>
        <v>Alice</v>
      </c>
      <c r="T311" s="7" t="str">
        <f t="shared" si="101"/>
        <v>20171020</v>
      </c>
      <c r="U311" s="7">
        <f t="shared" si="102"/>
        <v>940</v>
      </c>
      <c r="V311" s="8">
        <f t="shared" si="103"/>
        <v>43028</v>
      </c>
    </row>
    <row r="312" spans="1:22">
      <c r="A312" s="3">
        <f t="shared" si="84"/>
        <v>310</v>
      </c>
      <c r="B312" t="s">
        <v>316</v>
      </c>
      <c r="C312">
        <f t="shared" si="85"/>
        <v>31</v>
      </c>
      <c r="D312" t="str">
        <f t="shared" si="86"/>
        <v xml:space="preserve">////PR:Music__SP:Alice20171018   $1071     </v>
      </c>
      <c r="E312">
        <f t="shared" si="87"/>
        <v>32</v>
      </c>
      <c r="F312" t="str">
        <f t="shared" si="88"/>
        <v xml:space="preserve">////PR:Music__SP:Alice20171018   $1071     </v>
      </c>
      <c r="G312" t="str">
        <f t="shared" si="89"/>
        <v xml:space="preserve">PR:Music__SP:Alice20171018   $1071     </v>
      </c>
      <c r="H312" t="str">
        <f t="shared" si="90"/>
        <v xml:space="preserve">PR:Music  SP:Alice20171018   $1071     </v>
      </c>
      <c r="I312" t="str">
        <f t="shared" si="91"/>
        <v>PR:Music SP:Alice20171018 $1071</v>
      </c>
      <c r="J312">
        <f t="shared" si="92"/>
        <v>31</v>
      </c>
      <c r="K312">
        <f t="shared" si="93"/>
        <v>49</v>
      </c>
      <c r="L312" t="str">
        <f t="shared" si="94"/>
        <v>Music SP:Alice20171018 $1071</v>
      </c>
      <c r="M312" t="str">
        <f t="shared" si="95"/>
        <v>Music Alice20171018 $1071</v>
      </c>
      <c r="N312" s="1" t="str">
        <f t="shared" si="96"/>
        <v>Music Alice 20171018 $1071</v>
      </c>
      <c r="O312" s="9">
        <f t="shared" si="104"/>
        <v>6</v>
      </c>
      <c r="P312" s="9">
        <f t="shared" si="97"/>
        <v>12</v>
      </c>
      <c r="Q312" s="10">
        <f t="shared" si="98"/>
        <v>21</v>
      </c>
      <c r="R312" s="7" t="str">
        <f t="shared" si="99"/>
        <v>Music</v>
      </c>
      <c r="S312" s="7" t="str">
        <f t="shared" si="100"/>
        <v>Alice</v>
      </c>
      <c r="T312" s="7" t="str">
        <f t="shared" si="101"/>
        <v>20171018</v>
      </c>
      <c r="U312" s="7">
        <f t="shared" si="102"/>
        <v>1071</v>
      </c>
      <c r="V312" s="8">
        <f t="shared" si="103"/>
        <v>43026</v>
      </c>
    </row>
    <row r="313" spans="1:22">
      <c r="A313" s="3">
        <f t="shared" si="84"/>
        <v>311</v>
      </c>
      <c r="B313" t="s">
        <v>317</v>
      </c>
      <c r="C313">
        <f t="shared" si="85"/>
        <v>31</v>
      </c>
      <c r="D313" t="str">
        <f t="shared" si="86"/>
        <v xml:space="preserve">//PR:Music__SP:David2017104  $0   </v>
      </c>
      <c r="E313">
        <f t="shared" si="87"/>
        <v>32</v>
      </c>
      <c r="F313" t="str">
        <f t="shared" si="88"/>
        <v xml:space="preserve">//PR:Music__SP:David2017104  $0   </v>
      </c>
      <c r="G313" t="str">
        <f t="shared" si="89"/>
        <v xml:space="preserve">PR:Music__SP:David2017104  $0   </v>
      </c>
      <c r="H313" t="str">
        <f t="shared" si="90"/>
        <v xml:space="preserve">PR:Music  SP:David2017104  $0   </v>
      </c>
      <c r="I313" t="str">
        <f t="shared" si="91"/>
        <v>PR:Music SP:David2017104 $0</v>
      </c>
      <c r="J313">
        <f t="shared" si="92"/>
        <v>27</v>
      </c>
      <c r="K313">
        <f t="shared" si="93"/>
        <v>48</v>
      </c>
      <c r="L313" t="str">
        <f t="shared" si="94"/>
        <v>Music SP:David2017104 $0</v>
      </c>
      <c r="M313" t="str">
        <f t="shared" si="95"/>
        <v>Music David2017104 $0</v>
      </c>
      <c r="N313" s="1" t="str">
        <f t="shared" si="96"/>
        <v>Music David 2017104 $0</v>
      </c>
      <c r="O313" s="9">
        <f t="shared" si="104"/>
        <v>6</v>
      </c>
      <c r="P313" s="9">
        <f t="shared" si="97"/>
        <v>12</v>
      </c>
      <c r="Q313" s="10">
        <f t="shared" si="98"/>
        <v>20</v>
      </c>
      <c r="R313" s="7" t="str">
        <f t="shared" si="99"/>
        <v>Music</v>
      </c>
      <c r="S313" s="7" t="str">
        <f t="shared" si="100"/>
        <v>David</v>
      </c>
      <c r="T313" s="7" t="str">
        <f t="shared" si="101"/>
        <v>2017104</v>
      </c>
      <c r="U313" s="7">
        <f t="shared" si="102"/>
        <v>0</v>
      </c>
      <c r="V313" s="8">
        <f t="shared" si="103"/>
        <v>43012</v>
      </c>
    </row>
    <row r="314" spans="1:22">
      <c r="A314" s="3">
        <f t="shared" si="84"/>
        <v>312</v>
      </c>
      <c r="B314" t="s">
        <v>318</v>
      </c>
      <c r="C314">
        <f t="shared" si="85"/>
        <v>30</v>
      </c>
      <c r="D314" t="str">
        <f t="shared" si="86"/>
        <v xml:space="preserve">////PR:Games____SP:David20171010  $1870  </v>
      </c>
      <c r="E314">
        <f t="shared" si="87"/>
        <v>32</v>
      </c>
      <c r="F314" t="str">
        <f t="shared" si="88"/>
        <v xml:space="preserve">////PR:Games____SP:David20171010  $1870  </v>
      </c>
      <c r="G314" t="str">
        <f t="shared" si="89"/>
        <v xml:space="preserve">PR:Games____SP:David20171010  $1870  </v>
      </c>
      <c r="H314" t="str">
        <f t="shared" si="90"/>
        <v xml:space="preserve">PR:Games    SP:David20171010  $1870  </v>
      </c>
      <c r="I314" t="str">
        <f t="shared" si="91"/>
        <v>PR:Games SP:David20171010 $1870</v>
      </c>
      <c r="J314">
        <f t="shared" si="92"/>
        <v>31</v>
      </c>
      <c r="K314">
        <f t="shared" si="93"/>
        <v>48</v>
      </c>
      <c r="L314" t="str">
        <f t="shared" si="94"/>
        <v>Games SP:David20171010 $1870</v>
      </c>
      <c r="M314" t="str">
        <f t="shared" si="95"/>
        <v>Games David20171010 $1870</v>
      </c>
      <c r="N314" s="1" t="str">
        <f t="shared" si="96"/>
        <v>Games David 20171010 $1870</v>
      </c>
      <c r="O314" s="9">
        <f t="shared" si="104"/>
        <v>6</v>
      </c>
      <c r="P314" s="9">
        <f t="shared" si="97"/>
        <v>12</v>
      </c>
      <c r="Q314" s="10">
        <f t="shared" si="98"/>
        <v>21</v>
      </c>
      <c r="R314" s="7" t="str">
        <f t="shared" si="99"/>
        <v>Games</v>
      </c>
      <c r="S314" s="7" t="str">
        <f t="shared" si="100"/>
        <v>David</v>
      </c>
      <c r="T314" s="7" t="str">
        <f t="shared" si="101"/>
        <v>20171010</v>
      </c>
      <c r="U314" s="7">
        <f t="shared" si="102"/>
        <v>1870</v>
      </c>
      <c r="V314" s="8">
        <f t="shared" si="103"/>
        <v>43018</v>
      </c>
    </row>
    <row r="315" spans="1:22">
      <c r="A315" s="3">
        <f t="shared" si="84"/>
        <v>313</v>
      </c>
      <c r="B315" t="s">
        <v>319</v>
      </c>
      <c r="C315">
        <f t="shared" si="85"/>
        <v>29</v>
      </c>
      <c r="D315" t="str">
        <f t="shared" si="86"/>
        <v xml:space="preserve">///PR:Books__SP:Barney20171029 $764 </v>
      </c>
      <c r="E315">
        <f t="shared" si="87"/>
        <v>32</v>
      </c>
      <c r="F315" t="str">
        <f t="shared" si="88"/>
        <v xml:space="preserve">///PR:Books__SP:Barney20171029 $764 </v>
      </c>
      <c r="G315" t="str">
        <f t="shared" si="89"/>
        <v xml:space="preserve">PR:Books__SP:Barney20171029 $764 </v>
      </c>
      <c r="H315" t="str">
        <f t="shared" si="90"/>
        <v xml:space="preserve">PR:Books  SP:Barney20171029 $764 </v>
      </c>
      <c r="I315" t="str">
        <f t="shared" si="91"/>
        <v>PR:Books SP:Barney20171029 $764</v>
      </c>
      <c r="J315">
        <f t="shared" si="92"/>
        <v>31</v>
      </c>
      <c r="K315">
        <f t="shared" si="93"/>
        <v>52</v>
      </c>
      <c r="L315" t="str">
        <f t="shared" si="94"/>
        <v>Books SP:Barney20171029 $764</v>
      </c>
      <c r="M315" t="str">
        <f t="shared" si="95"/>
        <v>Books Barney20171029 $764</v>
      </c>
      <c r="N315" s="1" t="str">
        <f t="shared" si="96"/>
        <v>Books Barney 20171029 $764</v>
      </c>
      <c r="O315" s="9">
        <f t="shared" si="104"/>
        <v>6</v>
      </c>
      <c r="P315" s="9">
        <f t="shared" si="97"/>
        <v>13</v>
      </c>
      <c r="Q315" s="10">
        <f t="shared" si="98"/>
        <v>22</v>
      </c>
      <c r="R315" s="7" t="str">
        <f t="shared" si="99"/>
        <v>Books</v>
      </c>
      <c r="S315" s="7" t="str">
        <f t="shared" si="100"/>
        <v>Barney</v>
      </c>
      <c r="T315" s="7" t="str">
        <f t="shared" si="101"/>
        <v>20171029</v>
      </c>
      <c r="U315" s="7">
        <f t="shared" si="102"/>
        <v>764</v>
      </c>
      <c r="V315" s="8">
        <f t="shared" si="103"/>
        <v>43037</v>
      </c>
    </row>
    <row r="316" spans="1:22">
      <c r="A316" s="3">
        <f t="shared" si="84"/>
        <v>314</v>
      </c>
      <c r="B316" t="s">
        <v>320</v>
      </c>
      <c r="C316">
        <f t="shared" si="85"/>
        <v>29</v>
      </c>
      <c r="D316" t="str">
        <f t="shared" si="86"/>
        <v xml:space="preserve">//PR:Clothing_____SP:David20171023   $1176 </v>
      </c>
      <c r="E316">
        <f t="shared" si="87"/>
        <v>32</v>
      </c>
      <c r="F316" t="str">
        <f t="shared" si="88"/>
        <v xml:space="preserve">//PR:Clothing_____SP:David20171023   $1176 </v>
      </c>
      <c r="G316" t="str">
        <f t="shared" si="89"/>
        <v xml:space="preserve">PR:Clothing_____SP:David20171023   $1176 </v>
      </c>
      <c r="H316" t="str">
        <f t="shared" si="90"/>
        <v xml:space="preserve">PR:Clothing     SP:David20171023   $1176 </v>
      </c>
      <c r="I316" t="str">
        <f t="shared" si="91"/>
        <v>PR:Clothing SP:David20171023 $1176</v>
      </c>
      <c r="J316">
        <f t="shared" si="92"/>
        <v>34</v>
      </c>
      <c r="K316">
        <f t="shared" si="93"/>
        <v>54</v>
      </c>
      <c r="L316" t="str">
        <f t="shared" si="94"/>
        <v>Clothing SP:David20171023 $1176</v>
      </c>
      <c r="M316" t="str">
        <f t="shared" si="95"/>
        <v>Clothing David20171023 $1176</v>
      </c>
      <c r="N316" s="1" t="str">
        <f t="shared" si="96"/>
        <v>Clothing David 20171023 $1176</v>
      </c>
      <c r="O316" s="9">
        <f t="shared" si="104"/>
        <v>9</v>
      </c>
      <c r="P316" s="9">
        <f t="shared" si="97"/>
        <v>15</v>
      </c>
      <c r="Q316" s="10">
        <f t="shared" si="98"/>
        <v>24</v>
      </c>
      <c r="R316" s="7" t="str">
        <f t="shared" si="99"/>
        <v>Clothing</v>
      </c>
      <c r="S316" s="7" t="str">
        <f t="shared" si="100"/>
        <v>David</v>
      </c>
      <c r="T316" s="7" t="str">
        <f t="shared" si="101"/>
        <v>20171023</v>
      </c>
      <c r="U316" s="7">
        <f t="shared" si="102"/>
        <v>1176</v>
      </c>
      <c r="V316" s="8">
        <f t="shared" si="103"/>
        <v>43031</v>
      </c>
    </row>
    <row r="317" spans="1:22">
      <c r="A317" s="3">
        <f t="shared" si="84"/>
        <v>315</v>
      </c>
      <c r="B317" t="s">
        <v>321</v>
      </c>
      <c r="C317">
        <f t="shared" si="85"/>
        <v>30</v>
      </c>
      <c r="D317" t="str">
        <f t="shared" si="86"/>
        <v xml:space="preserve">/PR:Clothing___SP:Alice20171024    $681 </v>
      </c>
      <c r="E317">
        <f t="shared" si="87"/>
        <v>32</v>
      </c>
      <c r="F317" t="str">
        <f t="shared" si="88"/>
        <v xml:space="preserve">/PR:Clothing___SP:Alice20171024    $681 </v>
      </c>
      <c r="G317" t="str">
        <f t="shared" si="89"/>
        <v xml:space="preserve">PR:Clothing___SP:Alice20171024    $681 </v>
      </c>
      <c r="H317" t="str">
        <f t="shared" si="90"/>
        <v xml:space="preserve">PR:Clothing   SP:Alice20171024    $681 </v>
      </c>
      <c r="I317" t="str">
        <f t="shared" si="91"/>
        <v>PR:Clothing SP:Alice20171024 $681</v>
      </c>
      <c r="J317">
        <f t="shared" si="92"/>
        <v>33</v>
      </c>
      <c r="K317">
        <f t="shared" si="93"/>
        <v>49</v>
      </c>
      <c r="L317" t="str">
        <f t="shared" si="94"/>
        <v>Clothing SP:Alice20171024 $681</v>
      </c>
      <c r="M317" t="str">
        <f t="shared" si="95"/>
        <v>Clothing Alice20171024 $681</v>
      </c>
      <c r="N317" s="1" t="str">
        <f t="shared" si="96"/>
        <v>Clothing Alice 20171024 $681</v>
      </c>
      <c r="O317" s="9">
        <f t="shared" si="104"/>
        <v>9</v>
      </c>
      <c r="P317" s="9">
        <f t="shared" si="97"/>
        <v>15</v>
      </c>
      <c r="Q317" s="10">
        <f t="shared" si="98"/>
        <v>24</v>
      </c>
      <c r="R317" s="7" t="str">
        <f t="shared" si="99"/>
        <v>Clothing</v>
      </c>
      <c r="S317" s="7" t="str">
        <f t="shared" si="100"/>
        <v>Alice</v>
      </c>
      <c r="T317" s="7" t="str">
        <f t="shared" si="101"/>
        <v>20171024</v>
      </c>
      <c r="U317" s="7">
        <f t="shared" si="102"/>
        <v>681</v>
      </c>
      <c r="V317" s="8">
        <f t="shared" si="103"/>
        <v>43032</v>
      </c>
    </row>
    <row r="318" spans="1:22">
      <c r="A318" s="3">
        <f t="shared" si="84"/>
        <v>316</v>
      </c>
      <c r="B318" t="s">
        <v>322</v>
      </c>
      <c r="C318">
        <f t="shared" si="85"/>
        <v>28</v>
      </c>
      <c r="D318" t="str">
        <f t="shared" si="86"/>
        <v xml:space="preserve">///PR:Music_____SP:Barney20171019    $1500  </v>
      </c>
      <c r="E318">
        <f t="shared" si="87"/>
        <v>32</v>
      </c>
      <c r="F318" t="str">
        <f t="shared" si="88"/>
        <v xml:space="preserve">///PR:Music_____SP:Barney20171019    $1500  </v>
      </c>
      <c r="G318" t="str">
        <f t="shared" si="89"/>
        <v xml:space="preserve">PR:Music_____SP:Barney20171019    $1500  </v>
      </c>
      <c r="H318" t="str">
        <f t="shared" si="90"/>
        <v xml:space="preserve">PR:Music     SP:Barney20171019    $1500  </v>
      </c>
      <c r="I318" t="str">
        <f t="shared" si="91"/>
        <v>PR:Music SP:Barney20171019 $1500</v>
      </c>
      <c r="J318">
        <f t="shared" si="92"/>
        <v>32</v>
      </c>
      <c r="K318">
        <f t="shared" si="93"/>
        <v>48</v>
      </c>
      <c r="L318" t="str">
        <f t="shared" si="94"/>
        <v>Music SP:Barney20171019 $1500</v>
      </c>
      <c r="M318" t="str">
        <f t="shared" si="95"/>
        <v>Music Barney20171019 $1500</v>
      </c>
      <c r="N318" s="1" t="str">
        <f t="shared" si="96"/>
        <v>Music Barney 20171019 $1500</v>
      </c>
      <c r="O318" s="9">
        <f t="shared" si="104"/>
        <v>6</v>
      </c>
      <c r="P318" s="9">
        <f t="shared" si="97"/>
        <v>13</v>
      </c>
      <c r="Q318" s="10">
        <f t="shared" si="98"/>
        <v>22</v>
      </c>
      <c r="R318" s="7" t="str">
        <f t="shared" si="99"/>
        <v>Music</v>
      </c>
      <c r="S318" s="7" t="str">
        <f t="shared" si="100"/>
        <v>Barney</v>
      </c>
      <c r="T318" s="7" t="str">
        <f t="shared" si="101"/>
        <v>20171019</v>
      </c>
      <c r="U318" s="7">
        <f t="shared" si="102"/>
        <v>1500</v>
      </c>
      <c r="V318" s="8">
        <f t="shared" si="103"/>
        <v>43027</v>
      </c>
    </row>
    <row r="319" spans="1:22">
      <c r="A319" s="3">
        <f t="shared" si="84"/>
        <v>317</v>
      </c>
      <c r="B319" t="s">
        <v>323</v>
      </c>
      <c r="C319">
        <f t="shared" si="85"/>
        <v>30</v>
      </c>
      <c r="D319" t="str">
        <f t="shared" si="86"/>
        <v xml:space="preserve">/////PR:Music__SP:David20171029 $0     </v>
      </c>
      <c r="E319">
        <f t="shared" si="87"/>
        <v>32</v>
      </c>
      <c r="F319" t="str">
        <f t="shared" si="88"/>
        <v xml:space="preserve">/////PR:Music__SP:David20171029 $0     </v>
      </c>
      <c r="G319" t="str">
        <f t="shared" si="89"/>
        <v xml:space="preserve">PR:Music__SP:David20171029 $0     </v>
      </c>
      <c r="H319" t="str">
        <f t="shared" si="90"/>
        <v xml:space="preserve">PR:Music  SP:David20171029 $0     </v>
      </c>
      <c r="I319" t="str">
        <f t="shared" si="91"/>
        <v>PR:Music SP:David20171029 $0</v>
      </c>
      <c r="J319">
        <f t="shared" si="92"/>
        <v>28</v>
      </c>
      <c r="K319">
        <f t="shared" si="93"/>
        <v>48</v>
      </c>
      <c r="L319" t="str">
        <f t="shared" si="94"/>
        <v>Music SP:David20171029 $0</v>
      </c>
      <c r="M319" t="str">
        <f t="shared" si="95"/>
        <v>Music David20171029 $0</v>
      </c>
      <c r="N319" s="1" t="str">
        <f t="shared" si="96"/>
        <v>Music David 20171029 $0</v>
      </c>
      <c r="O319" s="9">
        <f t="shared" si="104"/>
        <v>6</v>
      </c>
      <c r="P319" s="9">
        <f t="shared" si="97"/>
        <v>12</v>
      </c>
      <c r="Q319" s="10">
        <f t="shared" si="98"/>
        <v>21</v>
      </c>
      <c r="R319" s="7" t="str">
        <f t="shared" si="99"/>
        <v>Music</v>
      </c>
      <c r="S319" s="7" t="str">
        <f t="shared" si="100"/>
        <v>David</v>
      </c>
      <c r="T319" s="7" t="str">
        <f t="shared" si="101"/>
        <v>20171029</v>
      </c>
      <c r="U319" s="7">
        <f t="shared" si="102"/>
        <v>0</v>
      </c>
      <c r="V319" s="8">
        <f t="shared" si="103"/>
        <v>43037</v>
      </c>
    </row>
    <row r="320" spans="1:22">
      <c r="A320" s="3">
        <f t="shared" si="84"/>
        <v>318</v>
      </c>
      <c r="B320" t="s">
        <v>324</v>
      </c>
      <c r="C320">
        <f t="shared" si="85"/>
        <v>28</v>
      </c>
      <c r="D320" t="str">
        <f t="shared" si="86"/>
        <v xml:space="preserve">//PR:Music__SP:Alice20171017     $0 </v>
      </c>
      <c r="E320">
        <f t="shared" si="87"/>
        <v>32</v>
      </c>
      <c r="F320" t="str">
        <f t="shared" si="88"/>
        <v xml:space="preserve">//PR:Music__SP:Alice20171017     $0 </v>
      </c>
      <c r="G320" t="str">
        <f t="shared" si="89"/>
        <v xml:space="preserve">PR:Music__SP:Alice20171017     $0 </v>
      </c>
      <c r="H320" t="str">
        <f t="shared" si="90"/>
        <v xml:space="preserve">PR:Music  SP:Alice20171017     $0 </v>
      </c>
      <c r="I320" t="str">
        <f t="shared" si="91"/>
        <v>PR:Music SP:Alice20171017 $0</v>
      </c>
      <c r="J320">
        <f t="shared" si="92"/>
        <v>28</v>
      </c>
      <c r="K320">
        <f t="shared" si="93"/>
        <v>48</v>
      </c>
      <c r="L320" t="str">
        <f t="shared" si="94"/>
        <v>Music SP:Alice20171017 $0</v>
      </c>
      <c r="M320" t="str">
        <f t="shared" si="95"/>
        <v>Music Alice20171017 $0</v>
      </c>
      <c r="N320" s="1" t="str">
        <f t="shared" si="96"/>
        <v>Music Alice 20171017 $0</v>
      </c>
      <c r="O320" s="9">
        <f t="shared" si="104"/>
        <v>6</v>
      </c>
      <c r="P320" s="9">
        <f t="shared" si="97"/>
        <v>12</v>
      </c>
      <c r="Q320" s="10">
        <f t="shared" si="98"/>
        <v>21</v>
      </c>
      <c r="R320" s="7" t="str">
        <f t="shared" si="99"/>
        <v>Music</v>
      </c>
      <c r="S320" s="7" t="str">
        <f t="shared" si="100"/>
        <v>Alice</v>
      </c>
      <c r="T320" s="7" t="str">
        <f t="shared" si="101"/>
        <v>20171017</v>
      </c>
      <c r="U320" s="7">
        <f t="shared" si="102"/>
        <v>0</v>
      </c>
      <c r="V320" s="8">
        <f t="shared" si="103"/>
        <v>43025</v>
      </c>
    </row>
    <row r="321" spans="1:22">
      <c r="A321" s="3">
        <f t="shared" si="84"/>
        <v>319</v>
      </c>
      <c r="B321" t="s">
        <v>325</v>
      </c>
      <c r="C321">
        <f t="shared" si="85"/>
        <v>29</v>
      </c>
      <c r="D321" t="str">
        <f t="shared" si="86"/>
        <v xml:space="preserve">/////PR:Music_SP:Carol2017105     $1428  </v>
      </c>
      <c r="E321">
        <f t="shared" si="87"/>
        <v>32</v>
      </c>
      <c r="F321" t="str">
        <f t="shared" si="88"/>
        <v xml:space="preserve">/////PR:Music_SP:Carol2017105     $1428  </v>
      </c>
      <c r="G321" t="str">
        <f t="shared" si="89"/>
        <v xml:space="preserve">PR:Music_SP:Carol2017105     $1428  </v>
      </c>
      <c r="H321" t="str">
        <f t="shared" si="90"/>
        <v xml:space="preserve">PR:Music SP:Carol2017105     $1428  </v>
      </c>
      <c r="I321" t="str">
        <f t="shared" si="91"/>
        <v>PR:Music SP:Carol2017105 $1428</v>
      </c>
      <c r="J321">
        <f t="shared" si="92"/>
        <v>30</v>
      </c>
      <c r="K321">
        <f t="shared" si="93"/>
        <v>56</v>
      </c>
      <c r="L321" t="str">
        <f t="shared" si="94"/>
        <v>Music SP:Carol2017105 $1428</v>
      </c>
      <c r="M321" t="str">
        <f t="shared" si="95"/>
        <v>Music Carol2017105 $1428</v>
      </c>
      <c r="N321" s="1" t="str">
        <f t="shared" si="96"/>
        <v>Music Carol 2017105 $1428</v>
      </c>
      <c r="O321" s="9">
        <f t="shared" si="104"/>
        <v>6</v>
      </c>
      <c r="P321" s="9">
        <f t="shared" si="97"/>
        <v>12</v>
      </c>
      <c r="Q321" s="10">
        <f t="shared" si="98"/>
        <v>20</v>
      </c>
      <c r="R321" s="7" t="str">
        <f t="shared" si="99"/>
        <v>Music</v>
      </c>
      <c r="S321" s="7" t="str">
        <f t="shared" si="100"/>
        <v>Carol</v>
      </c>
      <c r="T321" s="7" t="str">
        <f t="shared" si="101"/>
        <v>2017105</v>
      </c>
      <c r="U321" s="7">
        <f t="shared" si="102"/>
        <v>1428</v>
      </c>
      <c r="V321" s="8">
        <f t="shared" si="103"/>
        <v>43013</v>
      </c>
    </row>
    <row r="322" spans="1:22">
      <c r="A322" s="3">
        <f t="shared" si="84"/>
        <v>320</v>
      </c>
      <c r="B322" t="s">
        <v>326</v>
      </c>
      <c r="C322">
        <f t="shared" si="85"/>
        <v>29</v>
      </c>
      <c r="D322" t="str">
        <f t="shared" si="86"/>
        <v xml:space="preserve">///PR:Music____SP:Carol20171023     $968     </v>
      </c>
      <c r="E322">
        <f t="shared" si="87"/>
        <v>32</v>
      </c>
      <c r="F322" t="str">
        <f t="shared" si="88"/>
        <v xml:space="preserve">///PR:Music____SP:Carol20171023     $968     </v>
      </c>
      <c r="G322" t="str">
        <f t="shared" si="89"/>
        <v xml:space="preserve">PR:Music____SP:Carol20171023     $968     </v>
      </c>
      <c r="H322" t="str">
        <f t="shared" si="90"/>
        <v xml:space="preserve">PR:Music    SP:Carol20171023     $968     </v>
      </c>
      <c r="I322" t="str">
        <f t="shared" si="91"/>
        <v>PR:Music SP:Carol20171023 $968</v>
      </c>
      <c r="J322">
        <f t="shared" si="92"/>
        <v>30</v>
      </c>
      <c r="K322">
        <f t="shared" si="93"/>
        <v>56</v>
      </c>
      <c r="L322" t="str">
        <f t="shared" si="94"/>
        <v>Music SP:Carol20171023 $968</v>
      </c>
      <c r="M322" t="str">
        <f t="shared" si="95"/>
        <v>Music Carol20171023 $968</v>
      </c>
      <c r="N322" s="1" t="str">
        <f t="shared" si="96"/>
        <v>Music Carol 20171023 $968</v>
      </c>
      <c r="O322" s="9">
        <f t="shared" si="104"/>
        <v>6</v>
      </c>
      <c r="P322" s="9">
        <f t="shared" si="97"/>
        <v>12</v>
      </c>
      <c r="Q322" s="10">
        <f t="shared" si="98"/>
        <v>21</v>
      </c>
      <c r="R322" s="7" t="str">
        <f t="shared" si="99"/>
        <v>Music</v>
      </c>
      <c r="S322" s="7" t="str">
        <f t="shared" si="100"/>
        <v>Carol</v>
      </c>
      <c r="T322" s="7" t="str">
        <f t="shared" si="101"/>
        <v>20171023</v>
      </c>
      <c r="U322" s="7">
        <f t="shared" si="102"/>
        <v>968</v>
      </c>
      <c r="V322" s="8">
        <f t="shared" si="103"/>
        <v>43031</v>
      </c>
    </row>
    <row r="323" spans="1:22">
      <c r="A323" s="3">
        <f t="shared" si="84"/>
        <v>321</v>
      </c>
      <c r="B323" t="s">
        <v>327</v>
      </c>
      <c r="C323">
        <f t="shared" si="85"/>
        <v>31</v>
      </c>
      <c r="D323" t="str">
        <f t="shared" si="86"/>
        <v xml:space="preserve">///PR:Games__SP:Alice20171026     $0    </v>
      </c>
      <c r="E323">
        <f t="shared" si="87"/>
        <v>32</v>
      </c>
      <c r="F323" t="str">
        <f t="shared" si="88"/>
        <v xml:space="preserve">///PR:Games__SP:Alice20171026     $0    </v>
      </c>
      <c r="G323" t="str">
        <f t="shared" si="89"/>
        <v xml:space="preserve">PR:Games__SP:Alice20171026     $0    </v>
      </c>
      <c r="H323" t="str">
        <f t="shared" si="90"/>
        <v xml:space="preserve">PR:Games  SP:Alice20171026     $0    </v>
      </c>
      <c r="I323" t="str">
        <f t="shared" si="91"/>
        <v>PR:Games SP:Alice20171026 $0</v>
      </c>
      <c r="J323">
        <f t="shared" si="92"/>
        <v>28</v>
      </c>
      <c r="K323">
        <f t="shared" si="93"/>
        <v>48</v>
      </c>
      <c r="L323" t="str">
        <f t="shared" si="94"/>
        <v>Games SP:Alice20171026 $0</v>
      </c>
      <c r="M323" t="str">
        <f t="shared" si="95"/>
        <v>Games Alice20171026 $0</v>
      </c>
      <c r="N323" s="1" t="str">
        <f t="shared" si="96"/>
        <v>Games Alice 20171026 $0</v>
      </c>
      <c r="O323" s="9">
        <f t="shared" si="104"/>
        <v>6</v>
      </c>
      <c r="P323" s="9">
        <f t="shared" si="97"/>
        <v>12</v>
      </c>
      <c r="Q323" s="10">
        <f t="shared" si="98"/>
        <v>21</v>
      </c>
      <c r="R323" s="7" t="str">
        <f t="shared" si="99"/>
        <v>Games</v>
      </c>
      <c r="S323" s="7" t="str">
        <f t="shared" si="100"/>
        <v>Alice</v>
      </c>
      <c r="T323" s="7" t="str">
        <f t="shared" si="101"/>
        <v>20171026</v>
      </c>
      <c r="U323" s="7">
        <f t="shared" si="102"/>
        <v>0</v>
      </c>
      <c r="V323" s="8">
        <f t="shared" si="103"/>
        <v>43034</v>
      </c>
    </row>
    <row r="324" spans="1:22">
      <c r="A324" s="3">
        <f t="shared" ref="A324:A387" si="105">A323+1</f>
        <v>322</v>
      </c>
      <c r="B324" t="s">
        <v>328</v>
      </c>
      <c r="C324">
        <f t="shared" ref="C324:C387" si="106">CODE(RIGHT(B324,1))</f>
        <v>28</v>
      </c>
      <c r="D324" t="str">
        <f t="shared" ref="D324:D387" si="107">CLEAN(B324)</f>
        <v xml:space="preserve">////PR:Games_____SP:Barney20171016   $1522  </v>
      </c>
      <c r="E324">
        <f t="shared" ref="E324:E387" si="108">CODE(RIGHT(D324,1))</f>
        <v>32</v>
      </c>
      <c r="F324" t="str">
        <f t="shared" ref="F324:F387" si="109">SUBSTITUTE(D324,CHAR(160)," ")</f>
        <v xml:space="preserve">////PR:Games_____SP:Barney20171016   $1522  </v>
      </c>
      <c r="G324" t="str">
        <f t="shared" ref="G324:G387" si="110">SUBSTITUTE(F324,"/","")</f>
        <v xml:space="preserve">PR:Games_____SP:Barney20171016   $1522  </v>
      </c>
      <c r="H324" t="str">
        <f t="shared" ref="H324:H387" si="111">SUBSTITUTE(G324,"_"," ")</f>
        <v xml:space="preserve">PR:Games     SP:Barney20171016   $1522  </v>
      </c>
      <c r="I324" t="str">
        <f t="shared" ref="I324:I387" si="112">TRIM(H324)</f>
        <v>PR:Games SP:Barney20171016 $1522</v>
      </c>
      <c r="J324">
        <f t="shared" ref="J324:J387" si="113">LEN(I324)</f>
        <v>32</v>
      </c>
      <c r="K324">
        <f t="shared" ref="K324:K387" si="114">CODE(RIGHT(I324,1))</f>
        <v>50</v>
      </c>
      <c r="L324" t="str">
        <f t="shared" ref="L324:L387" si="115">SUBSTITUTE(I324,"PR:","")</f>
        <v>Games SP:Barney20171016 $1522</v>
      </c>
      <c r="M324" t="str">
        <f t="shared" ref="M324:M387" si="116">SUBSTITUTE(L324,"SP:","")</f>
        <v>Games Barney20171016 $1522</v>
      </c>
      <c r="N324" s="1" t="str">
        <f t="shared" ref="N324:N387" si="117">SUBSTITUTE(M324,"201710"," 201710")</f>
        <v>Games Barney 20171016 $1522</v>
      </c>
      <c r="O324" s="9">
        <f t="shared" si="104"/>
        <v>6</v>
      </c>
      <c r="P324" s="9">
        <f t="shared" ref="P324:P387" si="118">FIND(" ",N324,O324+1)</f>
        <v>13</v>
      </c>
      <c r="Q324" s="10">
        <f t="shared" ref="Q324:Q387" si="119">FIND("$",N324,1)-1</f>
        <v>22</v>
      </c>
      <c r="R324" s="7" t="str">
        <f t="shared" ref="R324:R387" si="120">LEFT(N324,O324-1)</f>
        <v>Games</v>
      </c>
      <c r="S324" s="7" t="str">
        <f t="shared" ref="S324:S387" si="121">MID(N324,O324+1,P324-O324-1)</f>
        <v>Barney</v>
      </c>
      <c r="T324" s="7" t="str">
        <f t="shared" ref="T324:T387" si="122">MID(N324,P324+1,Q324-P324-1)</f>
        <v>20171016</v>
      </c>
      <c r="U324" s="7">
        <f t="shared" ref="U324:U387" si="123">VALUE(MID(N324,Q324+2,99))</f>
        <v>1522</v>
      </c>
      <c r="V324" s="8">
        <f t="shared" ref="V324:V387" si="124">DATE(2017,10,MID(T324,7,99))</f>
        <v>43024</v>
      </c>
    </row>
    <row r="325" spans="1:22">
      <c r="A325" s="3">
        <f t="shared" si="105"/>
        <v>323</v>
      </c>
      <c r="B325" t="s">
        <v>329</v>
      </c>
      <c r="C325">
        <f t="shared" si="106"/>
        <v>31</v>
      </c>
      <c r="D325" t="str">
        <f t="shared" si="107"/>
        <v xml:space="preserve">//PR:Music__SP:Carol20171019  $0 </v>
      </c>
      <c r="E325">
        <f t="shared" si="108"/>
        <v>32</v>
      </c>
      <c r="F325" t="str">
        <f t="shared" si="109"/>
        <v xml:space="preserve">//PR:Music__SP:Carol20171019  $0 </v>
      </c>
      <c r="G325" t="str">
        <f t="shared" si="110"/>
        <v xml:space="preserve">PR:Music__SP:Carol20171019  $0 </v>
      </c>
      <c r="H325" t="str">
        <f t="shared" si="111"/>
        <v xml:space="preserve">PR:Music  SP:Carol20171019  $0 </v>
      </c>
      <c r="I325" t="str">
        <f t="shared" si="112"/>
        <v>PR:Music SP:Carol20171019 $0</v>
      </c>
      <c r="J325">
        <f t="shared" si="113"/>
        <v>28</v>
      </c>
      <c r="K325">
        <f t="shared" si="114"/>
        <v>48</v>
      </c>
      <c r="L325" t="str">
        <f t="shared" si="115"/>
        <v>Music SP:Carol20171019 $0</v>
      </c>
      <c r="M325" t="str">
        <f t="shared" si="116"/>
        <v>Music Carol20171019 $0</v>
      </c>
      <c r="N325" s="1" t="str">
        <f t="shared" si="117"/>
        <v>Music Carol 20171019 $0</v>
      </c>
      <c r="O325" s="9">
        <f t="shared" ref="O325:O388" si="125">FIND(" ",N325,1)</f>
        <v>6</v>
      </c>
      <c r="P325" s="9">
        <f t="shared" si="118"/>
        <v>12</v>
      </c>
      <c r="Q325" s="10">
        <f t="shared" si="119"/>
        <v>21</v>
      </c>
      <c r="R325" s="7" t="str">
        <f t="shared" si="120"/>
        <v>Music</v>
      </c>
      <c r="S325" s="7" t="str">
        <f t="shared" si="121"/>
        <v>Carol</v>
      </c>
      <c r="T325" s="7" t="str">
        <f t="shared" si="122"/>
        <v>20171019</v>
      </c>
      <c r="U325" s="7">
        <f t="shared" si="123"/>
        <v>0</v>
      </c>
      <c r="V325" s="8">
        <f t="shared" si="124"/>
        <v>43027</v>
      </c>
    </row>
    <row r="326" spans="1:22">
      <c r="A326" s="3">
        <f t="shared" si="105"/>
        <v>324</v>
      </c>
      <c r="B326" t="s">
        <v>330</v>
      </c>
      <c r="C326">
        <f t="shared" si="106"/>
        <v>30</v>
      </c>
      <c r="D326" t="str">
        <f t="shared" si="107"/>
        <v xml:space="preserve">//PR:Books____SP:Carol20171031  $900    </v>
      </c>
      <c r="E326">
        <f t="shared" si="108"/>
        <v>32</v>
      </c>
      <c r="F326" t="str">
        <f t="shared" si="109"/>
        <v xml:space="preserve">//PR:Books____SP:Carol20171031  $900    </v>
      </c>
      <c r="G326" t="str">
        <f t="shared" si="110"/>
        <v xml:space="preserve">PR:Books____SP:Carol20171031  $900    </v>
      </c>
      <c r="H326" t="str">
        <f t="shared" si="111"/>
        <v xml:space="preserve">PR:Books    SP:Carol20171031  $900    </v>
      </c>
      <c r="I326" t="str">
        <f t="shared" si="112"/>
        <v>PR:Books SP:Carol20171031 $900</v>
      </c>
      <c r="J326">
        <f t="shared" si="113"/>
        <v>30</v>
      </c>
      <c r="K326">
        <f t="shared" si="114"/>
        <v>48</v>
      </c>
      <c r="L326" t="str">
        <f t="shared" si="115"/>
        <v>Books SP:Carol20171031 $900</v>
      </c>
      <c r="M326" t="str">
        <f t="shared" si="116"/>
        <v>Books Carol20171031 $900</v>
      </c>
      <c r="N326" s="1" t="str">
        <f t="shared" si="117"/>
        <v>Books Carol 20171031 $900</v>
      </c>
      <c r="O326" s="9">
        <f t="shared" si="125"/>
        <v>6</v>
      </c>
      <c r="P326" s="9">
        <f t="shared" si="118"/>
        <v>12</v>
      </c>
      <c r="Q326" s="10">
        <f t="shared" si="119"/>
        <v>21</v>
      </c>
      <c r="R326" s="7" t="str">
        <f t="shared" si="120"/>
        <v>Books</v>
      </c>
      <c r="S326" s="7" t="str">
        <f t="shared" si="121"/>
        <v>Carol</v>
      </c>
      <c r="T326" s="7" t="str">
        <f t="shared" si="122"/>
        <v>20171031</v>
      </c>
      <c r="U326" s="7">
        <f t="shared" si="123"/>
        <v>900</v>
      </c>
      <c r="V326" s="8">
        <f t="shared" si="124"/>
        <v>43039</v>
      </c>
    </row>
    <row r="327" spans="1:22">
      <c r="A327" s="3">
        <f t="shared" si="105"/>
        <v>325</v>
      </c>
      <c r="B327" t="s">
        <v>331</v>
      </c>
      <c r="C327">
        <f t="shared" si="106"/>
        <v>30</v>
      </c>
      <c r="D327" t="str">
        <f t="shared" si="107"/>
        <v xml:space="preserve">//PR:Music_____SP:Alice20171028     $0  </v>
      </c>
      <c r="E327">
        <f t="shared" si="108"/>
        <v>32</v>
      </c>
      <c r="F327" t="str">
        <f t="shared" si="109"/>
        <v xml:space="preserve">//PR:Music_____SP:Alice20171028     $0  </v>
      </c>
      <c r="G327" t="str">
        <f t="shared" si="110"/>
        <v xml:space="preserve">PR:Music_____SP:Alice20171028     $0  </v>
      </c>
      <c r="H327" t="str">
        <f t="shared" si="111"/>
        <v xml:space="preserve">PR:Music     SP:Alice20171028     $0  </v>
      </c>
      <c r="I327" t="str">
        <f t="shared" si="112"/>
        <v>PR:Music SP:Alice20171028 $0</v>
      </c>
      <c r="J327">
        <f t="shared" si="113"/>
        <v>28</v>
      </c>
      <c r="K327">
        <f t="shared" si="114"/>
        <v>48</v>
      </c>
      <c r="L327" t="str">
        <f t="shared" si="115"/>
        <v>Music SP:Alice20171028 $0</v>
      </c>
      <c r="M327" t="str">
        <f t="shared" si="116"/>
        <v>Music Alice20171028 $0</v>
      </c>
      <c r="N327" s="1" t="str">
        <f t="shared" si="117"/>
        <v>Music Alice 20171028 $0</v>
      </c>
      <c r="O327" s="9">
        <f t="shared" si="125"/>
        <v>6</v>
      </c>
      <c r="P327" s="9">
        <f t="shared" si="118"/>
        <v>12</v>
      </c>
      <c r="Q327" s="10">
        <f t="shared" si="119"/>
        <v>21</v>
      </c>
      <c r="R327" s="7" t="str">
        <f t="shared" si="120"/>
        <v>Music</v>
      </c>
      <c r="S327" s="7" t="str">
        <f t="shared" si="121"/>
        <v>Alice</v>
      </c>
      <c r="T327" s="7" t="str">
        <f t="shared" si="122"/>
        <v>20171028</v>
      </c>
      <c r="U327" s="7">
        <f t="shared" si="123"/>
        <v>0</v>
      </c>
      <c r="V327" s="8">
        <f t="shared" si="124"/>
        <v>43036</v>
      </c>
    </row>
    <row r="328" spans="1:22">
      <c r="A328" s="3">
        <f t="shared" si="105"/>
        <v>326</v>
      </c>
      <c r="B328" t="s">
        <v>332</v>
      </c>
      <c r="C328">
        <f t="shared" si="106"/>
        <v>30</v>
      </c>
      <c r="D328" t="str">
        <f t="shared" si="107"/>
        <v xml:space="preserve">/PR:Books___SP:David2017107   $978    </v>
      </c>
      <c r="E328">
        <f t="shared" si="108"/>
        <v>32</v>
      </c>
      <c r="F328" t="str">
        <f t="shared" si="109"/>
        <v xml:space="preserve">/PR:Books___SP:David2017107   $978    </v>
      </c>
      <c r="G328" t="str">
        <f t="shared" si="110"/>
        <v xml:space="preserve">PR:Books___SP:David2017107   $978    </v>
      </c>
      <c r="H328" t="str">
        <f t="shared" si="111"/>
        <v xml:space="preserve">PR:Books   SP:David2017107   $978    </v>
      </c>
      <c r="I328" t="str">
        <f t="shared" si="112"/>
        <v>PR:Books SP:David2017107 $978</v>
      </c>
      <c r="J328">
        <f t="shared" si="113"/>
        <v>29</v>
      </c>
      <c r="K328">
        <f t="shared" si="114"/>
        <v>56</v>
      </c>
      <c r="L328" t="str">
        <f t="shared" si="115"/>
        <v>Books SP:David2017107 $978</v>
      </c>
      <c r="M328" t="str">
        <f t="shared" si="116"/>
        <v>Books David2017107 $978</v>
      </c>
      <c r="N328" s="1" t="str">
        <f t="shared" si="117"/>
        <v>Books David 2017107 $978</v>
      </c>
      <c r="O328" s="9">
        <f t="shared" si="125"/>
        <v>6</v>
      </c>
      <c r="P328" s="9">
        <f t="shared" si="118"/>
        <v>12</v>
      </c>
      <c r="Q328" s="10">
        <f t="shared" si="119"/>
        <v>20</v>
      </c>
      <c r="R328" s="7" t="str">
        <f t="shared" si="120"/>
        <v>Books</v>
      </c>
      <c r="S328" s="7" t="str">
        <f t="shared" si="121"/>
        <v>David</v>
      </c>
      <c r="T328" s="7" t="str">
        <f t="shared" si="122"/>
        <v>2017107</v>
      </c>
      <c r="U328" s="7">
        <f t="shared" si="123"/>
        <v>978</v>
      </c>
      <c r="V328" s="8">
        <f t="shared" si="124"/>
        <v>43015</v>
      </c>
    </row>
    <row r="329" spans="1:22">
      <c r="A329" s="3">
        <f t="shared" si="105"/>
        <v>327</v>
      </c>
      <c r="B329" t="s">
        <v>333</v>
      </c>
      <c r="C329">
        <f t="shared" si="106"/>
        <v>30</v>
      </c>
      <c r="D329" t="str">
        <f t="shared" si="107"/>
        <v xml:space="preserve">/PR:Clothing__SP:Alice2017106    $680 </v>
      </c>
      <c r="E329">
        <f t="shared" si="108"/>
        <v>32</v>
      </c>
      <c r="F329" t="str">
        <f t="shared" si="109"/>
        <v xml:space="preserve">/PR:Clothing__SP:Alice2017106    $680 </v>
      </c>
      <c r="G329" t="str">
        <f t="shared" si="110"/>
        <v xml:space="preserve">PR:Clothing__SP:Alice2017106    $680 </v>
      </c>
      <c r="H329" t="str">
        <f t="shared" si="111"/>
        <v xml:space="preserve">PR:Clothing  SP:Alice2017106    $680 </v>
      </c>
      <c r="I329" t="str">
        <f t="shared" si="112"/>
        <v>PR:Clothing SP:Alice2017106 $680</v>
      </c>
      <c r="J329">
        <f t="shared" si="113"/>
        <v>32</v>
      </c>
      <c r="K329">
        <f t="shared" si="114"/>
        <v>48</v>
      </c>
      <c r="L329" t="str">
        <f t="shared" si="115"/>
        <v>Clothing SP:Alice2017106 $680</v>
      </c>
      <c r="M329" t="str">
        <f t="shared" si="116"/>
        <v>Clothing Alice2017106 $680</v>
      </c>
      <c r="N329" s="1" t="str">
        <f t="shared" si="117"/>
        <v>Clothing Alice 2017106 $680</v>
      </c>
      <c r="O329" s="9">
        <f t="shared" si="125"/>
        <v>9</v>
      </c>
      <c r="P329" s="9">
        <f t="shared" si="118"/>
        <v>15</v>
      </c>
      <c r="Q329" s="10">
        <f t="shared" si="119"/>
        <v>23</v>
      </c>
      <c r="R329" s="7" t="str">
        <f t="shared" si="120"/>
        <v>Clothing</v>
      </c>
      <c r="S329" s="7" t="str">
        <f t="shared" si="121"/>
        <v>Alice</v>
      </c>
      <c r="T329" s="7" t="str">
        <f t="shared" si="122"/>
        <v>2017106</v>
      </c>
      <c r="U329" s="7">
        <f t="shared" si="123"/>
        <v>680</v>
      </c>
      <c r="V329" s="8">
        <f t="shared" si="124"/>
        <v>43014</v>
      </c>
    </row>
    <row r="330" spans="1:22">
      <c r="A330" s="3">
        <f t="shared" si="105"/>
        <v>328</v>
      </c>
      <c r="B330" t="s">
        <v>334</v>
      </c>
      <c r="C330">
        <f t="shared" si="106"/>
        <v>31</v>
      </c>
      <c r="D330" t="str">
        <f t="shared" si="107"/>
        <v xml:space="preserve">///PR:Games___SP:Barney20171017     $1489    </v>
      </c>
      <c r="E330">
        <f t="shared" si="108"/>
        <v>32</v>
      </c>
      <c r="F330" t="str">
        <f t="shared" si="109"/>
        <v xml:space="preserve">///PR:Games___SP:Barney20171017     $1489    </v>
      </c>
      <c r="G330" t="str">
        <f t="shared" si="110"/>
        <v xml:space="preserve">PR:Games___SP:Barney20171017     $1489    </v>
      </c>
      <c r="H330" t="str">
        <f t="shared" si="111"/>
        <v xml:space="preserve">PR:Games   SP:Barney20171017     $1489    </v>
      </c>
      <c r="I330" t="str">
        <f t="shared" si="112"/>
        <v>PR:Games SP:Barney20171017 $1489</v>
      </c>
      <c r="J330">
        <f t="shared" si="113"/>
        <v>32</v>
      </c>
      <c r="K330">
        <f t="shared" si="114"/>
        <v>57</v>
      </c>
      <c r="L330" t="str">
        <f t="shared" si="115"/>
        <v>Games SP:Barney20171017 $1489</v>
      </c>
      <c r="M330" t="str">
        <f t="shared" si="116"/>
        <v>Games Barney20171017 $1489</v>
      </c>
      <c r="N330" s="1" t="str">
        <f t="shared" si="117"/>
        <v>Games Barney 20171017 $1489</v>
      </c>
      <c r="O330" s="9">
        <f t="shared" si="125"/>
        <v>6</v>
      </c>
      <c r="P330" s="9">
        <f t="shared" si="118"/>
        <v>13</v>
      </c>
      <c r="Q330" s="10">
        <f t="shared" si="119"/>
        <v>22</v>
      </c>
      <c r="R330" s="7" t="str">
        <f t="shared" si="120"/>
        <v>Games</v>
      </c>
      <c r="S330" s="7" t="str">
        <f t="shared" si="121"/>
        <v>Barney</v>
      </c>
      <c r="T330" s="7" t="str">
        <f t="shared" si="122"/>
        <v>20171017</v>
      </c>
      <c r="U330" s="7">
        <f t="shared" si="123"/>
        <v>1489</v>
      </c>
      <c r="V330" s="8">
        <f t="shared" si="124"/>
        <v>43025</v>
      </c>
    </row>
    <row r="331" spans="1:22">
      <c r="A331" s="3">
        <f t="shared" si="105"/>
        <v>329</v>
      </c>
      <c r="B331" t="s">
        <v>335</v>
      </c>
      <c r="C331">
        <f t="shared" si="106"/>
        <v>29</v>
      </c>
      <c r="D331" t="str">
        <f t="shared" si="107"/>
        <v xml:space="preserve">/////PR:Games____SP:Barney20171030     $0  </v>
      </c>
      <c r="E331">
        <f t="shared" si="108"/>
        <v>32</v>
      </c>
      <c r="F331" t="str">
        <f t="shared" si="109"/>
        <v xml:space="preserve">/////PR:Games____SP:Barney20171030     $0  </v>
      </c>
      <c r="G331" t="str">
        <f t="shared" si="110"/>
        <v xml:space="preserve">PR:Games____SP:Barney20171030     $0  </v>
      </c>
      <c r="H331" t="str">
        <f t="shared" si="111"/>
        <v xml:space="preserve">PR:Games    SP:Barney20171030     $0  </v>
      </c>
      <c r="I331" t="str">
        <f t="shared" si="112"/>
        <v>PR:Games SP:Barney20171030 $0</v>
      </c>
      <c r="J331">
        <f t="shared" si="113"/>
        <v>29</v>
      </c>
      <c r="K331">
        <f t="shared" si="114"/>
        <v>48</v>
      </c>
      <c r="L331" t="str">
        <f t="shared" si="115"/>
        <v>Games SP:Barney20171030 $0</v>
      </c>
      <c r="M331" t="str">
        <f t="shared" si="116"/>
        <v>Games Barney20171030 $0</v>
      </c>
      <c r="N331" s="1" t="str">
        <f t="shared" si="117"/>
        <v>Games Barney 20171030 $0</v>
      </c>
      <c r="O331" s="9">
        <f t="shared" si="125"/>
        <v>6</v>
      </c>
      <c r="P331" s="9">
        <f t="shared" si="118"/>
        <v>13</v>
      </c>
      <c r="Q331" s="10">
        <f t="shared" si="119"/>
        <v>22</v>
      </c>
      <c r="R331" s="7" t="str">
        <f t="shared" si="120"/>
        <v>Games</v>
      </c>
      <c r="S331" s="7" t="str">
        <f t="shared" si="121"/>
        <v>Barney</v>
      </c>
      <c r="T331" s="7" t="str">
        <f t="shared" si="122"/>
        <v>20171030</v>
      </c>
      <c r="U331" s="7">
        <f t="shared" si="123"/>
        <v>0</v>
      </c>
      <c r="V331" s="8">
        <f t="shared" si="124"/>
        <v>43038</v>
      </c>
    </row>
    <row r="332" spans="1:22">
      <c r="A332" s="3">
        <f t="shared" si="105"/>
        <v>330</v>
      </c>
      <c r="B332" t="s">
        <v>336</v>
      </c>
      <c r="C332">
        <f t="shared" si="106"/>
        <v>30</v>
      </c>
      <c r="D332" t="str">
        <f t="shared" si="107"/>
        <v xml:space="preserve">/PR:Books_SP:Alice20171023 $0    </v>
      </c>
      <c r="E332">
        <f t="shared" si="108"/>
        <v>32</v>
      </c>
      <c r="F332" t="str">
        <f t="shared" si="109"/>
        <v xml:space="preserve">/PR:Books_SP:Alice20171023 $0    </v>
      </c>
      <c r="G332" t="str">
        <f t="shared" si="110"/>
        <v xml:space="preserve">PR:Books_SP:Alice20171023 $0    </v>
      </c>
      <c r="H332" t="str">
        <f t="shared" si="111"/>
        <v xml:space="preserve">PR:Books SP:Alice20171023 $0    </v>
      </c>
      <c r="I332" t="str">
        <f t="shared" si="112"/>
        <v>PR:Books SP:Alice20171023 $0</v>
      </c>
      <c r="J332">
        <f t="shared" si="113"/>
        <v>28</v>
      </c>
      <c r="K332">
        <f t="shared" si="114"/>
        <v>48</v>
      </c>
      <c r="L332" t="str">
        <f t="shared" si="115"/>
        <v>Books SP:Alice20171023 $0</v>
      </c>
      <c r="M332" t="str">
        <f t="shared" si="116"/>
        <v>Books Alice20171023 $0</v>
      </c>
      <c r="N332" s="1" t="str">
        <f t="shared" si="117"/>
        <v>Books Alice 20171023 $0</v>
      </c>
      <c r="O332" s="9">
        <f t="shared" si="125"/>
        <v>6</v>
      </c>
      <c r="P332" s="9">
        <f t="shared" si="118"/>
        <v>12</v>
      </c>
      <c r="Q332" s="10">
        <f t="shared" si="119"/>
        <v>21</v>
      </c>
      <c r="R332" s="7" t="str">
        <f t="shared" si="120"/>
        <v>Books</v>
      </c>
      <c r="S332" s="7" t="str">
        <f t="shared" si="121"/>
        <v>Alice</v>
      </c>
      <c r="T332" s="7" t="str">
        <f t="shared" si="122"/>
        <v>20171023</v>
      </c>
      <c r="U332" s="7">
        <f t="shared" si="123"/>
        <v>0</v>
      </c>
      <c r="V332" s="8">
        <f t="shared" si="124"/>
        <v>43031</v>
      </c>
    </row>
    <row r="333" spans="1:22">
      <c r="A333" s="3">
        <f t="shared" si="105"/>
        <v>331</v>
      </c>
      <c r="B333" t="s">
        <v>337</v>
      </c>
      <c r="C333">
        <f t="shared" si="106"/>
        <v>30</v>
      </c>
      <c r="D333" t="str">
        <f t="shared" si="107"/>
        <v xml:space="preserve">////PR:Clothing__SP:David2017105 $0   </v>
      </c>
      <c r="E333">
        <f t="shared" si="108"/>
        <v>32</v>
      </c>
      <c r="F333" t="str">
        <f t="shared" si="109"/>
        <v xml:space="preserve">////PR:Clothing__SP:David2017105 $0   </v>
      </c>
      <c r="G333" t="str">
        <f t="shared" si="110"/>
        <v xml:space="preserve">PR:Clothing__SP:David2017105 $0   </v>
      </c>
      <c r="H333" t="str">
        <f t="shared" si="111"/>
        <v xml:space="preserve">PR:Clothing  SP:David2017105 $0   </v>
      </c>
      <c r="I333" t="str">
        <f t="shared" si="112"/>
        <v>PR:Clothing SP:David2017105 $0</v>
      </c>
      <c r="J333">
        <f t="shared" si="113"/>
        <v>30</v>
      </c>
      <c r="K333">
        <f t="shared" si="114"/>
        <v>48</v>
      </c>
      <c r="L333" t="str">
        <f t="shared" si="115"/>
        <v>Clothing SP:David2017105 $0</v>
      </c>
      <c r="M333" t="str">
        <f t="shared" si="116"/>
        <v>Clothing David2017105 $0</v>
      </c>
      <c r="N333" s="1" t="str">
        <f t="shared" si="117"/>
        <v>Clothing David 2017105 $0</v>
      </c>
      <c r="O333" s="9">
        <f t="shared" si="125"/>
        <v>9</v>
      </c>
      <c r="P333" s="9">
        <f t="shared" si="118"/>
        <v>15</v>
      </c>
      <c r="Q333" s="10">
        <f t="shared" si="119"/>
        <v>23</v>
      </c>
      <c r="R333" s="7" t="str">
        <f t="shared" si="120"/>
        <v>Clothing</v>
      </c>
      <c r="S333" s="7" t="str">
        <f t="shared" si="121"/>
        <v>David</v>
      </c>
      <c r="T333" s="7" t="str">
        <f t="shared" si="122"/>
        <v>2017105</v>
      </c>
      <c r="U333" s="7">
        <f t="shared" si="123"/>
        <v>0</v>
      </c>
      <c r="V333" s="8">
        <f t="shared" si="124"/>
        <v>43013</v>
      </c>
    </row>
    <row r="334" spans="1:22">
      <c r="A334" s="3">
        <f t="shared" si="105"/>
        <v>332</v>
      </c>
      <c r="B334" t="s">
        <v>338</v>
      </c>
      <c r="C334">
        <f t="shared" si="106"/>
        <v>31</v>
      </c>
      <c r="D334" t="str">
        <f t="shared" si="107"/>
        <v xml:space="preserve">///PR:Books_SP:Alice2017105   $508 </v>
      </c>
      <c r="E334">
        <f t="shared" si="108"/>
        <v>32</v>
      </c>
      <c r="F334" t="str">
        <f t="shared" si="109"/>
        <v xml:space="preserve">///PR:Books_SP:Alice2017105   $508 </v>
      </c>
      <c r="G334" t="str">
        <f t="shared" si="110"/>
        <v xml:space="preserve">PR:Books_SP:Alice2017105   $508 </v>
      </c>
      <c r="H334" t="str">
        <f t="shared" si="111"/>
        <v xml:space="preserve">PR:Books SP:Alice2017105   $508 </v>
      </c>
      <c r="I334" t="str">
        <f t="shared" si="112"/>
        <v>PR:Books SP:Alice2017105 $508</v>
      </c>
      <c r="J334">
        <f t="shared" si="113"/>
        <v>29</v>
      </c>
      <c r="K334">
        <f t="shared" si="114"/>
        <v>56</v>
      </c>
      <c r="L334" t="str">
        <f t="shared" si="115"/>
        <v>Books SP:Alice2017105 $508</v>
      </c>
      <c r="M334" t="str">
        <f t="shared" si="116"/>
        <v>Books Alice2017105 $508</v>
      </c>
      <c r="N334" s="1" t="str">
        <f t="shared" si="117"/>
        <v>Books Alice 2017105 $508</v>
      </c>
      <c r="O334" s="9">
        <f t="shared" si="125"/>
        <v>6</v>
      </c>
      <c r="P334" s="9">
        <f t="shared" si="118"/>
        <v>12</v>
      </c>
      <c r="Q334" s="10">
        <f t="shared" si="119"/>
        <v>20</v>
      </c>
      <c r="R334" s="7" t="str">
        <f t="shared" si="120"/>
        <v>Books</v>
      </c>
      <c r="S334" s="7" t="str">
        <f t="shared" si="121"/>
        <v>Alice</v>
      </c>
      <c r="T334" s="7" t="str">
        <f t="shared" si="122"/>
        <v>2017105</v>
      </c>
      <c r="U334" s="7">
        <f t="shared" si="123"/>
        <v>508</v>
      </c>
      <c r="V334" s="8">
        <f t="shared" si="124"/>
        <v>43013</v>
      </c>
    </row>
    <row r="335" spans="1:22">
      <c r="A335" s="3">
        <f t="shared" si="105"/>
        <v>333</v>
      </c>
      <c r="B335" t="s">
        <v>339</v>
      </c>
      <c r="C335">
        <f t="shared" si="106"/>
        <v>31</v>
      </c>
      <c r="D335" t="str">
        <f t="shared" si="107"/>
        <v xml:space="preserve">/////PR:Clothing_____SP:Barney20171026  $1793   </v>
      </c>
      <c r="E335">
        <f t="shared" si="108"/>
        <v>32</v>
      </c>
      <c r="F335" t="str">
        <f t="shared" si="109"/>
        <v xml:space="preserve">/////PR:Clothing_____SP:Barney20171026  $1793   </v>
      </c>
      <c r="G335" t="str">
        <f t="shared" si="110"/>
        <v xml:space="preserve">PR:Clothing_____SP:Barney20171026  $1793   </v>
      </c>
      <c r="H335" t="str">
        <f t="shared" si="111"/>
        <v xml:space="preserve">PR:Clothing     SP:Barney20171026  $1793   </v>
      </c>
      <c r="I335" t="str">
        <f t="shared" si="112"/>
        <v>PR:Clothing SP:Barney20171026 $1793</v>
      </c>
      <c r="J335">
        <f t="shared" si="113"/>
        <v>35</v>
      </c>
      <c r="K335">
        <f t="shared" si="114"/>
        <v>51</v>
      </c>
      <c r="L335" t="str">
        <f t="shared" si="115"/>
        <v>Clothing SP:Barney20171026 $1793</v>
      </c>
      <c r="M335" t="str">
        <f t="shared" si="116"/>
        <v>Clothing Barney20171026 $1793</v>
      </c>
      <c r="N335" s="1" t="str">
        <f t="shared" si="117"/>
        <v>Clothing Barney 20171026 $1793</v>
      </c>
      <c r="O335" s="9">
        <f t="shared" si="125"/>
        <v>9</v>
      </c>
      <c r="P335" s="9">
        <f t="shared" si="118"/>
        <v>16</v>
      </c>
      <c r="Q335" s="10">
        <f t="shared" si="119"/>
        <v>25</v>
      </c>
      <c r="R335" s="7" t="str">
        <f t="shared" si="120"/>
        <v>Clothing</v>
      </c>
      <c r="S335" s="7" t="str">
        <f t="shared" si="121"/>
        <v>Barney</v>
      </c>
      <c r="T335" s="7" t="str">
        <f t="shared" si="122"/>
        <v>20171026</v>
      </c>
      <c r="U335" s="7">
        <f t="shared" si="123"/>
        <v>1793</v>
      </c>
      <c r="V335" s="8">
        <f t="shared" si="124"/>
        <v>43034</v>
      </c>
    </row>
    <row r="336" spans="1:22">
      <c r="A336" s="3">
        <f t="shared" si="105"/>
        <v>334</v>
      </c>
      <c r="B336" t="s">
        <v>340</v>
      </c>
      <c r="C336">
        <f t="shared" si="106"/>
        <v>29</v>
      </c>
      <c r="D336" t="str">
        <f t="shared" si="107"/>
        <v xml:space="preserve">/PR:Books_____SP:Barney2017107  $765    </v>
      </c>
      <c r="E336">
        <f t="shared" si="108"/>
        <v>32</v>
      </c>
      <c r="F336" t="str">
        <f t="shared" si="109"/>
        <v xml:space="preserve">/PR:Books_____SP:Barney2017107  $765    </v>
      </c>
      <c r="G336" t="str">
        <f t="shared" si="110"/>
        <v xml:space="preserve">PR:Books_____SP:Barney2017107  $765    </v>
      </c>
      <c r="H336" t="str">
        <f t="shared" si="111"/>
        <v xml:space="preserve">PR:Books     SP:Barney2017107  $765    </v>
      </c>
      <c r="I336" t="str">
        <f t="shared" si="112"/>
        <v>PR:Books SP:Barney2017107 $765</v>
      </c>
      <c r="J336">
        <f t="shared" si="113"/>
        <v>30</v>
      </c>
      <c r="K336">
        <f t="shared" si="114"/>
        <v>53</v>
      </c>
      <c r="L336" t="str">
        <f t="shared" si="115"/>
        <v>Books SP:Barney2017107 $765</v>
      </c>
      <c r="M336" t="str">
        <f t="shared" si="116"/>
        <v>Books Barney2017107 $765</v>
      </c>
      <c r="N336" s="1" t="str">
        <f t="shared" si="117"/>
        <v>Books Barney 2017107 $765</v>
      </c>
      <c r="O336" s="9">
        <f t="shared" si="125"/>
        <v>6</v>
      </c>
      <c r="P336" s="9">
        <f t="shared" si="118"/>
        <v>13</v>
      </c>
      <c r="Q336" s="10">
        <f t="shared" si="119"/>
        <v>21</v>
      </c>
      <c r="R336" s="7" t="str">
        <f t="shared" si="120"/>
        <v>Books</v>
      </c>
      <c r="S336" s="7" t="str">
        <f t="shared" si="121"/>
        <v>Barney</v>
      </c>
      <c r="T336" s="7" t="str">
        <f t="shared" si="122"/>
        <v>2017107</v>
      </c>
      <c r="U336" s="7">
        <f t="shared" si="123"/>
        <v>765</v>
      </c>
      <c r="V336" s="8">
        <f t="shared" si="124"/>
        <v>43015</v>
      </c>
    </row>
    <row r="337" spans="1:22">
      <c r="A337" s="3">
        <f t="shared" si="105"/>
        <v>335</v>
      </c>
      <c r="B337" t="s">
        <v>341</v>
      </c>
      <c r="C337">
        <f t="shared" si="106"/>
        <v>31</v>
      </c>
      <c r="D337" t="str">
        <f t="shared" si="107"/>
        <v xml:space="preserve">//PR:Clothing_SP:Alice20171023  $1099    </v>
      </c>
      <c r="E337">
        <f t="shared" si="108"/>
        <v>32</v>
      </c>
      <c r="F337" t="str">
        <f t="shared" si="109"/>
        <v xml:space="preserve">//PR:Clothing_SP:Alice20171023  $1099    </v>
      </c>
      <c r="G337" t="str">
        <f t="shared" si="110"/>
        <v xml:space="preserve">PR:Clothing_SP:Alice20171023  $1099    </v>
      </c>
      <c r="H337" t="str">
        <f t="shared" si="111"/>
        <v xml:space="preserve">PR:Clothing SP:Alice20171023  $1099    </v>
      </c>
      <c r="I337" t="str">
        <f t="shared" si="112"/>
        <v>PR:Clothing SP:Alice20171023 $1099</v>
      </c>
      <c r="J337">
        <f t="shared" si="113"/>
        <v>34</v>
      </c>
      <c r="K337">
        <f t="shared" si="114"/>
        <v>57</v>
      </c>
      <c r="L337" t="str">
        <f t="shared" si="115"/>
        <v>Clothing SP:Alice20171023 $1099</v>
      </c>
      <c r="M337" t="str">
        <f t="shared" si="116"/>
        <v>Clothing Alice20171023 $1099</v>
      </c>
      <c r="N337" s="1" t="str">
        <f t="shared" si="117"/>
        <v>Clothing Alice 20171023 $1099</v>
      </c>
      <c r="O337" s="9">
        <f t="shared" si="125"/>
        <v>9</v>
      </c>
      <c r="P337" s="9">
        <f t="shared" si="118"/>
        <v>15</v>
      </c>
      <c r="Q337" s="10">
        <f t="shared" si="119"/>
        <v>24</v>
      </c>
      <c r="R337" s="7" t="str">
        <f t="shared" si="120"/>
        <v>Clothing</v>
      </c>
      <c r="S337" s="7" t="str">
        <f t="shared" si="121"/>
        <v>Alice</v>
      </c>
      <c r="T337" s="7" t="str">
        <f t="shared" si="122"/>
        <v>20171023</v>
      </c>
      <c r="U337" s="7">
        <f t="shared" si="123"/>
        <v>1099</v>
      </c>
      <c r="V337" s="8">
        <f t="shared" si="124"/>
        <v>43031</v>
      </c>
    </row>
    <row r="338" spans="1:22">
      <c r="A338" s="3">
        <f t="shared" si="105"/>
        <v>336</v>
      </c>
      <c r="B338" t="s">
        <v>342</v>
      </c>
      <c r="C338">
        <f t="shared" si="106"/>
        <v>30</v>
      </c>
      <c r="D338" t="str">
        <f t="shared" si="107"/>
        <v xml:space="preserve">////PR:Clothing_____SP:David2017101  $610     </v>
      </c>
      <c r="E338">
        <f t="shared" si="108"/>
        <v>32</v>
      </c>
      <c r="F338" t="str">
        <f t="shared" si="109"/>
        <v xml:space="preserve">////PR:Clothing_____SP:David2017101  $610     </v>
      </c>
      <c r="G338" t="str">
        <f t="shared" si="110"/>
        <v xml:space="preserve">PR:Clothing_____SP:David2017101  $610     </v>
      </c>
      <c r="H338" t="str">
        <f t="shared" si="111"/>
        <v xml:space="preserve">PR:Clothing     SP:David2017101  $610     </v>
      </c>
      <c r="I338" t="str">
        <f t="shared" si="112"/>
        <v>PR:Clothing SP:David2017101 $610</v>
      </c>
      <c r="J338">
        <f t="shared" si="113"/>
        <v>32</v>
      </c>
      <c r="K338">
        <f t="shared" si="114"/>
        <v>48</v>
      </c>
      <c r="L338" t="str">
        <f t="shared" si="115"/>
        <v>Clothing SP:David2017101 $610</v>
      </c>
      <c r="M338" t="str">
        <f t="shared" si="116"/>
        <v>Clothing David2017101 $610</v>
      </c>
      <c r="N338" s="1" t="str">
        <f t="shared" si="117"/>
        <v>Clothing David 2017101 $610</v>
      </c>
      <c r="O338" s="9">
        <f t="shared" si="125"/>
        <v>9</v>
      </c>
      <c r="P338" s="9">
        <f t="shared" si="118"/>
        <v>15</v>
      </c>
      <c r="Q338" s="10">
        <f t="shared" si="119"/>
        <v>23</v>
      </c>
      <c r="R338" s="7" t="str">
        <f t="shared" si="120"/>
        <v>Clothing</v>
      </c>
      <c r="S338" s="7" t="str">
        <f t="shared" si="121"/>
        <v>David</v>
      </c>
      <c r="T338" s="7" t="str">
        <f t="shared" si="122"/>
        <v>2017101</v>
      </c>
      <c r="U338" s="7">
        <f t="shared" si="123"/>
        <v>610</v>
      </c>
      <c r="V338" s="8">
        <f t="shared" si="124"/>
        <v>43009</v>
      </c>
    </row>
    <row r="339" spans="1:22">
      <c r="A339" s="3">
        <f t="shared" si="105"/>
        <v>337</v>
      </c>
      <c r="B339" t="s">
        <v>343</v>
      </c>
      <c r="C339">
        <f t="shared" si="106"/>
        <v>30</v>
      </c>
      <c r="D339" t="str">
        <f t="shared" si="107"/>
        <v xml:space="preserve">//PR:Music__SP:Barney20171024  $1157     </v>
      </c>
      <c r="E339">
        <f t="shared" si="108"/>
        <v>32</v>
      </c>
      <c r="F339" t="str">
        <f t="shared" si="109"/>
        <v xml:space="preserve">//PR:Music__SP:Barney20171024  $1157     </v>
      </c>
      <c r="G339" t="str">
        <f t="shared" si="110"/>
        <v xml:space="preserve">PR:Music__SP:Barney20171024  $1157     </v>
      </c>
      <c r="H339" t="str">
        <f t="shared" si="111"/>
        <v xml:space="preserve">PR:Music  SP:Barney20171024  $1157     </v>
      </c>
      <c r="I339" t="str">
        <f t="shared" si="112"/>
        <v>PR:Music SP:Barney20171024 $1157</v>
      </c>
      <c r="J339">
        <f t="shared" si="113"/>
        <v>32</v>
      </c>
      <c r="K339">
        <f t="shared" si="114"/>
        <v>55</v>
      </c>
      <c r="L339" t="str">
        <f t="shared" si="115"/>
        <v>Music SP:Barney20171024 $1157</v>
      </c>
      <c r="M339" t="str">
        <f t="shared" si="116"/>
        <v>Music Barney20171024 $1157</v>
      </c>
      <c r="N339" s="1" t="str">
        <f t="shared" si="117"/>
        <v>Music Barney 20171024 $1157</v>
      </c>
      <c r="O339" s="9">
        <f t="shared" si="125"/>
        <v>6</v>
      </c>
      <c r="P339" s="9">
        <f t="shared" si="118"/>
        <v>13</v>
      </c>
      <c r="Q339" s="10">
        <f t="shared" si="119"/>
        <v>22</v>
      </c>
      <c r="R339" s="7" t="str">
        <f t="shared" si="120"/>
        <v>Music</v>
      </c>
      <c r="S339" s="7" t="str">
        <f t="shared" si="121"/>
        <v>Barney</v>
      </c>
      <c r="T339" s="7" t="str">
        <f t="shared" si="122"/>
        <v>20171024</v>
      </c>
      <c r="U339" s="7">
        <f t="shared" si="123"/>
        <v>1157</v>
      </c>
      <c r="V339" s="8">
        <f t="shared" si="124"/>
        <v>43032</v>
      </c>
    </row>
    <row r="340" spans="1:22">
      <c r="A340" s="3">
        <f t="shared" si="105"/>
        <v>338</v>
      </c>
      <c r="B340" t="s">
        <v>344</v>
      </c>
      <c r="C340">
        <f t="shared" si="106"/>
        <v>28</v>
      </c>
      <c r="D340" t="str">
        <f t="shared" si="107"/>
        <v xml:space="preserve">///PR:Clothing_____SP:Barney20171022 $845  </v>
      </c>
      <c r="E340">
        <f t="shared" si="108"/>
        <v>32</v>
      </c>
      <c r="F340" t="str">
        <f t="shared" si="109"/>
        <v xml:space="preserve">///PR:Clothing_____SP:Barney20171022 $845  </v>
      </c>
      <c r="G340" t="str">
        <f t="shared" si="110"/>
        <v xml:space="preserve">PR:Clothing_____SP:Barney20171022 $845  </v>
      </c>
      <c r="H340" t="str">
        <f t="shared" si="111"/>
        <v xml:space="preserve">PR:Clothing     SP:Barney20171022 $845  </v>
      </c>
      <c r="I340" t="str">
        <f t="shared" si="112"/>
        <v>PR:Clothing SP:Barney20171022 $845</v>
      </c>
      <c r="J340">
        <f t="shared" si="113"/>
        <v>34</v>
      </c>
      <c r="K340">
        <f t="shared" si="114"/>
        <v>53</v>
      </c>
      <c r="L340" t="str">
        <f t="shared" si="115"/>
        <v>Clothing SP:Barney20171022 $845</v>
      </c>
      <c r="M340" t="str">
        <f t="shared" si="116"/>
        <v>Clothing Barney20171022 $845</v>
      </c>
      <c r="N340" s="1" t="str">
        <f t="shared" si="117"/>
        <v>Clothing Barney 20171022 $845</v>
      </c>
      <c r="O340" s="9">
        <f t="shared" si="125"/>
        <v>9</v>
      </c>
      <c r="P340" s="9">
        <f t="shared" si="118"/>
        <v>16</v>
      </c>
      <c r="Q340" s="10">
        <f t="shared" si="119"/>
        <v>25</v>
      </c>
      <c r="R340" s="7" t="str">
        <f t="shared" si="120"/>
        <v>Clothing</v>
      </c>
      <c r="S340" s="7" t="str">
        <f t="shared" si="121"/>
        <v>Barney</v>
      </c>
      <c r="T340" s="7" t="str">
        <f t="shared" si="122"/>
        <v>20171022</v>
      </c>
      <c r="U340" s="7">
        <f t="shared" si="123"/>
        <v>845</v>
      </c>
      <c r="V340" s="8">
        <f t="shared" si="124"/>
        <v>43030</v>
      </c>
    </row>
    <row r="341" spans="1:22">
      <c r="A341" s="3">
        <f t="shared" si="105"/>
        <v>339</v>
      </c>
      <c r="B341" t="s">
        <v>345</v>
      </c>
      <c r="C341">
        <f t="shared" si="106"/>
        <v>30</v>
      </c>
      <c r="D341" t="str">
        <f t="shared" si="107"/>
        <v xml:space="preserve">/////PR:Games_SP:Barney20171031     $1381   </v>
      </c>
      <c r="E341">
        <f t="shared" si="108"/>
        <v>32</v>
      </c>
      <c r="F341" t="str">
        <f t="shared" si="109"/>
        <v xml:space="preserve">/////PR:Games_SP:Barney20171031     $1381   </v>
      </c>
      <c r="G341" t="str">
        <f t="shared" si="110"/>
        <v xml:space="preserve">PR:Games_SP:Barney20171031     $1381   </v>
      </c>
      <c r="H341" t="str">
        <f t="shared" si="111"/>
        <v xml:space="preserve">PR:Games SP:Barney20171031     $1381   </v>
      </c>
      <c r="I341" t="str">
        <f t="shared" si="112"/>
        <v>PR:Games SP:Barney20171031 $1381</v>
      </c>
      <c r="J341">
        <f t="shared" si="113"/>
        <v>32</v>
      </c>
      <c r="K341">
        <f t="shared" si="114"/>
        <v>49</v>
      </c>
      <c r="L341" t="str">
        <f t="shared" si="115"/>
        <v>Games SP:Barney20171031 $1381</v>
      </c>
      <c r="M341" t="str">
        <f t="shared" si="116"/>
        <v>Games Barney20171031 $1381</v>
      </c>
      <c r="N341" s="1" t="str">
        <f t="shared" si="117"/>
        <v>Games Barney 20171031 $1381</v>
      </c>
      <c r="O341" s="9">
        <f t="shared" si="125"/>
        <v>6</v>
      </c>
      <c r="P341" s="9">
        <f t="shared" si="118"/>
        <v>13</v>
      </c>
      <c r="Q341" s="10">
        <f t="shared" si="119"/>
        <v>22</v>
      </c>
      <c r="R341" s="7" t="str">
        <f t="shared" si="120"/>
        <v>Games</v>
      </c>
      <c r="S341" s="7" t="str">
        <f t="shared" si="121"/>
        <v>Barney</v>
      </c>
      <c r="T341" s="7" t="str">
        <f t="shared" si="122"/>
        <v>20171031</v>
      </c>
      <c r="U341" s="7">
        <f t="shared" si="123"/>
        <v>1381</v>
      </c>
      <c r="V341" s="8">
        <f t="shared" si="124"/>
        <v>43039</v>
      </c>
    </row>
    <row r="342" spans="1:22">
      <c r="A342" s="3">
        <f t="shared" si="105"/>
        <v>340</v>
      </c>
      <c r="B342" t="s">
        <v>346</v>
      </c>
      <c r="C342">
        <f t="shared" si="106"/>
        <v>30</v>
      </c>
      <c r="D342" t="str">
        <f t="shared" si="107"/>
        <v xml:space="preserve">////PR:Games_SP:David2017109 $1960   </v>
      </c>
      <c r="E342">
        <f t="shared" si="108"/>
        <v>32</v>
      </c>
      <c r="F342" t="str">
        <f t="shared" si="109"/>
        <v xml:space="preserve">////PR:Games_SP:David2017109 $1960   </v>
      </c>
      <c r="G342" t="str">
        <f t="shared" si="110"/>
        <v xml:space="preserve">PR:Games_SP:David2017109 $1960   </v>
      </c>
      <c r="H342" t="str">
        <f t="shared" si="111"/>
        <v xml:space="preserve">PR:Games SP:David2017109 $1960   </v>
      </c>
      <c r="I342" t="str">
        <f t="shared" si="112"/>
        <v>PR:Games SP:David2017109 $1960</v>
      </c>
      <c r="J342">
        <f t="shared" si="113"/>
        <v>30</v>
      </c>
      <c r="K342">
        <f t="shared" si="114"/>
        <v>48</v>
      </c>
      <c r="L342" t="str">
        <f t="shared" si="115"/>
        <v>Games SP:David2017109 $1960</v>
      </c>
      <c r="M342" t="str">
        <f t="shared" si="116"/>
        <v>Games David2017109 $1960</v>
      </c>
      <c r="N342" s="1" t="str">
        <f t="shared" si="117"/>
        <v>Games David 2017109 $1960</v>
      </c>
      <c r="O342" s="9">
        <f t="shared" si="125"/>
        <v>6</v>
      </c>
      <c r="P342" s="9">
        <f t="shared" si="118"/>
        <v>12</v>
      </c>
      <c r="Q342" s="10">
        <f t="shared" si="119"/>
        <v>20</v>
      </c>
      <c r="R342" s="7" t="str">
        <f t="shared" si="120"/>
        <v>Games</v>
      </c>
      <c r="S342" s="7" t="str">
        <f t="shared" si="121"/>
        <v>David</v>
      </c>
      <c r="T342" s="7" t="str">
        <f t="shared" si="122"/>
        <v>2017109</v>
      </c>
      <c r="U342" s="7">
        <f t="shared" si="123"/>
        <v>1960</v>
      </c>
      <c r="V342" s="8">
        <f t="shared" si="124"/>
        <v>43017</v>
      </c>
    </row>
    <row r="343" spans="1:22">
      <c r="A343" s="3">
        <f t="shared" si="105"/>
        <v>341</v>
      </c>
      <c r="B343" t="s">
        <v>347</v>
      </c>
      <c r="C343">
        <f t="shared" si="106"/>
        <v>31</v>
      </c>
      <c r="D343" t="str">
        <f t="shared" si="107"/>
        <v xml:space="preserve">/////PR:Games_____SP:Barney2017103  $1957   </v>
      </c>
      <c r="E343">
        <f t="shared" si="108"/>
        <v>32</v>
      </c>
      <c r="F343" t="str">
        <f t="shared" si="109"/>
        <v xml:space="preserve">/////PR:Games_____SP:Barney2017103  $1957   </v>
      </c>
      <c r="G343" t="str">
        <f t="shared" si="110"/>
        <v xml:space="preserve">PR:Games_____SP:Barney2017103  $1957   </v>
      </c>
      <c r="H343" t="str">
        <f t="shared" si="111"/>
        <v xml:space="preserve">PR:Games     SP:Barney2017103  $1957   </v>
      </c>
      <c r="I343" t="str">
        <f t="shared" si="112"/>
        <v>PR:Games SP:Barney2017103 $1957</v>
      </c>
      <c r="J343">
        <f t="shared" si="113"/>
        <v>31</v>
      </c>
      <c r="K343">
        <f t="shared" si="114"/>
        <v>55</v>
      </c>
      <c r="L343" t="str">
        <f t="shared" si="115"/>
        <v>Games SP:Barney2017103 $1957</v>
      </c>
      <c r="M343" t="str">
        <f t="shared" si="116"/>
        <v>Games Barney2017103 $1957</v>
      </c>
      <c r="N343" s="1" t="str">
        <f t="shared" si="117"/>
        <v>Games Barney 2017103 $1957</v>
      </c>
      <c r="O343" s="9">
        <f t="shared" si="125"/>
        <v>6</v>
      </c>
      <c r="P343" s="9">
        <f t="shared" si="118"/>
        <v>13</v>
      </c>
      <c r="Q343" s="10">
        <f t="shared" si="119"/>
        <v>21</v>
      </c>
      <c r="R343" s="7" t="str">
        <f t="shared" si="120"/>
        <v>Games</v>
      </c>
      <c r="S343" s="7" t="str">
        <f t="shared" si="121"/>
        <v>Barney</v>
      </c>
      <c r="T343" s="7" t="str">
        <f t="shared" si="122"/>
        <v>2017103</v>
      </c>
      <c r="U343" s="7">
        <f t="shared" si="123"/>
        <v>1957</v>
      </c>
      <c r="V343" s="8">
        <f t="shared" si="124"/>
        <v>43011</v>
      </c>
    </row>
    <row r="344" spans="1:22">
      <c r="A344" s="3">
        <f t="shared" si="105"/>
        <v>342</v>
      </c>
      <c r="B344" t="s">
        <v>348</v>
      </c>
      <c r="C344">
        <f t="shared" si="106"/>
        <v>29</v>
      </c>
      <c r="D344" t="str">
        <f t="shared" si="107"/>
        <v xml:space="preserve">///PR:Music_SP:David20171031     $1247    </v>
      </c>
      <c r="E344">
        <f t="shared" si="108"/>
        <v>32</v>
      </c>
      <c r="F344" t="str">
        <f t="shared" si="109"/>
        <v xml:space="preserve">///PR:Music_SP:David20171031     $1247    </v>
      </c>
      <c r="G344" t="str">
        <f t="shared" si="110"/>
        <v xml:space="preserve">PR:Music_SP:David20171031     $1247    </v>
      </c>
      <c r="H344" t="str">
        <f t="shared" si="111"/>
        <v xml:space="preserve">PR:Music SP:David20171031     $1247    </v>
      </c>
      <c r="I344" t="str">
        <f t="shared" si="112"/>
        <v>PR:Music SP:David20171031 $1247</v>
      </c>
      <c r="J344">
        <f t="shared" si="113"/>
        <v>31</v>
      </c>
      <c r="K344">
        <f t="shared" si="114"/>
        <v>55</v>
      </c>
      <c r="L344" t="str">
        <f t="shared" si="115"/>
        <v>Music SP:David20171031 $1247</v>
      </c>
      <c r="M344" t="str">
        <f t="shared" si="116"/>
        <v>Music David20171031 $1247</v>
      </c>
      <c r="N344" s="1" t="str">
        <f t="shared" si="117"/>
        <v>Music David 20171031 $1247</v>
      </c>
      <c r="O344" s="9">
        <f t="shared" si="125"/>
        <v>6</v>
      </c>
      <c r="P344" s="9">
        <f t="shared" si="118"/>
        <v>12</v>
      </c>
      <c r="Q344" s="10">
        <f t="shared" si="119"/>
        <v>21</v>
      </c>
      <c r="R344" s="7" t="str">
        <f t="shared" si="120"/>
        <v>Music</v>
      </c>
      <c r="S344" s="7" t="str">
        <f t="shared" si="121"/>
        <v>David</v>
      </c>
      <c r="T344" s="7" t="str">
        <f t="shared" si="122"/>
        <v>20171031</v>
      </c>
      <c r="U344" s="7">
        <f t="shared" si="123"/>
        <v>1247</v>
      </c>
      <c r="V344" s="8">
        <f t="shared" si="124"/>
        <v>43039</v>
      </c>
    </row>
    <row r="345" spans="1:22">
      <c r="A345" s="3">
        <f t="shared" si="105"/>
        <v>343</v>
      </c>
      <c r="B345" t="s">
        <v>349</v>
      </c>
      <c r="C345">
        <f t="shared" si="106"/>
        <v>31</v>
      </c>
      <c r="D345" t="str">
        <f t="shared" si="107"/>
        <v xml:space="preserve">//PR:Games__SP:Barney2017108  $1478  </v>
      </c>
      <c r="E345">
        <f t="shared" si="108"/>
        <v>32</v>
      </c>
      <c r="F345" t="str">
        <f t="shared" si="109"/>
        <v xml:space="preserve">//PR:Games__SP:Barney2017108  $1478  </v>
      </c>
      <c r="G345" t="str">
        <f t="shared" si="110"/>
        <v xml:space="preserve">PR:Games__SP:Barney2017108  $1478  </v>
      </c>
      <c r="H345" t="str">
        <f t="shared" si="111"/>
        <v xml:space="preserve">PR:Games  SP:Barney2017108  $1478  </v>
      </c>
      <c r="I345" t="str">
        <f t="shared" si="112"/>
        <v>PR:Games SP:Barney2017108 $1478</v>
      </c>
      <c r="J345">
        <f t="shared" si="113"/>
        <v>31</v>
      </c>
      <c r="K345">
        <f t="shared" si="114"/>
        <v>56</v>
      </c>
      <c r="L345" t="str">
        <f t="shared" si="115"/>
        <v>Games SP:Barney2017108 $1478</v>
      </c>
      <c r="M345" t="str">
        <f t="shared" si="116"/>
        <v>Games Barney2017108 $1478</v>
      </c>
      <c r="N345" s="1" t="str">
        <f t="shared" si="117"/>
        <v>Games Barney 2017108 $1478</v>
      </c>
      <c r="O345" s="9">
        <f t="shared" si="125"/>
        <v>6</v>
      </c>
      <c r="P345" s="9">
        <f t="shared" si="118"/>
        <v>13</v>
      </c>
      <c r="Q345" s="10">
        <f t="shared" si="119"/>
        <v>21</v>
      </c>
      <c r="R345" s="7" t="str">
        <f t="shared" si="120"/>
        <v>Games</v>
      </c>
      <c r="S345" s="7" t="str">
        <f t="shared" si="121"/>
        <v>Barney</v>
      </c>
      <c r="T345" s="7" t="str">
        <f t="shared" si="122"/>
        <v>2017108</v>
      </c>
      <c r="U345" s="7">
        <f t="shared" si="123"/>
        <v>1478</v>
      </c>
      <c r="V345" s="8">
        <f t="shared" si="124"/>
        <v>43016</v>
      </c>
    </row>
    <row r="346" spans="1:22">
      <c r="A346" s="3">
        <f t="shared" si="105"/>
        <v>344</v>
      </c>
      <c r="B346" t="s">
        <v>350</v>
      </c>
      <c r="C346">
        <f t="shared" si="106"/>
        <v>28</v>
      </c>
      <c r="D346" t="str">
        <f t="shared" si="107"/>
        <v xml:space="preserve">///PR:Games_____SP:Alice2017109  $0  </v>
      </c>
      <c r="E346">
        <f t="shared" si="108"/>
        <v>32</v>
      </c>
      <c r="F346" t="str">
        <f t="shared" si="109"/>
        <v xml:space="preserve">///PR:Games_____SP:Alice2017109  $0  </v>
      </c>
      <c r="G346" t="str">
        <f t="shared" si="110"/>
        <v xml:space="preserve">PR:Games_____SP:Alice2017109  $0  </v>
      </c>
      <c r="H346" t="str">
        <f t="shared" si="111"/>
        <v xml:space="preserve">PR:Games     SP:Alice2017109  $0  </v>
      </c>
      <c r="I346" t="str">
        <f t="shared" si="112"/>
        <v>PR:Games SP:Alice2017109 $0</v>
      </c>
      <c r="J346">
        <f t="shared" si="113"/>
        <v>27</v>
      </c>
      <c r="K346">
        <f t="shared" si="114"/>
        <v>48</v>
      </c>
      <c r="L346" t="str">
        <f t="shared" si="115"/>
        <v>Games SP:Alice2017109 $0</v>
      </c>
      <c r="M346" t="str">
        <f t="shared" si="116"/>
        <v>Games Alice2017109 $0</v>
      </c>
      <c r="N346" s="1" t="str">
        <f t="shared" si="117"/>
        <v>Games Alice 2017109 $0</v>
      </c>
      <c r="O346" s="9">
        <f t="shared" si="125"/>
        <v>6</v>
      </c>
      <c r="P346" s="9">
        <f t="shared" si="118"/>
        <v>12</v>
      </c>
      <c r="Q346" s="10">
        <f t="shared" si="119"/>
        <v>20</v>
      </c>
      <c r="R346" s="7" t="str">
        <f t="shared" si="120"/>
        <v>Games</v>
      </c>
      <c r="S346" s="7" t="str">
        <f t="shared" si="121"/>
        <v>Alice</v>
      </c>
      <c r="T346" s="7" t="str">
        <f t="shared" si="122"/>
        <v>2017109</v>
      </c>
      <c r="U346" s="7">
        <f t="shared" si="123"/>
        <v>0</v>
      </c>
      <c r="V346" s="8">
        <f t="shared" si="124"/>
        <v>43017</v>
      </c>
    </row>
    <row r="347" spans="1:22">
      <c r="A347" s="3">
        <f t="shared" si="105"/>
        <v>345</v>
      </c>
      <c r="B347" t="s">
        <v>351</v>
      </c>
      <c r="C347">
        <f t="shared" si="106"/>
        <v>31</v>
      </c>
      <c r="D347" t="str">
        <f t="shared" si="107"/>
        <v xml:space="preserve">/////PR:Music_____SP:Carol20171028   $1137 </v>
      </c>
      <c r="E347">
        <f t="shared" si="108"/>
        <v>32</v>
      </c>
      <c r="F347" t="str">
        <f t="shared" si="109"/>
        <v xml:space="preserve">/////PR:Music_____SP:Carol20171028   $1137 </v>
      </c>
      <c r="G347" t="str">
        <f t="shared" si="110"/>
        <v xml:space="preserve">PR:Music_____SP:Carol20171028   $1137 </v>
      </c>
      <c r="H347" t="str">
        <f t="shared" si="111"/>
        <v xml:space="preserve">PR:Music     SP:Carol20171028   $1137 </v>
      </c>
      <c r="I347" t="str">
        <f t="shared" si="112"/>
        <v>PR:Music SP:Carol20171028 $1137</v>
      </c>
      <c r="J347">
        <f t="shared" si="113"/>
        <v>31</v>
      </c>
      <c r="K347">
        <f t="shared" si="114"/>
        <v>55</v>
      </c>
      <c r="L347" t="str">
        <f t="shared" si="115"/>
        <v>Music SP:Carol20171028 $1137</v>
      </c>
      <c r="M347" t="str">
        <f t="shared" si="116"/>
        <v>Music Carol20171028 $1137</v>
      </c>
      <c r="N347" s="1" t="str">
        <f t="shared" si="117"/>
        <v>Music Carol 20171028 $1137</v>
      </c>
      <c r="O347" s="9">
        <f t="shared" si="125"/>
        <v>6</v>
      </c>
      <c r="P347" s="9">
        <f t="shared" si="118"/>
        <v>12</v>
      </c>
      <c r="Q347" s="10">
        <f t="shared" si="119"/>
        <v>21</v>
      </c>
      <c r="R347" s="7" t="str">
        <f t="shared" si="120"/>
        <v>Music</v>
      </c>
      <c r="S347" s="7" t="str">
        <f t="shared" si="121"/>
        <v>Carol</v>
      </c>
      <c r="T347" s="7" t="str">
        <f t="shared" si="122"/>
        <v>20171028</v>
      </c>
      <c r="U347" s="7">
        <f t="shared" si="123"/>
        <v>1137</v>
      </c>
      <c r="V347" s="8">
        <f t="shared" si="124"/>
        <v>43036</v>
      </c>
    </row>
    <row r="348" spans="1:22">
      <c r="A348" s="3">
        <f t="shared" si="105"/>
        <v>346</v>
      </c>
      <c r="B348" t="s">
        <v>352</v>
      </c>
      <c r="C348">
        <f t="shared" si="106"/>
        <v>31</v>
      </c>
      <c r="D348" t="str">
        <f t="shared" si="107"/>
        <v xml:space="preserve">///PR:Clothing____SP:Carol2017106    $0   </v>
      </c>
      <c r="E348">
        <f t="shared" si="108"/>
        <v>32</v>
      </c>
      <c r="F348" t="str">
        <f t="shared" si="109"/>
        <v xml:space="preserve">///PR:Clothing____SP:Carol2017106    $0   </v>
      </c>
      <c r="G348" t="str">
        <f t="shared" si="110"/>
        <v xml:space="preserve">PR:Clothing____SP:Carol2017106    $0   </v>
      </c>
      <c r="H348" t="str">
        <f t="shared" si="111"/>
        <v xml:space="preserve">PR:Clothing    SP:Carol2017106    $0   </v>
      </c>
      <c r="I348" t="str">
        <f t="shared" si="112"/>
        <v>PR:Clothing SP:Carol2017106 $0</v>
      </c>
      <c r="J348">
        <f t="shared" si="113"/>
        <v>30</v>
      </c>
      <c r="K348">
        <f t="shared" si="114"/>
        <v>48</v>
      </c>
      <c r="L348" t="str">
        <f t="shared" si="115"/>
        <v>Clothing SP:Carol2017106 $0</v>
      </c>
      <c r="M348" t="str">
        <f t="shared" si="116"/>
        <v>Clothing Carol2017106 $0</v>
      </c>
      <c r="N348" s="1" t="str">
        <f t="shared" si="117"/>
        <v>Clothing Carol 2017106 $0</v>
      </c>
      <c r="O348" s="9">
        <f t="shared" si="125"/>
        <v>9</v>
      </c>
      <c r="P348" s="9">
        <f t="shared" si="118"/>
        <v>15</v>
      </c>
      <c r="Q348" s="10">
        <f t="shared" si="119"/>
        <v>23</v>
      </c>
      <c r="R348" s="7" t="str">
        <f t="shared" si="120"/>
        <v>Clothing</v>
      </c>
      <c r="S348" s="7" t="str">
        <f t="shared" si="121"/>
        <v>Carol</v>
      </c>
      <c r="T348" s="7" t="str">
        <f t="shared" si="122"/>
        <v>2017106</v>
      </c>
      <c r="U348" s="7">
        <f t="shared" si="123"/>
        <v>0</v>
      </c>
      <c r="V348" s="8">
        <f t="shared" si="124"/>
        <v>43014</v>
      </c>
    </row>
    <row r="349" spans="1:22">
      <c r="A349" s="3">
        <f t="shared" si="105"/>
        <v>347</v>
      </c>
      <c r="B349" t="s">
        <v>353</v>
      </c>
      <c r="C349">
        <f t="shared" si="106"/>
        <v>29</v>
      </c>
      <c r="D349" t="str">
        <f t="shared" si="107"/>
        <v xml:space="preserve">////PR:Music_SP:Carol20171017    $1223     </v>
      </c>
      <c r="E349">
        <f t="shared" si="108"/>
        <v>32</v>
      </c>
      <c r="F349" t="str">
        <f t="shared" si="109"/>
        <v xml:space="preserve">////PR:Music_SP:Carol20171017    $1223     </v>
      </c>
      <c r="G349" t="str">
        <f t="shared" si="110"/>
        <v xml:space="preserve">PR:Music_SP:Carol20171017    $1223     </v>
      </c>
      <c r="H349" t="str">
        <f t="shared" si="111"/>
        <v xml:space="preserve">PR:Music SP:Carol20171017    $1223     </v>
      </c>
      <c r="I349" t="str">
        <f t="shared" si="112"/>
        <v>PR:Music SP:Carol20171017 $1223</v>
      </c>
      <c r="J349">
        <f t="shared" si="113"/>
        <v>31</v>
      </c>
      <c r="K349">
        <f t="shared" si="114"/>
        <v>51</v>
      </c>
      <c r="L349" t="str">
        <f t="shared" si="115"/>
        <v>Music SP:Carol20171017 $1223</v>
      </c>
      <c r="M349" t="str">
        <f t="shared" si="116"/>
        <v>Music Carol20171017 $1223</v>
      </c>
      <c r="N349" s="1" t="str">
        <f t="shared" si="117"/>
        <v>Music Carol 20171017 $1223</v>
      </c>
      <c r="O349" s="9">
        <f t="shared" si="125"/>
        <v>6</v>
      </c>
      <c r="P349" s="9">
        <f t="shared" si="118"/>
        <v>12</v>
      </c>
      <c r="Q349" s="10">
        <f t="shared" si="119"/>
        <v>21</v>
      </c>
      <c r="R349" s="7" t="str">
        <f t="shared" si="120"/>
        <v>Music</v>
      </c>
      <c r="S349" s="7" t="str">
        <f t="shared" si="121"/>
        <v>Carol</v>
      </c>
      <c r="T349" s="7" t="str">
        <f t="shared" si="122"/>
        <v>20171017</v>
      </c>
      <c r="U349" s="7">
        <f t="shared" si="123"/>
        <v>1223</v>
      </c>
      <c r="V349" s="8">
        <f t="shared" si="124"/>
        <v>43025</v>
      </c>
    </row>
    <row r="350" spans="1:22">
      <c r="A350" s="3">
        <f t="shared" si="105"/>
        <v>348</v>
      </c>
      <c r="B350" t="s">
        <v>354</v>
      </c>
      <c r="C350">
        <f t="shared" si="106"/>
        <v>31</v>
      </c>
      <c r="D350" t="str">
        <f t="shared" si="107"/>
        <v xml:space="preserve">/PR:Clothing___SP:Barney2017101   $732    </v>
      </c>
      <c r="E350">
        <f t="shared" si="108"/>
        <v>32</v>
      </c>
      <c r="F350" t="str">
        <f t="shared" si="109"/>
        <v xml:space="preserve">/PR:Clothing___SP:Barney2017101   $732    </v>
      </c>
      <c r="G350" t="str">
        <f t="shared" si="110"/>
        <v xml:space="preserve">PR:Clothing___SP:Barney2017101   $732    </v>
      </c>
      <c r="H350" t="str">
        <f t="shared" si="111"/>
        <v xml:space="preserve">PR:Clothing   SP:Barney2017101   $732    </v>
      </c>
      <c r="I350" t="str">
        <f t="shared" si="112"/>
        <v>PR:Clothing SP:Barney2017101 $732</v>
      </c>
      <c r="J350">
        <f t="shared" si="113"/>
        <v>33</v>
      </c>
      <c r="K350">
        <f t="shared" si="114"/>
        <v>50</v>
      </c>
      <c r="L350" t="str">
        <f t="shared" si="115"/>
        <v>Clothing SP:Barney2017101 $732</v>
      </c>
      <c r="M350" t="str">
        <f t="shared" si="116"/>
        <v>Clothing Barney2017101 $732</v>
      </c>
      <c r="N350" s="1" t="str">
        <f t="shared" si="117"/>
        <v>Clothing Barney 2017101 $732</v>
      </c>
      <c r="O350" s="9">
        <f t="shared" si="125"/>
        <v>9</v>
      </c>
      <c r="P350" s="9">
        <f t="shared" si="118"/>
        <v>16</v>
      </c>
      <c r="Q350" s="10">
        <f t="shared" si="119"/>
        <v>24</v>
      </c>
      <c r="R350" s="7" t="str">
        <f t="shared" si="120"/>
        <v>Clothing</v>
      </c>
      <c r="S350" s="7" t="str">
        <f t="shared" si="121"/>
        <v>Barney</v>
      </c>
      <c r="T350" s="7" t="str">
        <f t="shared" si="122"/>
        <v>2017101</v>
      </c>
      <c r="U350" s="7">
        <f t="shared" si="123"/>
        <v>732</v>
      </c>
      <c r="V350" s="8">
        <f t="shared" si="124"/>
        <v>43009</v>
      </c>
    </row>
    <row r="351" spans="1:22">
      <c r="A351" s="3">
        <f t="shared" si="105"/>
        <v>349</v>
      </c>
      <c r="B351" t="s">
        <v>355</v>
      </c>
      <c r="C351">
        <f t="shared" si="106"/>
        <v>31</v>
      </c>
      <c r="D351" t="str">
        <f t="shared" si="107"/>
        <v xml:space="preserve">////PR:Clothing___SP:Carol20171020    $0     </v>
      </c>
      <c r="E351">
        <f t="shared" si="108"/>
        <v>32</v>
      </c>
      <c r="F351" t="str">
        <f t="shared" si="109"/>
        <v xml:space="preserve">////PR:Clothing___SP:Carol20171020    $0     </v>
      </c>
      <c r="G351" t="str">
        <f t="shared" si="110"/>
        <v xml:space="preserve">PR:Clothing___SP:Carol20171020    $0     </v>
      </c>
      <c r="H351" t="str">
        <f t="shared" si="111"/>
        <v xml:space="preserve">PR:Clothing   SP:Carol20171020    $0     </v>
      </c>
      <c r="I351" t="str">
        <f t="shared" si="112"/>
        <v>PR:Clothing SP:Carol20171020 $0</v>
      </c>
      <c r="J351">
        <f t="shared" si="113"/>
        <v>31</v>
      </c>
      <c r="K351">
        <f t="shared" si="114"/>
        <v>48</v>
      </c>
      <c r="L351" t="str">
        <f t="shared" si="115"/>
        <v>Clothing SP:Carol20171020 $0</v>
      </c>
      <c r="M351" t="str">
        <f t="shared" si="116"/>
        <v>Clothing Carol20171020 $0</v>
      </c>
      <c r="N351" s="1" t="str">
        <f t="shared" si="117"/>
        <v>Clothing Carol 20171020 $0</v>
      </c>
      <c r="O351" s="9">
        <f t="shared" si="125"/>
        <v>9</v>
      </c>
      <c r="P351" s="9">
        <f t="shared" si="118"/>
        <v>15</v>
      </c>
      <c r="Q351" s="10">
        <f t="shared" si="119"/>
        <v>24</v>
      </c>
      <c r="R351" s="7" t="str">
        <f t="shared" si="120"/>
        <v>Clothing</v>
      </c>
      <c r="S351" s="7" t="str">
        <f t="shared" si="121"/>
        <v>Carol</v>
      </c>
      <c r="T351" s="7" t="str">
        <f t="shared" si="122"/>
        <v>20171020</v>
      </c>
      <c r="U351" s="7">
        <f t="shared" si="123"/>
        <v>0</v>
      </c>
      <c r="V351" s="8">
        <f t="shared" si="124"/>
        <v>43028</v>
      </c>
    </row>
    <row r="352" spans="1:22">
      <c r="A352" s="3">
        <f t="shared" si="105"/>
        <v>350</v>
      </c>
      <c r="B352" t="s">
        <v>356</v>
      </c>
      <c r="C352">
        <f t="shared" si="106"/>
        <v>29</v>
      </c>
      <c r="D352" t="str">
        <f t="shared" si="107"/>
        <v xml:space="preserve">//PR:Books___SP:Carol2017105    $619    </v>
      </c>
      <c r="E352">
        <f t="shared" si="108"/>
        <v>32</v>
      </c>
      <c r="F352" t="str">
        <f t="shared" si="109"/>
        <v xml:space="preserve">//PR:Books___SP:Carol2017105    $619    </v>
      </c>
      <c r="G352" t="str">
        <f t="shared" si="110"/>
        <v xml:space="preserve">PR:Books___SP:Carol2017105    $619    </v>
      </c>
      <c r="H352" t="str">
        <f t="shared" si="111"/>
        <v xml:space="preserve">PR:Books   SP:Carol2017105    $619    </v>
      </c>
      <c r="I352" t="str">
        <f t="shared" si="112"/>
        <v>PR:Books SP:Carol2017105 $619</v>
      </c>
      <c r="J352">
        <f t="shared" si="113"/>
        <v>29</v>
      </c>
      <c r="K352">
        <f t="shared" si="114"/>
        <v>57</v>
      </c>
      <c r="L352" t="str">
        <f t="shared" si="115"/>
        <v>Books SP:Carol2017105 $619</v>
      </c>
      <c r="M352" t="str">
        <f t="shared" si="116"/>
        <v>Books Carol2017105 $619</v>
      </c>
      <c r="N352" s="1" t="str">
        <f t="shared" si="117"/>
        <v>Books Carol 2017105 $619</v>
      </c>
      <c r="O352" s="9">
        <f t="shared" si="125"/>
        <v>6</v>
      </c>
      <c r="P352" s="9">
        <f t="shared" si="118"/>
        <v>12</v>
      </c>
      <c r="Q352" s="10">
        <f t="shared" si="119"/>
        <v>20</v>
      </c>
      <c r="R352" s="7" t="str">
        <f t="shared" si="120"/>
        <v>Books</v>
      </c>
      <c r="S352" s="7" t="str">
        <f t="shared" si="121"/>
        <v>Carol</v>
      </c>
      <c r="T352" s="7" t="str">
        <f t="shared" si="122"/>
        <v>2017105</v>
      </c>
      <c r="U352" s="7">
        <f t="shared" si="123"/>
        <v>619</v>
      </c>
      <c r="V352" s="8">
        <f t="shared" si="124"/>
        <v>43013</v>
      </c>
    </row>
    <row r="353" spans="1:22">
      <c r="A353" s="3">
        <f t="shared" si="105"/>
        <v>351</v>
      </c>
      <c r="B353" t="s">
        <v>357</v>
      </c>
      <c r="C353">
        <f t="shared" si="106"/>
        <v>31</v>
      </c>
      <c r="D353" t="str">
        <f t="shared" si="107"/>
        <v xml:space="preserve">/PR:Clothing_SP:Alice20171019     $877  </v>
      </c>
      <c r="E353">
        <f t="shared" si="108"/>
        <v>32</v>
      </c>
      <c r="F353" t="str">
        <f t="shared" si="109"/>
        <v xml:space="preserve">/PR:Clothing_SP:Alice20171019     $877  </v>
      </c>
      <c r="G353" t="str">
        <f t="shared" si="110"/>
        <v xml:space="preserve">PR:Clothing_SP:Alice20171019     $877  </v>
      </c>
      <c r="H353" t="str">
        <f t="shared" si="111"/>
        <v xml:space="preserve">PR:Clothing SP:Alice20171019     $877  </v>
      </c>
      <c r="I353" t="str">
        <f t="shared" si="112"/>
        <v>PR:Clothing SP:Alice20171019 $877</v>
      </c>
      <c r="J353">
        <f t="shared" si="113"/>
        <v>33</v>
      </c>
      <c r="K353">
        <f t="shared" si="114"/>
        <v>55</v>
      </c>
      <c r="L353" t="str">
        <f t="shared" si="115"/>
        <v>Clothing SP:Alice20171019 $877</v>
      </c>
      <c r="M353" t="str">
        <f t="shared" si="116"/>
        <v>Clothing Alice20171019 $877</v>
      </c>
      <c r="N353" s="1" t="str">
        <f t="shared" si="117"/>
        <v>Clothing Alice 20171019 $877</v>
      </c>
      <c r="O353" s="9">
        <f t="shared" si="125"/>
        <v>9</v>
      </c>
      <c r="P353" s="9">
        <f t="shared" si="118"/>
        <v>15</v>
      </c>
      <c r="Q353" s="10">
        <f t="shared" si="119"/>
        <v>24</v>
      </c>
      <c r="R353" s="7" t="str">
        <f t="shared" si="120"/>
        <v>Clothing</v>
      </c>
      <c r="S353" s="7" t="str">
        <f t="shared" si="121"/>
        <v>Alice</v>
      </c>
      <c r="T353" s="7" t="str">
        <f t="shared" si="122"/>
        <v>20171019</v>
      </c>
      <c r="U353" s="7">
        <f t="shared" si="123"/>
        <v>877</v>
      </c>
      <c r="V353" s="8">
        <f t="shared" si="124"/>
        <v>43027</v>
      </c>
    </row>
    <row r="354" spans="1:22">
      <c r="A354" s="3">
        <f t="shared" si="105"/>
        <v>352</v>
      </c>
      <c r="B354" t="s">
        <v>358</v>
      </c>
      <c r="C354">
        <f t="shared" si="106"/>
        <v>29</v>
      </c>
      <c r="D354" t="str">
        <f t="shared" si="107"/>
        <v xml:space="preserve">///PR:Books_____SP:David20171031    $629   </v>
      </c>
      <c r="E354">
        <f t="shared" si="108"/>
        <v>32</v>
      </c>
      <c r="F354" t="str">
        <f t="shared" si="109"/>
        <v xml:space="preserve">///PR:Books_____SP:David20171031    $629   </v>
      </c>
      <c r="G354" t="str">
        <f t="shared" si="110"/>
        <v xml:space="preserve">PR:Books_____SP:David20171031    $629   </v>
      </c>
      <c r="H354" t="str">
        <f t="shared" si="111"/>
        <v xml:space="preserve">PR:Books     SP:David20171031    $629   </v>
      </c>
      <c r="I354" t="str">
        <f t="shared" si="112"/>
        <v>PR:Books SP:David20171031 $629</v>
      </c>
      <c r="J354">
        <f t="shared" si="113"/>
        <v>30</v>
      </c>
      <c r="K354">
        <f t="shared" si="114"/>
        <v>57</v>
      </c>
      <c r="L354" t="str">
        <f t="shared" si="115"/>
        <v>Books SP:David20171031 $629</v>
      </c>
      <c r="M354" t="str">
        <f t="shared" si="116"/>
        <v>Books David20171031 $629</v>
      </c>
      <c r="N354" s="1" t="str">
        <f t="shared" si="117"/>
        <v>Books David 20171031 $629</v>
      </c>
      <c r="O354" s="9">
        <f t="shared" si="125"/>
        <v>6</v>
      </c>
      <c r="P354" s="9">
        <f t="shared" si="118"/>
        <v>12</v>
      </c>
      <c r="Q354" s="10">
        <f t="shared" si="119"/>
        <v>21</v>
      </c>
      <c r="R354" s="7" t="str">
        <f t="shared" si="120"/>
        <v>Books</v>
      </c>
      <c r="S354" s="7" t="str">
        <f t="shared" si="121"/>
        <v>David</v>
      </c>
      <c r="T354" s="7" t="str">
        <f t="shared" si="122"/>
        <v>20171031</v>
      </c>
      <c r="U354" s="7">
        <f t="shared" si="123"/>
        <v>629</v>
      </c>
      <c r="V354" s="8">
        <f t="shared" si="124"/>
        <v>43039</v>
      </c>
    </row>
    <row r="355" spans="1:22">
      <c r="A355" s="3">
        <f t="shared" si="105"/>
        <v>353</v>
      </c>
      <c r="B355" t="s">
        <v>359</v>
      </c>
      <c r="C355">
        <f t="shared" si="106"/>
        <v>29</v>
      </c>
      <c r="D355" t="str">
        <f t="shared" si="107"/>
        <v xml:space="preserve">///PR:Clothing____SP:Carol2017103     $1069 </v>
      </c>
      <c r="E355">
        <f t="shared" si="108"/>
        <v>32</v>
      </c>
      <c r="F355" t="str">
        <f t="shared" si="109"/>
        <v xml:space="preserve">///PR:Clothing____SP:Carol2017103     $1069 </v>
      </c>
      <c r="G355" t="str">
        <f t="shared" si="110"/>
        <v xml:space="preserve">PR:Clothing____SP:Carol2017103     $1069 </v>
      </c>
      <c r="H355" t="str">
        <f t="shared" si="111"/>
        <v xml:space="preserve">PR:Clothing    SP:Carol2017103     $1069 </v>
      </c>
      <c r="I355" t="str">
        <f t="shared" si="112"/>
        <v>PR:Clothing SP:Carol2017103 $1069</v>
      </c>
      <c r="J355">
        <f t="shared" si="113"/>
        <v>33</v>
      </c>
      <c r="K355">
        <f t="shared" si="114"/>
        <v>57</v>
      </c>
      <c r="L355" t="str">
        <f t="shared" si="115"/>
        <v>Clothing SP:Carol2017103 $1069</v>
      </c>
      <c r="M355" t="str">
        <f t="shared" si="116"/>
        <v>Clothing Carol2017103 $1069</v>
      </c>
      <c r="N355" s="1" t="str">
        <f t="shared" si="117"/>
        <v>Clothing Carol 2017103 $1069</v>
      </c>
      <c r="O355" s="9">
        <f t="shared" si="125"/>
        <v>9</v>
      </c>
      <c r="P355" s="9">
        <f t="shared" si="118"/>
        <v>15</v>
      </c>
      <c r="Q355" s="10">
        <f t="shared" si="119"/>
        <v>23</v>
      </c>
      <c r="R355" s="7" t="str">
        <f t="shared" si="120"/>
        <v>Clothing</v>
      </c>
      <c r="S355" s="7" t="str">
        <f t="shared" si="121"/>
        <v>Carol</v>
      </c>
      <c r="T355" s="7" t="str">
        <f t="shared" si="122"/>
        <v>2017103</v>
      </c>
      <c r="U355" s="7">
        <f t="shared" si="123"/>
        <v>1069</v>
      </c>
      <c r="V355" s="8">
        <f t="shared" si="124"/>
        <v>43011</v>
      </c>
    </row>
    <row r="356" spans="1:22">
      <c r="A356" s="3">
        <f t="shared" si="105"/>
        <v>354</v>
      </c>
      <c r="B356" t="s">
        <v>360</v>
      </c>
      <c r="C356">
        <f t="shared" si="106"/>
        <v>31</v>
      </c>
      <c r="D356" t="str">
        <f t="shared" si="107"/>
        <v xml:space="preserve">////PR:Music__SP:Alice20171022    $1348  </v>
      </c>
      <c r="E356">
        <f t="shared" si="108"/>
        <v>32</v>
      </c>
      <c r="F356" t="str">
        <f t="shared" si="109"/>
        <v xml:space="preserve">////PR:Music__SP:Alice20171022    $1348  </v>
      </c>
      <c r="G356" t="str">
        <f t="shared" si="110"/>
        <v xml:space="preserve">PR:Music__SP:Alice20171022    $1348  </v>
      </c>
      <c r="H356" t="str">
        <f t="shared" si="111"/>
        <v xml:space="preserve">PR:Music  SP:Alice20171022    $1348  </v>
      </c>
      <c r="I356" t="str">
        <f t="shared" si="112"/>
        <v>PR:Music SP:Alice20171022 $1348</v>
      </c>
      <c r="J356">
        <f t="shared" si="113"/>
        <v>31</v>
      </c>
      <c r="K356">
        <f t="shared" si="114"/>
        <v>56</v>
      </c>
      <c r="L356" t="str">
        <f t="shared" si="115"/>
        <v>Music SP:Alice20171022 $1348</v>
      </c>
      <c r="M356" t="str">
        <f t="shared" si="116"/>
        <v>Music Alice20171022 $1348</v>
      </c>
      <c r="N356" s="1" t="str">
        <f t="shared" si="117"/>
        <v>Music Alice 20171022 $1348</v>
      </c>
      <c r="O356" s="9">
        <f t="shared" si="125"/>
        <v>6</v>
      </c>
      <c r="P356" s="9">
        <f t="shared" si="118"/>
        <v>12</v>
      </c>
      <c r="Q356" s="10">
        <f t="shared" si="119"/>
        <v>21</v>
      </c>
      <c r="R356" s="7" t="str">
        <f t="shared" si="120"/>
        <v>Music</v>
      </c>
      <c r="S356" s="7" t="str">
        <f t="shared" si="121"/>
        <v>Alice</v>
      </c>
      <c r="T356" s="7" t="str">
        <f t="shared" si="122"/>
        <v>20171022</v>
      </c>
      <c r="U356" s="7">
        <f t="shared" si="123"/>
        <v>1348</v>
      </c>
      <c r="V356" s="8">
        <f t="shared" si="124"/>
        <v>43030</v>
      </c>
    </row>
    <row r="357" spans="1:22">
      <c r="A357" s="3">
        <f t="shared" si="105"/>
        <v>355</v>
      </c>
      <c r="B357" t="s">
        <v>361</v>
      </c>
      <c r="C357">
        <f t="shared" si="106"/>
        <v>29</v>
      </c>
      <c r="D357" t="str">
        <f t="shared" si="107"/>
        <v xml:space="preserve">//PR:Clothing_____SP:David20171017  $1475 </v>
      </c>
      <c r="E357">
        <f t="shared" si="108"/>
        <v>32</v>
      </c>
      <c r="F357" t="str">
        <f t="shared" si="109"/>
        <v xml:space="preserve">//PR:Clothing_____SP:David20171017  $1475 </v>
      </c>
      <c r="G357" t="str">
        <f t="shared" si="110"/>
        <v xml:space="preserve">PR:Clothing_____SP:David20171017  $1475 </v>
      </c>
      <c r="H357" t="str">
        <f t="shared" si="111"/>
        <v xml:space="preserve">PR:Clothing     SP:David20171017  $1475 </v>
      </c>
      <c r="I357" t="str">
        <f t="shared" si="112"/>
        <v>PR:Clothing SP:David20171017 $1475</v>
      </c>
      <c r="J357">
        <f t="shared" si="113"/>
        <v>34</v>
      </c>
      <c r="K357">
        <f t="shared" si="114"/>
        <v>53</v>
      </c>
      <c r="L357" t="str">
        <f t="shared" si="115"/>
        <v>Clothing SP:David20171017 $1475</v>
      </c>
      <c r="M357" t="str">
        <f t="shared" si="116"/>
        <v>Clothing David20171017 $1475</v>
      </c>
      <c r="N357" s="1" t="str">
        <f t="shared" si="117"/>
        <v>Clothing David 20171017 $1475</v>
      </c>
      <c r="O357" s="9">
        <f t="shared" si="125"/>
        <v>9</v>
      </c>
      <c r="P357" s="9">
        <f t="shared" si="118"/>
        <v>15</v>
      </c>
      <c r="Q357" s="10">
        <f t="shared" si="119"/>
        <v>24</v>
      </c>
      <c r="R357" s="7" t="str">
        <f t="shared" si="120"/>
        <v>Clothing</v>
      </c>
      <c r="S357" s="7" t="str">
        <f t="shared" si="121"/>
        <v>David</v>
      </c>
      <c r="T357" s="7" t="str">
        <f t="shared" si="122"/>
        <v>20171017</v>
      </c>
      <c r="U357" s="7">
        <f t="shared" si="123"/>
        <v>1475</v>
      </c>
      <c r="V357" s="8">
        <f t="shared" si="124"/>
        <v>43025</v>
      </c>
    </row>
    <row r="358" spans="1:22">
      <c r="A358" s="3">
        <f t="shared" si="105"/>
        <v>356</v>
      </c>
      <c r="B358" t="s">
        <v>362</v>
      </c>
      <c r="C358">
        <f t="shared" si="106"/>
        <v>30</v>
      </c>
      <c r="D358" t="str">
        <f t="shared" si="107"/>
        <v xml:space="preserve">///PR:Music__SP:Carol20171021    $0 </v>
      </c>
      <c r="E358">
        <f t="shared" si="108"/>
        <v>32</v>
      </c>
      <c r="F358" t="str">
        <f t="shared" si="109"/>
        <v xml:space="preserve">///PR:Music__SP:Carol20171021    $0 </v>
      </c>
      <c r="G358" t="str">
        <f t="shared" si="110"/>
        <v xml:space="preserve">PR:Music__SP:Carol20171021    $0 </v>
      </c>
      <c r="H358" t="str">
        <f t="shared" si="111"/>
        <v xml:space="preserve">PR:Music  SP:Carol20171021    $0 </v>
      </c>
      <c r="I358" t="str">
        <f t="shared" si="112"/>
        <v>PR:Music SP:Carol20171021 $0</v>
      </c>
      <c r="J358">
        <f t="shared" si="113"/>
        <v>28</v>
      </c>
      <c r="K358">
        <f t="shared" si="114"/>
        <v>48</v>
      </c>
      <c r="L358" t="str">
        <f t="shared" si="115"/>
        <v>Music SP:Carol20171021 $0</v>
      </c>
      <c r="M358" t="str">
        <f t="shared" si="116"/>
        <v>Music Carol20171021 $0</v>
      </c>
      <c r="N358" s="1" t="str">
        <f t="shared" si="117"/>
        <v>Music Carol 20171021 $0</v>
      </c>
      <c r="O358" s="9">
        <f t="shared" si="125"/>
        <v>6</v>
      </c>
      <c r="P358" s="9">
        <f t="shared" si="118"/>
        <v>12</v>
      </c>
      <c r="Q358" s="10">
        <f t="shared" si="119"/>
        <v>21</v>
      </c>
      <c r="R358" s="7" t="str">
        <f t="shared" si="120"/>
        <v>Music</v>
      </c>
      <c r="S358" s="7" t="str">
        <f t="shared" si="121"/>
        <v>Carol</v>
      </c>
      <c r="T358" s="7" t="str">
        <f t="shared" si="122"/>
        <v>20171021</v>
      </c>
      <c r="U358" s="7">
        <f t="shared" si="123"/>
        <v>0</v>
      </c>
      <c r="V358" s="8">
        <f t="shared" si="124"/>
        <v>43029</v>
      </c>
    </row>
    <row r="359" spans="1:22">
      <c r="A359" s="3">
        <f t="shared" si="105"/>
        <v>357</v>
      </c>
      <c r="B359" t="s">
        <v>363</v>
      </c>
      <c r="C359">
        <f t="shared" si="106"/>
        <v>29</v>
      </c>
      <c r="D359" t="str">
        <f t="shared" si="107"/>
        <v xml:space="preserve">///PR:Games___SP:Alice20171014   $2209     </v>
      </c>
      <c r="E359">
        <f t="shared" si="108"/>
        <v>32</v>
      </c>
      <c r="F359" t="str">
        <f t="shared" si="109"/>
        <v xml:space="preserve">///PR:Games___SP:Alice20171014   $2209     </v>
      </c>
      <c r="G359" t="str">
        <f t="shared" si="110"/>
        <v xml:space="preserve">PR:Games___SP:Alice20171014   $2209     </v>
      </c>
      <c r="H359" t="str">
        <f t="shared" si="111"/>
        <v xml:space="preserve">PR:Games   SP:Alice20171014   $2209     </v>
      </c>
      <c r="I359" t="str">
        <f t="shared" si="112"/>
        <v>PR:Games SP:Alice20171014 $2209</v>
      </c>
      <c r="J359">
        <f t="shared" si="113"/>
        <v>31</v>
      </c>
      <c r="K359">
        <f t="shared" si="114"/>
        <v>57</v>
      </c>
      <c r="L359" t="str">
        <f t="shared" si="115"/>
        <v>Games SP:Alice20171014 $2209</v>
      </c>
      <c r="M359" t="str">
        <f t="shared" si="116"/>
        <v>Games Alice20171014 $2209</v>
      </c>
      <c r="N359" s="1" t="str">
        <f t="shared" si="117"/>
        <v>Games Alice 20171014 $2209</v>
      </c>
      <c r="O359" s="9">
        <f t="shared" si="125"/>
        <v>6</v>
      </c>
      <c r="P359" s="9">
        <f t="shared" si="118"/>
        <v>12</v>
      </c>
      <c r="Q359" s="10">
        <f t="shared" si="119"/>
        <v>21</v>
      </c>
      <c r="R359" s="7" t="str">
        <f t="shared" si="120"/>
        <v>Games</v>
      </c>
      <c r="S359" s="7" t="str">
        <f t="shared" si="121"/>
        <v>Alice</v>
      </c>
      <c r="T359" s="7" t="str">
        <f t="shared" si="122"/>
        <v>20171014</v>
      </c>
      <c r="U359" s="7">
        <f t="shared" si="123"/>
        <v>2209</v>
      </c>
      <c r="V359" s="8">
        <f t="shared" si="124"/>
        <v>43022</v>
      </c>
    </row>
    <row r="360" spans="1:22">
      <c r="A360" s="3">
        <f t="shared" si="105"/>
        <v>358</v>
      </c>
      <c r="B360" t="s">
        <v>364</v>
      </c>
      <c r="C360">
        <f t="shared" si="106"/>
        <v>30</v>
      </c>
      <c r="D360" t="str">
        <f t="shared" si="107"/>
        <v xml:space="preserve">/////PR:Games___SP:David20171024     $0    </v>
      </c>
      <c r="E360">
        <f t="shared" si="108"/>
        <v>32</v>
      </c>
      <c r="F360" t="str">
        <f t="shared" si="109"/>
        <v xml:space="preserve">/////PR:Games___SP:David20171024     $0    </v>
      </c>
      <c r="G360" t="str">
        <f t="shared" si="110"/>
        <v xml:space="preserve">PR:Games___SP:David20171024     $0    </v>
      </c>
      <c r="H360" t="str">
        <f t="shared" si="111"/>
        <v xml:space="preserve">PR:Games   SP:David20171024     $0    </v>
      </c>
      <c r="I360" t="str">
        <f t="shared" si="112"/>
        <v>PR:Games SP:David20171024 $0</v>
      </c>
      <c r="J360">
        <f t="shared" si="113"/>
        <v>28</v>
      </c>
      <c r="K360">
        <f t="shared" si="114"/>
        <v>48</v>
      </c>
      <c r="L360" t="str">
        <f t="shared" si="115"/>
        <v>Games SP:David20171024 $0</v>
      </c>
      <c r="M360" t="str">
        <f t="shared" si="116"/>
        <v>Games David20171024 $0</v>
      </c>
      <c r="N360" s="1" t="str">
        <f t="shared" si="117"/>
        <v>Games David 20171024 $0</v>
      </c>
      <c r="O360" s="9">
        <f t="shared" si="125"/>
        <v>6</v>
      </c>
      <c r="P360" s="9">
        <f t="shared" si="118"/>
        <v>12</v>
      </c>
      <c r="Q360" s="10">
        <f t="shared" si="119"/>
        <v>21</v>
      </c>
      <c r="R360" s="7" t="str">
        <f t="shared" si="120"/>
        <v>Games</v>
      </c>
      <c r="S360" s="7" t="str">
        <f t="shared" si="121"/>
        <v>David</v>
      </c>
      <c r="T360" s="7" t="str">
        <f t="shared" si="122"/>
        <v>20171024</v>
      </c>
      <c r="U360" s="7">
        <f t="shared" si="123"/>
        <v>0</v>
      </c>
      <c r="V360" s="8">
        <f t="shared" si="124"/>
        <v>43032</v>
      </c>
    </row>
    <row r="361" spans="1:22">
      <c r="A361" s="3">
        <f t="shared" si="105"/>
        <v>359</v>
      </c>
      <c r="B361" t="s">
        <v>365</v>
      </c>
      <c r="C361">
        <f t="shared" si="106"/>
        <v>31</v>
      </c>
      <c r="D361" t="str">
        <f t="shared" si="107"/>
        <v xml:space="preserve">////PR:Games____SP:Barney20171019 $0 </v>
      </c>
      <c r="E361">
        <f t="shared" si="108"/>
        <v>32</v>
      </c>
      <c r="F361" t="str">
        <f t="shared" si="109"/>
        <v xml:space="preserve">////PR:Games____SP:Barney20171019 $0 </v>
      </c>
      <c r="G361" t="str">
        <f t="shared" si="110"/>
        <v xml:space="preserve">PR:Games____SP:Barney20171019 $0 </v>
      </c>
      <c r="H361" t="str">
        <f t="shared" si="111"/>
        <v xml:space="preserve">PR:Games    SP:Barney20171019 $0 </v>
      </c>
      <c r="I361" t="str">
        <f t="shared" si="112"/>
        <v>PR:Games SP:Barney20171019 $0</v>
      </c>
      <c r="J361">
        <f t="shared" si="113"/>
        <v>29</v>
      </c>
      <c r="K361">
        <f t="shared" si="114"/>
        <v>48</v>
      </c>
      <c r="L361" t="str">
        <f t="shared" si="115"/>
        <v>Games SP:Barney20171019 $0</v>
      </c>
      <c r="M361" t="str">
        <f t="shared" si="116"/>
        <v>Games Barney20171019 $0</v>
      </c>
      <c r="N361" s="1" t="str">
        <f t="shared" si="117"/>
        <v>Games Barney 20171019 $0</v>
      </c>
      <c r="O361" s="9">
        <f t="shared" si="125"/>
        <v>6</v>
      </c>
      <c r="P361" s="9">
        <f t="shared" si="118"/>
        <v>13</v>
      </c>
      <c r="Q361" s="10">
        <f t="shared" si="119"/>
        <v>22</v>
      </c>
      <c r="R361" s="7" t="str">
        <f t="shared" si="120"/>
        <v>Games</v>
      </c>
      <c r="S361" s="7" t="str">
        <f t="shared" si="121"/>
        <v>Barney</v>
      </c>
      <c r="T361" s="7" t="str">
        <f t="shared" si="122"/>
        <v>20171019</v>
      </c>
      <c r="U361" s="7">
        <f t="shared" si="123"/>
        <v>0</v>
      </c>
      <c r="V361" s="8">
        <f t="shared" si="124"/>
        <v>43027</v>
      </c>
    </row>
    <row r="362" spans="1:22">
      <c r="A362" s="3">
        <f t="shared" si="105"/>
        <v>360</v>
      </c>
      <c r="B362" t="s">
        <v>366</v>
      </c>
      <c r="C362">
        <f t="shared" si="106"/>
        <v>30</v>
      </c>
      <c r="D362" t="str">
        <f t="shared" si="107"/>
        <v xml:space="preserve">///PR:Games___SP:Carol2017106  $1733 </v>
      </c>
      <c r="E362">
        <f t="shared" si="108"/>
        <v>32</v>
      </c>
      <c r="F362" t="str">
        <f t="shared" si="109"/>
        <v xml:space="preserve">///PR:Games___SP:Carol2017106  $1733 </v>
      </c>
      <c r="G362" t="str">
        <f t="shared" si="110"/>
        <v xml:space="preserve">PR:Games___SP:Carol2017106  $1733 </v>
      </c>
      <c r="H362" t="str">
        <f t="shared" si="111"/>
        <v xml:space="preserve">PR:Games   SP:Carol2017106  $1733 </v>
      </c>
      <c r="I362" t="str">
        <f t="shared" si="112"/>
        <v>PR:Games SP:Carol2017106 $1733</v>
      </c>
      <c r="J362">
        <f t="shared" si="113"/>
        <v>30</v>
      </c>
      <c r="K362">
        <f t="shared" si="114"/>
        <v>51</v>
      </c>
      <c r="L362" t="str">
        <f t="shared" si="115"/>
        <v>Games SP:Carol2017106 $1733</v>
      </c>
      <c r="M362" t="str">
        <f t="shared" si="116"/>
        <v>Games Carol2017106 $1733</v>
      </c>
      <c r="N362" s="1" t="str">
        <f t="shared" si="117"/>
        <v>Games Carol 2017106 $1733</v>
      </c>
      <c r="O362" s="9">
        <f t="shared" si="125"/>
        <v>6</v>
      </c>
      <c r="P362" s="9">
        <f t="shared" si="118"/>
        <v>12</v>
      </c>
      <c r="Q362" s="10">
        <f t="shared" si="119"/>
        <v>20</v>
      </c>
      <c r="R362" s="7" t="str">
        <f t="shared" si="120"/>
        <v>Games</v>
      </c>
      <c r="S362" s="7" t="str">
        <f t="shared" si="121"/>
        <v>Carol</v>
      </c>
      <c r="T362" s="7" t="str">
        <f t="shared" si="122"/>
        <v>2017106</v>
      </c>
      <c r="U362" s="7">
        <f t="shared" si="123"/>
        <v>1733</v>
      </c>
      <c r="V362" s="8">
        <f t="shared" si="124"/>
        <v>43014</v>
      </c>
    </row>
    <row r="363" spans="1:22">
      <c r="A363" s="3">
        <f t="shared" si="105"/>
        <v>361</v>
      </c>
      <c r="B363" t="s">
        <v>367</v>
      </c>
      <c r="C363">
        <f t="shared" si="106"/>
        <v>30</v>
      </c>
      <c r="D363" t="str">
        <f t="shared" si="107"/>
        <v xml:space="preserve">/////PR:Games__SP:David2017105    $1878     </v>
      </c>
      <c r="E363">
        <f t="shared" si="108"/>
        <v>32</v>
      </c>
      <c r="F363" t="str">
        <f t="shared" si="109"/>
        <v xml:space="preserve">/////PR:Games__SP:David2017105    $1878     </v>
      </c>
      <c r="G363" t="str">
        <f t="shared" si="110"/>
        <v xml:space="preserve">PR:Games__SP:David2017105    $1878     </v>
      </c>
      <c r="H363" t="str">
        <f t="shared" si="111"/>
        <v xml:space="preserve">PR:Games  SP:David2017105    $1878     </v>
      </c>
      <c r="I363" t="str">
        <f t="shared" si="112"/>
        <v>PR:Games SP:David2017105 $1878</v>
      </c>
      <c r="J363">
        <f t="shared" si="113"/>
        <v>30</v>
      </c>
      <c r="K363">
        <f t="shared" si="114"/>
        <v>56</v>
      </c>
      <c r="L363" t="str">
        <f t="shared" si="115"/>
        <v>Games SP:David2017105 $1878</v>
      </c>
      <c r="M363" t="str">
        <f t="shared" si="116"/>
        <v>Games David2017105 $1878</v>
      </c>
      <c r="N363" s="1" t="str">
        <f t="shared" si="117"/>
        <v>Games David 2017105 $1878</v>
      </c>
      <c r="O363" s="9">
        <f t="shared" si="125"/>
        <v>6</v>
      </c>
      <c r="P363" s="9">
        <f t="shared" si="118"/>
        <v>12</v>
      </c>
      <c r="Q363" s="10">
        <f t="shared" si="119"/>
        <v>20</v>
      </c>
      <c r="R363" s="7" t="str">
        <f t="shared" si="120"/>
        <v>Games</v>
      </c>
      <c r="S363" s="7" t="str">
        <f t="shared" si="121"/>
        <v>David</v>
      </c>
      <c r="T363" s="7" t="str">
        <f t="shared" si="122"/>
        <v>2017105</v>
      </c>
      <c r="U363" s="7">
        <f t="shared" si="123"/>
        <v>1878</v>
      </c>
      <c r="V363" s="8">
        <f t="shared" si="124"/>
        <v>43013</v>
      </c>
    </row>
    <row r="364" spans="1:22">
      <c r="A364" s="3">
        <f t="shared" si="105"/>
        <v>362</v>
      </c>
      <c r="B364" t="s">
        <v>368</v>
      </c>
      <c r="C364">
        <f t="shared" si="106"/>
        <v>28</v>
      </c>
      <c r="D364" t="str">
        <f t="shared" si="107"/>
        <v xml:space="preserve">//PR:Clothing___SP:Barney20171012    $925     </v>
      </c>
      <c r="E364">
        <f t="shared" si="108"/>
        <v>32</v>
      </c>
      <c r="F364" t="str">
        <f t="shared" si="109"/>
        <v xml:space="preserve">//PR:Clothing___SP:Barney20171012    $925     </v>
      </c>
      <c r="G364" t="str">
        <f t="shared" si="110"/>
        <v xml:space="preserve">PR:Clothing___SP:Barney20171012    $925     </v>
      </c>
      <c r="H364" t="str">
        <f t="shared" si="111"/>
        <v xml:space="preserve">PR:Clothing   SP:Barney20171012    $925     </v>
      </c>
      <c r="I364" t="str">
        <f t="shared" si="112"/>
        <v>PR:Clothing SP:Barney20171012 $925</v>
      </c>
      <c r="J364">
        <f t="shared" si="113"/>
        <v>34</v>
      </c>
      <c r="K364">
        <f t="shared" si="114"/>
        <v>53</v>
      </c>
      <c r="L364" t="str">
        <f t="shared" si="115"/>
        <v>Clothing SP:Barney20171012 $925</v>
      </c>
      <c r="M364" t="str">
        <f t="shared" si="116"/>
        <v>Clothing Barney20171012 $925</v>
      </c>
      <c r="N364" s="1" t="str">
        <f t="shared" si="117"/>
        <v>Clothing Barney 20171012 $925</v>
      </c>
      <c r="O364" s="9">
        <f t="shared" si="125"/>
        <v>9</v>
      </c>
      <c r="P364" s="9">
        <f t="shared" si="118"/>
        <v>16</v>
      </c>
      <c r="Q364" s="10">
        <f t="shared" si="119"/>
        <v>25</v>
      </c>
      <c r="R364" s="7" t="str">
        <f t="shared" si="120"/>
        <v>Clothing</v>
      </c>
      <c r="S364" s="7" t="str">
        <f t="shared" si="121"/>
        <v>Barney</v>
      </c>
      <c r="T364" s="7" t="str">
        <f t="shared" si="122"/>
        <v>20171012</v>
      </c>
      <c r="U364" s="7">
        <f t="shared" si="123"/>
        <v>925</v>
      </c>
      <c r="V364" s="8">
        <f t="shared" si="124"/>
        <v>43020</v>
      </c>
    </row>
    <row r="365" spans="1:22">
      <c r="A365" s="3">
        <f t="shared" si="105"/>
        <v>363</v>
      </c>
      <c r="B365" t="s">
        <v>369</v>
      </c>
      <c r="C365">
        <f t="shared" si="106"/>
        <v>31</v>
      </c>
      <c r="D365" t="str">
        <f t="shared" si="107"/>
        <v xml:space="preserve">/PR:Books___SP:Barney2017101    $686    </v>
      </c>
      <c r="E365">
        <f t="shared" si="108"/>
        <v>32</v>
      </c>
      <c r="F365" t="str">
        <f t="shared" si="109"/>
        <v xml:space="preserve">/PR:Books___SP:Barney2017101    $686    </v>
      </c>
      <c r="G365" t="str">
        <f t="shared" si="110"/>
        <v xml:space="preserve">PR:Books___SP:Barney2017101    $686    </v>
      </c>
      <c r="H365" t="str">
        <f t="shared" si="111"/>
        <v xml:space="preserve">PR:Books   SP:Barney2017101    $686    </v>
      </c>
      <c r="I365" t="str">
        <f t="shared" si="112"/>
        <v>PR:Books SP:Barney2017101 $686</v>
      </c>
      <c r="J365">
        <f t="shared" si="113"/>
        <v>30</v>
      </c>
      <c r="K365">
        <f t="shared" si="114"/>
        <v>54</v>
      </c>
      <c r="L365" t="str">
        <f t="shared" si="115"/>
        <v>Books SP:Barney2017101 $686</v>
      </c>
      <c r="M365" t="str">
        <f t="shared" si="116"/>
        <v>Books Barney2017101 $686</v>
      </c>
      <c r="N365" s="1" t="str">
        <f t="shared" si="117"/>
        <v>Books Barney 2017101 $686</v>
      </c>
      <c r="O365" s="9">
        <f t="shared" si="125"/>
        <v>6</v>
      </c>
      <c r="P365" s="9">
        <f t="shared" si="118"/>
        <v>13</v>
      </c>
      <c r="Q365" s="10">
        <f t="shared" si="119"/>
        <v>21</v>
      </c>
      <c r="R365" s="7" t="str">
        <f t="shared" si="120"/>
        <v>Books</v>
      </c>
      <c r="S365" s="7" t="str">
        <f t="shared" si="121"/>
        <v>Barney</v>
      </c>
      <c r="T365" s="7" t="str">
        <f t="shared" si="122"/>
        <v>2017101</v>
      </c>
      <c r="U365" s="7">
        <f t="shared" si="123"/>
        <v>686</v>
      </c>
      <c r="V365" s="8">
        <f t="shared" si="124"/>
        <v>43009</v>
      </c>
    </row>
    <row r="366" spans="1:22">
      <c r="A366" s="3">
        <f t="shared" si="105"/>
        <v>364</v>
      </c>
      <c r="B366" t="s">
        <v>370</v>
      </c>
      <c r="C366">
        <f t="shared" si="106"/>
        <v>29</v>
      </c>
      <c r="D366" t="str">
        <f t="shared" si="107"/>
        <v xml:space="preserve">/////PR:Clothing_____SP:David2017109     $1703   </v>
      </c>
      <c r="E366">
        <f t="shared" si="108"/>
        <v>32</v>
      </c>
      <c r="F366" t="str">
        <f t="shared" si="109"/>
        <v xml:space="preserve">/////PR:Clothing_____SP:David2017109     $1703   </v>
      </c>
      <c r="G366" t="str">
        <f t="shared" si="110"/>
        <v xml:space="preserve">PR:Clothing_____SP:David2017109     $1703   </v>
      </c>
      <c r="H366" t="str">
        <f t="shared" si="111"/>
        <v xml:space="preserve">PR:Clothing     SP:David2017109     $1703   </v>
      </c>
      <c r="I366" t="str">
        <f t="shared" si="112"/>
        <v>PR:Clothing SP:David2017109 $1703</v>
      </c>
      <c r="J366">
        <f t="shared" si="113"/>
        <v>33</v>
      </c>
      <c r="K366">
        <f t="shared" si="114"/>
        <v>51</v>
      </c>
      <c r="L366" t="str">
        <f t="shared" si="115"/>
        <v>Clothing SP:David2017109 $1703</v>
      </c>
      <c r="M366" t="str">
        <f t="shared" si="116"/>
        <v>Clothing David2017109 $1703</v>
      </c>
      <c r="N366" s="1" t="str">
        <f t="shared" si="117"/>
        <v>Clothing David 2017109 $1703</v>
      </c>
      <c r="O366" s="9">
        <f t="shared" si="125"/>
        <v>9</v>
      </c>
      <c r="P366" s="9">
        <f t="shared" si="118"/>
        <v>15</v>
      </c>
      <c r="Q366" s="10">
        <f t="shared" si="119"/>
        <v>23</v>
      </c>
      <c r="R366" s="7" t="str">
        <f t="shared" si="120"/>
        <v>Clothing</v>
      </c>
      <c r="S366" s="7" t="str">
        <f t="shared" si="121"/>
        <v>David</v>
      </c>
      <c r="T366" s="7" t="str">
        <f t="shared" si="122"/>
        <v>2017109</v>
      </c>
      <c r="U366" s="7">
        <f t="shared" si="123"/>
        <v>1703</v>
      </c>
      <c r="V366" s="8">
        <f t="shared" si="124"/>
        <v>43017</v>
      </c>
    </row>
    <row r="367" spans="1:22">
      <c r="A367" s="3">
        <f t="shared" si="105"/>
        <v>365</v>
      </c>
      <c r="B367" t="s">
        <v>371</v>
      </c>
      <c r="C367">
        <f t="shared" si="106"/>
        <v>28</v>
      </c>
      <c r="D367" t="str">
        <f t="shared" si="107"/>
        <v xml:space="preserve">///PR:Music_SP:David20171021   $1038 </v>
      </c>
      <c r="E367">
        <f t="shared" si="108"/>
        <v>32</v>
      </c>
      <c r="F367" t="str">
        <f t="shared" si="109"/>
        <v xml:space="preserve">///PR:Music_SP:David20171021   $1038 </v>
      </c>
      <c r="G367" t="str">
        <f t="shared" si="110"/>
        <v xml:space="preserve">PR:Music_SP:David20171021   $1038 </v>
      </c>
      <c r="H367" t="str">
        <f t="shared" si="111"/>
        <v xml:space="preserve">PR:Music SP:David20171021   $1038 </v>
      </c>
      <c r="I367" t="str">
        <f t="shared" si="112"/>
        <v>PR:Music SP:David20171021 $1038</v>
      </c>
      <c r="J367">
        <f t="shared" si="113"/>
        <v>31</v>
      </c>
      <c r="K367">
        <f t="shared" si="114"/>
        <v>56</v>
      </c>
      <c r="L367" t="str">
        <f t="shared" si="115"/>
        <v>Music SP:David20171021 $1038</v>
      </c>
      <c r="M367" t="str">
        <f t="shared" si="116"/>
        <v>Music David20171021 $1038</v>
      </c>
      <c r="N367" s="1" t="str">
        <f t="shared" si="117"/>
        <v>Music David 20171021 $1038</v>
      </c>
      <c r="O367" s="9">
        <f t="shared" si="125"/>
        <v>6</v>
      </c>
      <c r="P367" s="9">
        <f t="shared" si="118"/>
        <v>12</v>
      </c>
      <c r="Q367" s="10">
        <f t="shared" si="119"/>
        <v>21</v>
      </c>
      <c r="R367" s="7" t="str">
        <f t="shared" si="120"/>
        <v>Music</v>
      </c>
      <c r="S367" s="7" t="str">
        <f t="shared" si="121"/>
        <v>David</v>
      </c>
      <c r="T367" s="7" t="str">
        <f t="shared" si="122"/>
        <v>20171021</v>
      </c>
      <c r="U367" s="7">
        <f t="shared" si="123"/>
        <v>1038</v>
      </c>
      <c r="V367" s="8">
        <f t="shared" si="124"/>
        <v>43029</v>
      </c>
    </row>
    <row r="368" spans="1:22">
      <c r="A368" s="3">
        <f t="shared" si="105"/>
        <v>366</v>
      </c>
      <c r="B368" t="s">
        <v>372</v>
      </c>
      <c r="C368">
        <f t="shared" si="106"/>
        <v>31</v>
      </c>
      <c r="D368" t="str">
        <f t="shared" si="107"/>
        <v xml:space="preserve">////PR:Games__SP:David20171013 $1573    </v>
      </c>
      <c r="E368">
        <f t="shared" si="108"/>
        <v>32</v>
      </c>
      <c r="F368" t="str">
        <f t="shared" si="109"/>
        <v xml:space="preserve">////PR:Games__SP:David20171013 $1573    </v>
      </c>
      <c r="G368" t="str">
        <f t="shared" si="110"/>
        <v xml:space="preserve">PR:Games__SP:David20171013 $1573    </v>
      </c>
      <c r="H368" t="str">
        <f t="shared" si="111"/>
        <v xml:space="preserve">PR:Games  SP:David20171013 $1573    </v>
      </c>
      <c r="I368" t="str">
        <f t="shared" si="112"/>
        <v>PR:Games SP:David20171013 $1573</v>
      </c>
      <c r="J368">
        <f t="shared" si="113"/>
        <v>31</v>
      </c>
      <c r="K368">
        <f t="shared" si="114"/>
        <v>51</v>
      </c>
      <c r="L368" t="str">
        <f t="shared" si="115"/>
        <v>Games SP:David20171013 $1573</v>
      </c>
      <c r="M368" t="str">
        <f t="shared" si="116"/>
        <v>Games David20171013 $1573</v>
      </c>
      <c r="N368" s="1" t="str">
        <f t="shared" si="117"/>
        <v>Games David 20171013 $1573</v>
      </c>
      <c r="O368" s="9">
        <f t="shared" si="125"/>
        <v>6</v>
      </c>
      <c r="P368" s="9">
        <f t="shared" si="118"/>
        <v>12</v>
      </c>
      <c r="Q368" s="10">
        <f t="shared" si="119"/>
        <v>21</v>
      </c>
      <c r="R368" s="7" t="str">
        <f t="shared" si="120"/>
        <v>Games</v>
      </c>
      <c r="S368" s="7" t="str">
        <f t="shared" si="121"/>
        <v>David</v>
      </c>
      <c r="T368" s="7" t="str">
        <f t="shared" si="122"/>
        <v>20171013</v>
      </c>
      <c r="U368" s="7">
        <f t="shared" si="123"/>
        <v>1573</v>
      </c>
      <c r="V368" s="8">
        <f t="shared" si="124"/>
        <v>43021</v>
      </c>
    </row>
    <row r="369" spans="1:22">
      <c r="A369" s="3">
        <f t="shared" si="105"/>
        <v>367</v>
      </c>
      <c r="B369" t="s">
        <v>373</v>
      </c>
      <c r="C369">
        <f t="shared" si="106"/>
        <v>31</v>
      </c>
      <c r="D369" t="str">
        <f t="shared" si="107"/>
        <v xml:space="preserve">//PR:Games____SP:Alice20171031     $1364 </v>
      </c>
      <c r="E369">
        <f t="shared" si="108"/>
        <v>32</v>
      </c>
      <c r="F369" t="str">
        <f t="shared" si="109"/>
        <v xml:space="preserve">//PR:Games____SP:Alice20171031     $1364 </v>
      </c>
      <c r="G369" t="str">
        <f t="shared" si="110"/>
        <v xml:space="preserve">PR:Games____SP:Alice20171031     $1364 </v>
      </c>
      <c r="H369" t="str">
        <f t="shared" si="111"/>
        <v xml:space="preserve">PR:Games    SP:Alice20171031     $1364 </v>
      </c>
      <c r="I369" t="str">
        <f t="shared" si="112"/>
        <v>PR:Games SP:Alice20171031 $1364</v>
      </c>
      <c r="J369">
        <f t="shared" si="113"/>
        <v>31</v>
      </c>
      <c r="K369">
        <f t="shared" si="114"/>
        <v>52</v>
      </c>
      <c r="L369" t="str">
        <f t="shared" si="115"/>
        <v>Games SP:Alice20171031 $1364</v>
      </c>
      <c r="M369" t="str">
        <f t="shared" si="116"/>
        <v>Games Alice20171031 $1364</v>
      </c>
      <c r="N369" s="1" t="str">
        <f t="shared" si="117"/>
        <v>Games Alice 20171031 $1364</v>
      </c>
      <c r="O369" s="9">
        <f t="shared" si="125"/>
        <v>6</v>
      </c>
      <c r="P369" s="9">
        <f t="shared" si="118"/>
        <v>12</v>
      </c>
      <c r="Q369" s="10">
        <f t="shared" si="119"/>
        <v>21</v>
      </c>
      <c r="R369" s="7" t="str">
        <f t="shared" si="120"/>
        <v>Games</v>
      </c>
      <c r="S369" s="7" t="str">
        <f t="shared" si="121"/>
        <v>Alice</v>
      </c>
      <c r="T369" s="7" t="str">
        <f t="shared" si="122"/>
        <v>20171031</v>
      </c>
      <c r="U369" s="7">
        <f t="shared" si="123"/>
        <v>1364</v>
      </c>
      <c r="V369" s="8">
        <f t="shared" si="124"/>
        <v>43039</v>
      </c>
    </row>
    <row r="370" spans="1:22">
      <c r="A370" s="3">
        <f t="shared" si="105"/>
        <v>368</v>
      </c>
      <c r="B370" t="s">
        <v>374</v>
      </c>
      <c r="C370">
        <f t="shared" si="106"/>
        <v>30</v>
      </c>
      <c r="D370" t="str">
        <f t="shared" si="107"/>
        <v xml:space="preserve">/////PR:Clothing__SP:David20171015    $1281  </v>
      </c>
      <c r="E370">
        <f t="shared" si="108"/>
        <v>32</v>
      </c>
      <c r="F370" t="str">
        <f t="shared" si="109"/>
        <v xml:space="preserve">/////PR:Clothing__SP:David20171015    $1281  </v>
      </c>
      <c r="G370" t="str">
        <f t="shared" si="110"/>
        <v xml:space="preserve">PR:Clothing__SP:David20171015    $1281  </v>
      </c>
      <c r="H370" t="str">
        <f t="shared" si="111"/>
        <v xml:space="preserve">PR:Clothing  SP:David20171015    $1281  </v>
      </c>
      <c r="I370" t="str">
        <f t="shared" si="112"/>
        <v>PR:Clothing SP:David20171015 $1281</v>
      </c>
      <c r="J370">
        <f t="shared" si="113"/>
        <v>34</v>
      </c>
      <c r="K370">
        <f t="shared" si="114"/>
        <v>49</v>
      </c>
      <c r="L370" t="str">
        <f t="shared" si="115"/>
        <v>Clothing SP:David20171015 $1281</v>
      </c>
      <c r="M370" t="str">
        <f t="shared" si="116"/>
        <v>Clothing David20171015 $1281</v>
      </c>
      <c r="N370" s="1" t="str">
        <f t="shared" si="117"/>
        <v>Clothing David 20171015 $1281</v>
      </c>
      <c r="O370" s="9">
        <f t="shared" si="125"/>
        <v>9</v>
      </c>
      <c r="P370" s="9">
        <f t="shared" si="118"/>
        <v>15</v>
      </c>
      <c r="Q370" s="10">
        <f t="shared" si="119"/>
        <v>24</v>
      </c>
      <c r="R370" s="7" t="str">
        <f t="shared" si="120"/>
        <v>Clothing</v>
      </c>
      <c r="S370" s="7" t="str">
        <f t="shared" si="121"/>
        <v>David</v>
      </c>
      <c r="T370" s="7" t="str">
        <f t="shared" si="122"/>
        <v>20171015</v>
      </c>
      <c r="U370" s="7">
        <f t="shared" si="123"/>
        <v>1281</v>
      </c>
      <c r="V370" s="8">
        <f t="shared" si="124"/>
        <v>43023</v>
      </c>
    </row>
    <row r="371" spans="1:22">
      <c r="A371" s="3">
        <f t="shared" si="105"/>
        <v>369</v>
      </c>
      <c r="B371" t="s">
        <v>375</v>
      </c>
      <c r="C371">
        <f t="shared" si="106"/>
        <v>29</v>
      </c>
      <c r="D371" t="str">
        <f t="shared" si="107"/>
        <v xml:space="preserve">//PR:Books_____SP:David20171022     $996 </v>
      </c>
      <c r="E371">
        <f t="shared" si="108"/>
        <v>32</v>
      </c>
      <c r="F371" t="str">
        <f t="shared" si="109"/>
        <v xml:space="preserve">//PR:Books_____SP:David20171022     $996 </v>
      </c>
      <c r="G371" t="str">
        <f t="shared" si="110"/>
        <v xml:space="preserve">PR:Books_____SP:David20171022     $996 </v>
      </c>
      <c r="H371" t="str">
        <f t="shared" si="111"/>
        <v xml:space="preserve">PR:Books     SP:David20171022     $996 </v>
      </c>
      <c r="I371" t="str">
        <f t="shared" si="112"/>
        <v>PR:Books SP:David20171022 $996</v>
      </c>
      <c r="J371">
        <f t="shared" si="113"/>
        <v>30</v>
      </c>
      <c r="K371">
        <f t="shared" si="114"/>
        <v>54</v>
      </c>
      <c r="L371" t="str">
        <f t="shared" si="115"/>
        <v>Books SP:David20171022 $996</v>
      </c>
      <c r="M371" t="str">
        <f t="shared" si="116"/>
        <v>Books David20171022 $996</v>
      </c>
      <c r="N371" s="1" t="str">
        <f t="shared" si="117"/>
        <v>Books David 20171022 $996</v>
      </c>
      <c r="O371" s="9">
        <f t="shared" si="125"/>
        <v>6</v>
      </c>
      <c r="P371" s="9">
        <f t="shared" si="118"/>
        <v>12</v>
      </c>
      <c r="Q371" s="10">
        <f t="shared" si="119"/>
        <v>21</v>
      </c>
      <c r="R371" s="7" t="str">
        <f t="shared" si="120"/>
        <v>Books</v>
      </c>
      <c r="S371" s="7" t="str">
        <f t="shared" si="121"/>
        <v>David</v>
      </c>
      <c r="T371" s="7" t="str">
        <f t="shared" si="122"/>
        <v>20171022</v>
      </c>
      <c r="U371" s="7">
        <f t="shared" si="123"/>
        <v>996</v>
      </c>
      <c r="V371" s="8">
        <f t="shared" si="124"/>
        <v>43030</v>
      </c>
    </row>
    <row r="372" spans="1:22">
      <c r="A372" s="3">
        <f t="shared" si="105"/>
        <v>370</v>
      </c>
      <c r="B372" t="s">
        <v>376</v>
      </c>
      <c r="C372">
        <f t="shared" si="106"/>
        <v>29</v>
      </c>
      <c r="D372" t="str">
        <f t="shared" si="107"/>
        <v xml:space="preserve">////PR:Music____SP:Alice2017108   $0    </v>
      </c>
      <c r="E372">
        <f t="shared" si="108"/>
        <v>32</v>
      </c>
      <c r="F372" t="str">
        <f t="shared" si="109"/>
        <v xml:space="preserve">////PR:Music____SP:Alice2017108   $0    </v>
      </c>
      <c r="G372" t="str">
        <f t="shared" si="110"/>
        <v xml:space="preserve">PR:Music____SP:Alice2017108   $0    </v>
      </c>
      <c r="H372" t="str">
        <f t="shared" si="111"/>
        <v xml:space="preserve">PR:Music    SP:Alice2017108   $0    </v>
      </c>
      <c r="I372" t="str">
        <f t="shared" si="112"/>
        <v>PR:Music SP:Alice2017108 $0</v>
      </c>
      <c r="J372">
        <f t="shared" si="113"/>
        <v>27</v>
      </c>
      <c r="K372">
        <f t="shared" si="114"/>
        <v>48</v>
      </c>
      <c r="L372" t="str">
        <f t="shared" si="115"/>
        <v>Music SP:Alice2017108 $0</v>
      </c>
      <c r="M372" t="str">
        <f t="shared" si="116"/>
        <v>Music Alice2017108 $0</v>
      </c>
      <c r="N372" s="1" t="str">
        <f t="shared" si="117"/>
        <v>Music Alice 2017108 $0</v>
      </c>
      <c r="O372" s="9">
        <f t="shared" si="125"/>
        <v>6</v>
      </c>
      <c r="P372" s="9">
        <f t="shared" si="118"/>
        <v>12</v>
      </c>
      <c r="Q372" s="10">
        <f t="shared" si="119"/>
        <v>20</v>
      </c>
      <c r="R372" s="7" t="str">
        <f t="shared" si="120"/>
        <v>Music</v>
      </c>
      <c r="S372" s="7" t="str">
        <f t="shared" si="121"/>
        <v>Alice</v>
      </c>
      <c r="T372" s="7" t="str">
        <f t="shared" si="122"/>
        <v>2017108</v>
      </c>
      <c r="U372" s="7">
        <f t="shared" si="123"/>
        <v>0</v>
      </c>
      <c r="V372" s="8">
        <f t="shared" si="124"/>
        <v>43016</v>
      </c>
    </row>
    <row r="373" spans="1:22">
      <c r="A373" s="3">
        <f t="shared" si="105"/>
        <v>371</v>
      </c>
      <c r="B373" t="s">
        <v>377</v>
      </c>
      <c r="C373">
        <f t="shared" si="106"/>
        <v>28</v>
      </c>
      <c r="D373" t="str">
        <f t="shared" si="107"/>
        <v xml:space="preserve">/PR:Books_____SP:Carol20171027   $528  </v>
      </c>
      <c r="E373">
        <f t="shared" si="108"/>
        <v>32</v>
      </c>
      <c r="F373" t="str">
        <f t="shared" si="109"/>
        <v xml:space="preserve">/PR:Books_____SP:Carol20171027   $528  </v>
      </c>
      <c r="G373" t="str">
        <f t="shared" si="110"/>
        <v xml:space="preserve">PR:Books_____SP:Carol20171027   $528  </v>
      </c>
      <c r="H373" t="str">
        <f t="shared" si="111"/>
        <v xml:space="preserve">PR:Books     SP:Carol20171027   $528  </v>
      </c>
      <c r="I373" t="str">
        <f t="shared" si="112"/>
        <v>PR:Books SP:Carol20171027 $528</v>
      </c>
      <c r="J373">
        <f t="shared" si="113"/>
        <v>30</v>
      </c>
      <c r="K373">
        <f t="shared" si="114"/>
        <v>56</v>
      </c>
      <c r="L373" t="str">
        <f t="shared" si="115"/>
        <v>Books SP:Carol20171027 $528</v>
      </c>
      <c r="M373" t="str">
        <f t="shared" si="116"/>
        <v>Books Carol20171027 $528</v>
      </c>
      <c r="N373" s="1" t="str">
        <f t="shared" si="117"/>
        <v>Books Carol 20171027 $528</v>
      </c>
      <c r="O373" s="9">
        <f t="shared" si="125"/>
        <v>6</v>
      </c>
      <c r="P373" s="9">
        <f t="shared" si="118"/>
        <v>12</v>
      </c>
      <c r="Q373" s="10">
        <f t="shared" si="119"/>
        <v>21</v>
      </c>
      <c r="R373" s="7" t="str">
        <f t="shared" si="120"/>
        <v>Books</v>
      </c>
      <c r="S373" s="7" t="str">
        <f t="shared" si="121"/>
        <v>Carol</v>
      </c>
      <c r="T373" s="7" t="str">
        <f t="shared" si="122"/>
        <v>20171027</v>
      </c>
      <c r="U373" s="7">
        <f t="shared" si="123"/>
        <v>528</v>
      </c>
      <c r="V373" s="8">
        <f t="shared" si="124"/>
        <v>43035</v>
      </c>
    </row>
    <row r="374" spans="1:22">
      <c r="A374" s="3">
        <f t="shared" si="105"/>
        <v>372</v>
      </c>
      <c r="B374" t="s">
        <v>378</v>
      </c>
      <c r="C374">
        <f t="shared" si="106"/>
        <v>30</v>
      </c>
      <c r="D374" t="str">
        <f t="shared" si="107"/>
        <v xml:space="preserve">///PR:Books_SP:Barney20171012    $789     </v>
      </c>
      <c r="E374">
        <f t="shared" si="108"/>
        <v>32</v>
      </c>
      <c r="F374" t="str">
        <f t="shared" si="109"/>
        <v xml:space="preserve">///PR:Books_SP:Barney20171012    $789     </v>
      </c>
      <c r="G374" t="str">
        <f t="shared" si="110"/>
        <v xml:space="preserve">PR:Books_SP:Barney20171012    $789     </v>
      </c>
      <c r="H374" t="str">
        <f t="shared" si="111"/>
        <v xml:space="preserve">PR:Books SP:Barney20171012    $789     </v>
      </c>
      <c r="I374" t="str">
        <f t="shared" si="112"/>
        <v>PR:Books SP:Barney20171012 $789</v>
      </c>
      <c r="J374">
        <f t="shared" si="113"/>
        <v>31</v>
      </c>
      <c r="K374">
        <f t="shared" si="114"/>
        <v>57</v>
      </c>
      <c r="L374" t="str">
        <f t="shared" si="115"/>
        <v>Books SP:Barney20171012 $789</v>
      </c>
      <c r="M374" t="str">
        <f t="shared" si="116"/>
        <v>Books Barney20171012 $789</v>
      </c>
      <c r="N374" s="1" t="str">
        <f t="shared" si="117"/>
        <v>Books Barney 20171012 $789</v>
      </c>
      <c r="O374" s="9">
        <f t="shared" si="125"/>
        <v>6</v>
      </c>
      <c r="P374" s="9">
        <f t="shared" si="118"/>
        <v>13</v>
      </c>
      <c r="Q374" s="10">
        <f t="shared" si="119"/>
        <v>22</v>
      </c>
      <c r="R374" s="7" t="str">
        <f t="shared" si="120"/>
        <v>Books</v>
      </c>
      <c r="S374" s="7" t="str">
        <f t="shared" si="121"/>
        <v>Barney</v>
      </c>
      <c r="T374" s="7" t="str">
        <f t="shared" si="122"/>
        <v>20171012</v>
      </c>
      <c r="U374" s="7">
        <f t="shared" si="123"/>
        <v>789</v>
      </c>
      <c r="V374" s="8">
        <f t="shared" si="124"/>
        <v>43020</v>
      </c>
    </row>
    <row r="375" spans="1:22">
      <c r="A375" s="3">
        <f t="shared" si="105"/>
        <v>373</v>
      </c>
      <c r="B375" t="s">
        <v>379</v>
      </c>
      <c r="C375">
        <f t="shared" si="106"/>
        <v>28</v>
      </c>
      <c r="D375" t="str">
        <f t="shared" si="107"/>
        <v xml:space="preserve">////PR:Games_SP:Alice2017103     $0 </v>
      </c>
      <c r="E375">
        <f t="shared" si="108"/>
        <v>32</v>
      </c>
      <c r="F375" t="str">
        <f t="shared" si="109"/>
        <v xml:space="preserve">////PR:Games_SP:Alice2017103     $0 </v>
      </c>
      <c r="G375" t="str">
        <f t="shared" si="110"/>
        <v xml:space="preserve">PR:Games_SP:Alice2017103     $0 </v>
      </c>
      <c r="H375" t="str">
        <f t="shared" si="111"/>
        <v xml:space="preserve">PR:Games SP:Alice2017103     $0 </v>
      </c>
      <c r="I375" t="str">
        <f t="shared" si="112"/>
        <v>PR:Games SP:Alice2017103 $0</v>
      </c>
      <c r="J375">
        <f t="shared" si="113"/>
        <v>27</v>
      </c>
      <c r="K375">
        <f t="shared" si="114"/>
        <v>48</v>
      </c>
      <c r="L375" t="str">
        <f t="shared" si="115"/>
        <v>Games SP:Alice2017103 $0</v>
      </c>
      <c r="M375" t="str">
        <f t="shared" si="116"/>
        <v>Games Alice2017103 $0</v>
      </c>
      <c r="N375" s="1" t="str">
        <f t="shared" si="117"/>
        <v>Games Alice 2017103 $0</v>
      </c>
      <c r="O375" s="9">
        <f t="shared" si="125"/>
        <v>6</v>
      </c>
      <c r="P375" s="9">
        <f t="shared" si="118"/>
        <v>12</v>
      </c>
      <c r="Q375" s="10">
        <f t="shared" si="119"/>
        <v>20</v>
      </c>
      <c r="R375" s="7" t="str">
        <f t="shared" si="120"/>
        <v>Games</v>
      </c>
      <c r="S375" s="7" t="str">
        <f t="shared" si="121"/>
        <v>Alice</v>
      </c>
      <c r="T375" s="7" t="str">
        <f t="shared" si="122"/>
        <v>2017103</v>
      </c>
      <c r="U375" s="7">
        <f t="shared" si="123"/>
        <v>0</v>
      </c>
      <c r="V375" s="8">
        <f t="shared" si="124"/>
        <v>43011</v>
      </c>
    </row>
    <row r="376" spans="1:22">
      <c r="A376" s="3">
        <f t="shared" si="105"/>
        <v>374</v>
      </c>
      <c r="B376" t="s">
        <v>380</v>
      </c>
      <c r="C376">
        <f t="shared" si="106"/>
        <v>31</v>
      </c>
      <c r="D376" t="str">
        <f t="shared" si="107"/>
        <v xml:space="preserve">//PR:Music_____SP:David20171011     $1306  </v>
      </c>
      <c r="E376">
        <f t="shared" si="108"/>
        <v>32</v>
      </c>
      <c r="F376" t="str">
        <f t="shared" si="109"/>
        <v xml:space="preserve">//PR:Music_____SP:David20171011     $1306  </v>
      </c>
      <c r="G376" t="str">
        <f t="shared" si="110"/>
        <v xml:space="preserve">PR:Music_____SP:David20171011     $1306  </v>
      </c>
      <c r="H376" t="str">
        <f t="shared" si="111"/>
        <v xml:space="preserve">PR:Music     SP:David20171011     $1306  </v>
      </c>
      <c r="I376" t="str">
        <f t="shared" si="112"/>
        <v>PR:Music SP:David20171011 $1306</v>
      </c>
      <c r="J376">
        <f t="shared" si="113"/>
        <v>31</v>
      </c>
      <c r="K376">
        <f t="shared" si="114"/>
        <v>54</v>
      </c>
      <c r="L376" t="str">
        <f t="shared" si="115"/>
        <v>Music SP:David20171011 $1306</v>
      </c>
      <c r="M376" t="str">
        <f t="shared" si="116"/>
        <v>Music David20171011 $1306</v>
      </c>
      <c r="N376" s="1" t="str">
        <f t="shared" si="117"/>
        <v>Music David 20171011 $1306</v>
      </c>
      <c r="O376" s="9">
        <f t="shared" si="125"/>
        <v>6</v>
      </c>
      <c r="P376" s="9">
        <f t="shared" si="118"/>
        <v>12</v>
      </c>
      <c r="Q376" s="10">
        <f t="shared" si="119"/>
        <v>21</v>
      </c>
      <c r="R376" s="7" t="str">
        <f t="shared" si="120"/>
        <v>Music</v>
      </c>
      <c r="S376" s="7" t="str">
        <f t="shared" si="121"/>
        <v>David</v>
      </c>
      <c r="T376" s="7" t="str">
        <f t="shared" si="122"/>
        <v>20171011</v>
      </c>
      <c r="U376" s="7">
        <f t="shared" si="123"/>
        <v>1306</v>
      </c>
      <c r="V376" s="8">
        <f t="shared" si="124"/>
        <v>43019</v>
      </c>
    </row>
    <row r="377" spans="1:22">
      <c r="A377" s="3">
        <f t="shared" si="105"/>
        <v>375</v>
      </c>
      <c r="B377" t="s">
        <v>381</v>
      </c>
      <c r="C377">
        <f t="shared" si="106"/>
        <v>29</v>
      </c>
      <c r="D377" t="str">
        <f t="shared" si="107"/>
        <v xml:space="preserve">//PR:Clothing__SP:David20171031     $1389  </v>
      </c>
      <c r="E377">
        <f t="shared" si="108"/>
        <v>32</v>
      </c>
      <c r="F377" t="str">
        <f t="shared" si="109"/>
        <v xml:space="preserve">//PR:Clothing__SP:David20171031     $1389  </v>
      </c>
      <c r="G377" t="str">
        <f t="shared" si="110"/>
        <v xml:space="preserve">PR:Clothing__SP:David20171031     $1389  </v>
      </c>
      <c r="H377" t="str">
        <f t="shared" si="111"/>
        <v xml:space="preserve">PR:Clothing  SP:David20171031     $1389  </v>
      </c>
      <c r="I377" t="str">
        <f t="shared" si="112"/>
        <v>PR:Clothing SP:David20171031 $1389</v>
      </c>
      <c r="J377">
        <f t="shared" si="113"/>
        <v>34</v>
      </c>
      <c r="K377">
        <f t="shared" si="114"/>
        <v>57</v>
      </c>
      <c r="L377" t="str">
        <f t="shared" si="115"/>
        <v>Clothing SP:David20171031 $1389</v>
      </c>
      <c r="M377" t="str">
        <f t="shared" si="116"/>
        <v>Clothing David20171031 $1389</v>
      </c>
      <c r="N377" s="1" t="str">
        <f t="shared" si="117"/>
        <v>Clothing David 20171031 $1389</v>
      </c>
      <c r="O377" s="9">
        <f t="shared" si="125"/>
        <v>9</v>
      </c>
      <c r="P377" s="9">
        <f t="shared" si="118"/>
        <v>15</v>
      </c>
      <c r="Q377" s="10">
        <f t="shared" si="119"/>
        <v>24</v>
      </c>
      <c r="R377" s="7" t="str">
        <f t="shared" si="120"/>
        <v>Clothing</v>
      </c>
      <c r="S377" s="7" t="str">
        <f t="shared" si="121"/>
        <v>David</v>
      </c>
      <c r="T377" s="7" t="str">
        <f t="shared" si="122"/>
        <v>20171031</v>
      </c>
      <c r="U377" s="7">
        <f t="shared" si="123"/>
        <v>1389</v>
      </c>
      <c r="V377" s="8">
        <f t="shared" si="124"/>
        <v>43039</v>
      </c>
    </row>
    <row r="378" spans="1:22">
      <c r="A378" s="3">
        <f t="shared" si="105"/>
        <v>376</v>
      </c>
      <c r="B378" t="s">
        <v>382</v>
      </c>
      <c r="C378">
        <f t="shared" si="106"/>
        <v>29</v>
      </c>
      <c r="D378" t="str">
        <f t="shared" si="107"/>
        <v xml:space="preserve">/////PR:Clothing_SP:Alice20171029    $1950  </v>
      </c>
      <c r="E378">
        <f t="shared" si="108"/>
        <v>32</v>
      </c>
      <c r="F378" t="str">
        <f t="shared" si="109"/>
        <v xml:space="preserve">/////PR:Clothing_SP:Alice20171029    $1950  </v>
      </c>
      <c r="G378" t="str">
        <f t="shared" si="110"/>
        <v xml:space="preserve">PR:Clothing_SP:Alice20171029    $1950  </v>
      </c>
      <c r="H378" t="str">
        <f t="shared" si="111"/>
        <v xml:space="preserve">PR:Clothing SP:Alice20171029    $1950  </v>
      </c>
      <c r="I378" t="str">
        <f t="shared" si="112"/>
        <v>PR:Clothing SP:Alice20171029 $1950</v>
      </c>
      <c r="J378">
        <f t="shared" si="113"/>
        <v>34</v>
      </c>
      <c r="K378">
        <f t="shared" si="114"/>
        <v>48</v>
      </c>
      <c r="L378" t="str">
        <f t="shared" si="115"/>
        <v>Clothing SP:Alice20171029 $1950</v>
      </c>
      <c r="M378" t="str">
        <f t="shared" si="116"/>
        <v>Clothing Alice20171029 $1950</v>
      </c>
      <c r="N378" s="1" t="str">
        <f t="shared" si="117"/>
        <v>Clothing Alice 20171029 $1950</v>
      </c>
      <c r="O378" s="9">
        <f t="shared" si="125"/>
        <v>9</v>
      </c>
      <c r="P378" s="9">
        <f t="shared" si="118"/>
        <v>15</v>
      </c>
      <c r="Q378" s="10">
        <f t="shared" si="119"/>
        <v>24</v>
      </c>
      <c r="R378" s="7" t="str">
        <f t="shared" si="120"/>
        <v>Clothing</v>
      </c>
      <c r="S378" s="7" t="str">
        <f t="shared" si="121"/>
        <v>Alice</v>
      </c>
      <c r="T378" s="7" t="str">
        <f t="shared" si="122"/>
        <v>20171029</v>
      </c>
      <c r="U378" s="7">
        <f t="shared" si="123"/>
        <v>1950</v>
      </c>
      <c r="V378" s="8">
        <f t="shared" si="124"/>
        <v>43037</v>
      </c>
    </row>
    <row r="379" spans="1:22">
      <c r="A379" s="3">
        <f t="shared" si="105"/>
        <v>377</v>
      </c>
      <c r="B379" t="s">
        <v>383</v>
      </c>
      <c r="C379">
        <f t="shared" si="106"/>
        <v>30</v>
      </c>
      <c r="D379" t="str">
        <f t="shared" si="107"/>
        <v xml:space="preserve">///PR:Books_____SP:Alice20171016   $735 </v>
      </c>
      <c r="E379">
        <f t="shared" si="108"/>
        <v>32</v>
      </c>
      <c r="F379" t="str">
        <f t="shared" si="109"/>
        <v xml:space="preserve">///PR:Books_____SP:Alice20171016   $735 </v>
      </c>
      <c r="G379" t="str">
        <f t="shared" si="110"/>
        <v xml:space="preserve">PR:Books_____SP:Alice20171016   $735 </v>
      </c>
      <c r="H379" t="str">
        <f t="shared" si="111"/>
        <v xml:space="preserve">PR:Books     SP:Alice20171016   $735 </v>
      </c>
      <c r="I379" t="str">
        <f t="shared" si="112"/>
        <v>PR:Books SP:Alice20171016 $735</v>
      </c>
      <c r="J379">
        <f t="shared" si="113"/>
        <v>30</v>
      </c>
      <c r="K379">
        <f t="shared" si="114"/>
        <v>53</v>
      </c>
      <c r="L379" t="str">
        <f t="shared" si="115"/>
        <v>Books SP:Alice20171016 $735</v>
      </c>
      <c r="M379" t="str">
        <f t="shared" si="116"/>
        <v>Books Alice20171016 $735</v>
      </c>
      <c r="N379" s="1" t="str">
        <f t="shared" si="117"/>
        <v>Books Alice 20171016 $735</v>
      </c>
      <c r="O379" s="9">
        <f t="shared" si="125"/>
        <v>6</v>
      </c>
      <c r="P379" s="9">
        <f t="shared" si="118"/>
        <v>12</v>
      </c>
      <c r="Q379" s="10">
        <f t="shared" si="119"/>
        <v>21</v>
      </c>
      <c r="R379" s="7" t="str">
        <f t="shared" si="120"/>
        <v>Books</v>
      </c>
      <c r="S379" s="7" t="str">
        <f t="shared" si="121"/>
        <v>Alice</v>
      </c>
      <c r="T379" s="7" t="str">
        <f t="shared" si="122"/>
        <v>20171016</v>
      </c>
      <c r="U379" s="7">
        <f t="shared" si="123"/>
        <v>735</v>
      </c>
      <c r="V379" s="8">
        <f t="shared" si="124"/>
        <v>43024</v>
      </c>
    </row>
    <row r="380" spans="1:22">
      <c r="A380" s="3">
        <f t="shared" si="105"/>
        <v>378</v>
      </c>
      <c r="B380" t="s">
        <v>384</v>
      </c>
      <c r="C380">
        <f t="shared" si="106"/>
        <v>30</v>
      </c>
      <c r="D380" t="str">
        <f t="shared" si="107"/>
        <v xml:space="preserve">///PR:Music____SP:Carol2017109  $1368  </v>
      </c>
      <c r="E380">
        <f t="shared" si="108"/>
        <v>32</v>
      </c>
      <c r="F380" t="str">
        <f t="shared" si="109"/>
        <v xml:space="preserve">///PR:Music____SP:Carol2017109  $1368  </v>
      </c>
      <c r="G380" t="str">
        <f t="shared" si="110"/>
        <v xml:space="preserve">PR:Music____SP:Carol2017109  $1368  </v>
      </c>
      <c r="H380" t="str">
        <f t="shared" si="111"/>
        <v xml:space="preserve">PR:Music    SP:Carol2017109  $1368  </v>
      </c>
      <c r="I380" t="str">
        <f t="shared" si="112"/>
        <v>PR:Music SP:Carol2017109 $1368</v>
      </c>
      <c r="J380">
        <f t="shared" si="113"/>
        <v>30</v>
      </c>
      <c r="K380">
        <f t="shared" si="114"/>
        <v>56</v>
      </c>
      <c r="L380" t="str">
        <f t="shared" si="115"/>
        <v>Music SP:Carol2017109 $1368</v>
      </c>
      <c r="M380" t="str">
        <f t="shared" si="116"/>
        <v>Music Carol2017109 $1368</v>
      </c>
      <c r="N380" s="1" t="str">
        <f t="shared" si="117"/>
        <v>Music Carol 2017109 $1368</v>
      </c>
      <c r="O380" s="9">
        <f t="shared" si="125"/>
        <v>6</v>
      </c>
      <c r="P380" s="9">
        <f t="shared" si="118"/>
        <v>12</v>
      </c>
      <c r="Q380" s="10">
        <f t="shared" si="119"/>
        <v>20</v>
      </c>
      <c r="R380" s="7" t="str">
        <f t="shared" si="120"/>
        <v>Music</v>
      </c>
      <c r="S380" s="7" t="str">
        <f t="shared" si="121"/>
        <v>Carol</v>
      </c>
      <c r="T380" s="7" t="str">
        <f t="shared" si="122"/>
        <v>2017109</v>
      </c>
      <c r="U380" s="7">
        <f t="shared" si="123"/>
        <v>1368</v>
      </c>
      <c r="V380" s="8">
        <f t="shared" si="124"/>
        <v>43017</v>
      </c>
    </row>
    <row r="381" spans="1:22">
      <c r="A381" s="3">
        <f t="shared" si="105"/>
        <v>379</v>
      </c>
      <c r="B381" t="s">
        <v>385</v>
      </c>
      <c r="C381">
        <f t="shared" si="106"/>
        <v>31</v>
      </c>
      <c r="D381" t="str">
        <f t="shared" si="107"/>
        <v xml:space="preserve">//PR:Clothing_____SP:Alice20171010  $1069 </v>
      </c>
      <c r="E381">
        <f t="shared" si="108"/>
        <v>32</v>
      </c>
      <c r="F381" t="str">
        <f t="shared" si="109"/>
        <v xml:space="preserve">//PR:Clothing_____SP:Alice20171010  $1069 </v>
      </c>
      <c r="G381" t="str">
        <f t="shared" si="110"/>
        <v xml:space="preserve">PR:Clothing_____SP:Alice20171010  $1069 </v>
      </c>
      <c r="H381" t="str">
        <f t="shared" si="111"/>
        <v xml:space="preserve">PR:Clothing     SP:Alice20171010  $1069 </v>
      </c>
      <c r="I381" t="str">
        <f t="shared" si="112"/>
        <v>PR:Clothing SP:Alice20171010 $1069</v>
      </c>
      <c r="J381">
        <f t="shared" si="113"/>
        <v>34</v>
      </c>
      <c r="K381">
        <f t="shared" si="114"/>
        <v>57</v>
      </c>
      <c r="L381" t="str">
        <f t="shared" si="115"/>
        <v>Clothing SP:Alice20171010 $1069</v>
      </c>
      <c r="M381" t="str">
        <f t="shared" si="116"/>
        <v>Clothing Alice20171010 $1069</v>
      </c>
      <c r="N381" s="1" t="str">
        <f t="shared" si="117"/>
        <v>Clothing Alice 20171010 $1069</v>
      </c>
      <c r="O381" s="9">
        <f t="shared" si="125"/>
        <v>9</v>
      </c>
      <c r="P381" s="9">
        <f t="shared" si="118"/>
        <v>15</v>
      </c>
      <c r="Q381" s="10">
        <f t="shared" si="119"/>
        <v>24</v>
      </c>
      <c r="R381" s="7" t="str">
        <f t="shared" si="120"/>
        <v>Clothing</v>
      </c>
      <c r="S381" s="7" t="str">
        <f t="shared" si="121"/>
        <v>Alice</v>
      </c>
      <c r="T381" s="7" t="str">
        <f t="shared" si="122"/>
        <v>20171010</v>
      </c>
      <c r="U381" s="7">
        <f t="shared" si="123"/>
        <v>1069</v>
      </c>
      <c r="V381" s="8">
        <f t="shared" si="124"/>
        <v>43018</v>
      </c>
    </row>
    <row r="382" spans="1:22">
      <c r="A382" s="3">
        <f t="shared" si="105"/>
        <v>380</v>
      </c>
      <c r="B382" t="s">
        <v>386</v>
      </c>
      <c r="C382">
        <f t="shared" si="106"/>
        <v>29</v>
      </c>
      <c r="D382" t="str">
        <f t="shared" si="107"/>
        <v xml:space="preserve">/////PR:Games_____SP:Barney2017101    $1477  </v>
      </c>
      <c r="E382">
        <f t="shared" si="108"/>
        <v>32</v>
      </c>
      <c r="F382" t="str">
        <f t="shared" si="109"/>
        <v xml:space="preserve">/////PR:Games_____SP:Barney2017101    $1477  </v>
      </c>
      <c r="G382" t="str">
        <f t="shared" si="110"/>
        <v xml:space="preserve">PR:Games_____SP:Barney2017101    $1477  </v>
      </c>
      <c r="H382" t="str">
        <f t="shared" si="111"/>
        <v xml:space="preserve">PR:Games     SP:Barney2017101    $1477  </v>
      </c>
      <c r="I382" t="str">
        <f t="shared" si="112"/>
        <v>PR:Games SP:Barney2017101 $1477</v>
      </c>
      <c r="J382">
        <f t="shared" si="113"/>
        <v>31</v>
      </c>
      <c r="K382">
        <f t="shared" si="114"/>
        <v>55</v>
      </c>
      <c r="L382" t="str">
        <f t="shared" si="115"/>
        <v>Games SP:Barney2017101 $1477</v>
      </c>
      <c r="M382" t="str">
        <f t="shared" si="116"/>
        <v>Games Barney2017101 $1477</v>
      </c>
      <c r="N382" s="1" t="str">
        <f t="shared" si="117"/>
        <v>Games Barney 2017101 $1477</v>
      </c>
      <c r="O382" s="9">
        <f t="shared" si="125"/>
        <v>6</v>
      </c>
      <c r="P382" s="9">
        <f t="shared" si="118"/>
        <v>13</v>
      </c>
      <c r="Q382" s="10">
        <f t="shared" si="119"/>
        <v>21</v>
      </c>
      <c r="R382" s="7" t="str">
        <f t="shared" si="120"/>
        <v>Games</v>
      </c>
      <c r="S382" s="7" t="str">
        <f t="shared" si="121"/>
        <v>Barney</v>
      </c>
      <c r="T382" s="7" t="str">
        <f t="shared" si="122"/>
        <v>2017101</v>
      </c>
      <c r="U382" s="7">
        <f t="shared" si="123"/>
        <v>1477</v>
      </c>
      <c r="V382" s="8">
        <f t="shared" si="124"/>
        <v>43009</v>
      </c>
    </row>
    <row r="383" spans="1:22">
      <c r="A383" s="3">
        <f t="shared" si="105"/>
        <v>381</v>
      </c>
      <c r="B383" t="s">
        <v>387</v>
      </c>
      <c r="C383">
        <f t="shared" si="106"/>
        <v>30</v>
      </c>
      <c r="D383" t="str">
        <f t="shared" si="107"/>
        <v xml:space="preserve">////PR:Books___SP:Barney20171018 $669  </v>
      </c>
      <c r="E383">
        <f t="shared" si="108"/>
        <v>32</v>
      </c>
      <c r="F383" t="str">
        <f t="shared" si="109"/>
        <v xml:space="preserve">////PR:Books___SP:Barney20171018 $669  </v>
      </c>
      <c r="G383" t="str">
        <f t="shared" si="110"/>
        <v xml:space="preserve">PR:Books___SP:Barney20171018 $669  </v>
      </c>
      <c r="H383" t="str">
        <f t="shared" si="111"/>
        <v xml:space="preserve">PR:Books   SP:Barney20171018 $669  </v>
      </c>
      <c r="I383" t="str">
        <f t="shared" si="112"/>
        <v>PR:Books SP:Barney20171018 $669</v>
      </c>
      <c r="J383">
        <f t="shared" si="113"/>
        <v>31</v>
      </c>
      <c r="K383">
        <f t="shared" si="114"/>
        <v>57</v>
      </c>
      <c r="L383" t="str">
        <f t="shared" si="115"/>
        <v>Books SP:Barney20171018 $669</v>
      </c>
      <c r="M383" t="str">
        <f t="shared" si="116"/>
        <v>Books Barney20171018 $669</v>
      </c>
      <c r="N383" s="1" t="str">
        <f t="shared" si="117"/>
        <v>Books Barney 20171018 $669</v>
      </c>
      <c r="O383" s="9">
        <f t="shared" si="125"/>
        <v>6</v>
      </c>
      <c r="P383" s="9">
        <f t="shared" si="118"/>
        <v>13</v>
      </c>
      <c r="Q383" s="10">
        <f t="shared" si="119"/>
        <v>22</v>
      </c>
      <c r="R383" s="7" t="str">
        <f t="shared" si="120"/>
        <v>Books</v>
      </c>
      <c r="S383" s="7" t="str">
        <f t="shared" si="121"/>
        <v>Barney</v>
      </c>
      <c r="T383" s="7" t="str">
        <f t="shared" si="122"/>
        <v>20171018</v>
      </c>
      <c r="U383" s="7">
        <f t="shared" si="123"/>
        <v>669</v>
      </c>
      <c r="V383" s="8">
        <f t="shared" si="124"/>
        <v>43026</v>
      </c>
    </row>
    <row r="384" spans="1:22">
      <c r="A384" s="3">
        <f t="shared" si="105"/>
        <v>382</v>
      </c>
      <c r="B384" t="s">
        <v>388</v>
      </c>
      <c r="C384">
        <f t="shared" si="106"/>
        <v>29</v>
      </c>
      <c r="D384" t="str">
        <f t="shared" si="107"/>
        <v xml:space="preserve">///PR:Games_SP:Carol20171023  $2447    </v>
      </c>
      <c r="E384">
        <f t="shared" si="108"/>
        <v>32</v>
      </c>
      <c r="F384" t="str">
        <f t="shared" si="109"/>
        <v xml:space="preserve">///PR:Games_SP:Carol20171023  $2447    </v>
      </c>
      <c r="G384" t="str">
        <f t="shared" si="110"/>
        <v xml:space="preserve">PR:Games_SP:Carol20171023  $2447    </v>
      </c>
      <c r="H384" t="str">
        <f t="shared" si="111"/>
        <v xml:space="preserve">PR:Games SP:Carol20171023  $2447    </v>
      </c>
      <c r="I384" t="str">
        <f t="shared" si="112"/>
        <v>PR:Games SP:Carol20171023 $2447</v>
      </c>
      <c r="J384">
        <f t="shared" si="113"/>
        <v>31</v>
      </c>
      <c r="K384">
        <f t="shared" si="114"/>
        <v>55</v>
      </c>
      <c r="L384" t="str">
        <f t="shared" si="115"/>
        <v>Games SP:Carol20171023 $2447</v>
      </c>
      <c r="M384" t="str">
        <f t="shared" si="116"/>
        <v>Games Carol20171023 $2447</v>
      </c>
      <c r="N384" s="1" t="str">
        <f t="shared" si="117"/>
        <v>Games Carol 20171023 $2447</v>
      </c>
      <c r="O384" s="9">
        <f t="shared" si="125"/>
        <v>6</v>
      </c>
      <c r="P384" s="9">
        <f t="shared" si="118"/>
        <v>12</v>
      </c>
      <c r="Q384" s="10">
        <f t="shared" si="119"/>
        <v>21</v>
      </c>
      <c r="R384" s="7" t="str">
        <f t="shared" si="120"/>
        <v>Games</v>
      </c>
      <c r="S384" s="7" t="str">
        <f t="shared" si="121"/>
        <v>Carol</v>
      </c>
      <c r="T384" s="7" t="str">
        <f t="shared" si="122"/>
        <v>20171023</v>
      </c>
      <c r="U384" s="7">
        <f t="shared" si="123"/>
        <v>2447</v>
      </c>
      <c r="V384" s="8">
        <f t="shared" si="124"/>
        <v>43031</v>
      </c>
    </row>
    <row r="385" spans="1:22">
      <c r="A385" s="3">
        <f t="shared" si="105"/>
        <v>383</v>
      </c>
      <c r="B385" t="s">
        <v>389</v>
      </c>
      <c r="C385">
        <f t="shared" si="106"/>
        <v>31</v>
      </c>
      <c r="D385" t="str">
        <f t="shared" si="107"/>
        <v xml:space="preserve">/PR:Books___SP:David20171014  $0     </v>
      </c>
      <c r="E385">
        <f t="shared" si="108"/>
        <v>32</v>
      </c>
      <c r="F385" t="str">
        <f t="shared" si="109"/>
        <v xml:space="preserve">/PR:Books___SP:David20171014  $0     </v>
      </c>
      <c r="G385" t="str">
        <f t="shared" si="110"/>
        <v xml:space="preserve">PR:Books___SP:David20171014  $0     </v>
      </c>
      <c r="H385" t="str">
        <f t="shared" si="111"/>
        <v xml:space="preserve">PR:Books   SP:David20171014  $0     </v>
      </c>
      <c r="I385" t="str">
        <f t="shared" si="112"/>
        <v>PR:Books SP:David20171014 $0</v>
      </c>
      <c r="J385">
        <f t="shared" si="113"/>
        <v>28</v>
      </c>
      <c r="K385">
        <f t="shared" si="114"/>
        <v>48</v>
      </c>
      <c r="L385" t="str">
        <f t="shared" si="115"/>
        <v>Books SP:David20171014 $0</v>
      </c>
      <c r="M385" t="str">
        <f t="shared" si="116"/>
        <v>Books David20171014 $0</v>
      </c>
      <c r="N385" s="1" t="str">
        <f t="shared" si="117"/>
        <v>Books David 20171014 $0</v>
      </c>
      <c r="O385" s="9">
        <f t="shared" si="125"/>
        <v>6</v>
      </c>
      <c r="P385" s="9">
        <f t="shared" si="118"/>
        <v>12</v>
      </c>
      <c r="Q385" s="10">
        <f t="shared" si="119"/>
        <v>21</v>
      </c>
      <c r="R385" s="7" t="str">
        <f t="shared" si="120"/>
        <v>Books</v>
      </c>
      <c r="S385" s="7" t="str">
        <f t="shared" si="121"/>
        <v>David</v>
      </c>
      <c r="T385" s="7" t="str">
        <f t="shared" si="122"/>
        <v>20171014</v>
      </c>
      <c r="U385" s="7">
        <f t="shared" si="123"/>
        <v>0</v>
      </c>
      <c r="V385" s="8">
        <f t="shared" si="124"/>
        <v>43022</v>
      </c>
    </row>
    <row r="386" spans="1:22">
      <c r="A386" s="3">
        <f t="shared" si="105"/>
        <v>384</v>
      </c>
      <c r="B386" t="s">
        <v>390</v>
      </c>
      <c r="C386">
        <f t="shared" si="106"/>
        <v>30</v>
      </c>
      <c r="D386" t="str">
        <f t="shared" si="107"/>
        <v xml:space="preserve">///PR:Games_SP:Barney20171023    $2144     </v>
      </c>
      <c r="E386">
        <f t="shared" si="108"/>
        <v>32</v>
      </c>
      <c r="F386" t="str">
        <f t="shared" si="109"/>
        <v xml:space="preserve">///PR:Games_SP:Barney20171023    $2144     </v>
      </c>
      <c r="G386" t="str">
        <f t="shared" si="110"/>
        <v xml:space="preserve">PR:Games_SP:Barney20171023    $2144     </v>
      </c>
      <c r="H386" t="str">
        <f t="shared" si="111"/>
        <v xml:space="preserve">PR:Games SP:Barney20171023    $2144     </v>
      </c>
      <c r="I386" t="str">
        <f t="shared" si="112"/>
        <v>PR:Games SP:Barney20171023 $2144</v>
      </c>
      <c r="J386">
        <f t="shared" si="113"/>
        <v>32</v>
      </c>
      <c r="K386">
        <f t="shared" si="114"/>
        <v>52</v>
      </c>
      <c r="L386" t="str">
        <f t="shared" si="115"/>
        <v>Games SP:Barney20171023 $2144</v>
      </c>
      <c r="M386" t="str">
        <f t="shared" si="116"/>
        <v>Games Barney20171023 $2144</v>
      </c>
      <c r="N386" s="1" t="str">
        <f t="shared" si="117"/>
        <v>Games Barney 20171023 $2144</v>
      </c>
      <c r="O386" s="9">
        <f t="shared" si="125"/>
        <v>6</v>
      </c>
      <c r="P386" s="9">
        <f t="shared" si="118"/>
        <v>13</v>
      </c>
      <c r="Q386" s="10">
        <f t="shared" si="119"/>
        <v>22</v>
      </c>
      <c r="R386" s="7" t="str">
        <f t="shared" si="120"/>
        <v>Games</v>
      </c>
      <c r="S386" s="7" t="str">
        <f t="shared" si="121"/>
        <v>Barney</v>
      </c>
      <c r="T386" s="7" t="str">
        <f t="shared" si="122"/>
        <v>20171023</v>
      </c>
      <c r="U386" s="7">
        <f t="shared" si="123"/>
        <v>2144</v>
      </c>
      <c r="V386" s="8">
        <f t="shared" si="124"/>
        <v>43031</v>
      </c>
    </row>
    <row r="387" spans="1:22">
      <c r="A387" s="3">
        <f t="shared" si="105"/>
        <v>385</v>
      </c>
      <c r="B387" t="s">
        <v>391</v>
      </c>
      <c r="C387">
        <f t="shared" si="106"/>
        <v>29</v>
      </c>
      <c r="D387" t="str">
        <f t="shared" si="107"/>
        <v xml:space="preserve">///PR:Books____SP:Alice20171022     $699  </v>
      </c>
      <c r="E387">
        <f t="shared" si="108"/>
        <v>32</v>
      </c>
      <c r="F387" t="str">
        <f t="shared" si="109"/>
        <v xml:space="preserve">///PR:Books____SP:Alice20171022     $699  </v>
      </c>
      <c r="G387" t="str">
        <f t="shared" si="110"/>
        <v xml:space="preserve">PR:Books____SP:Alice20171022     $699  </v>
      </c>
      <c r="H387" t="str">
        <f t="shared" si="111"/>
        <v xml:space="preserve">PR:Books    SP:Alice20171022     $699  </v>
      </c>
      <c r="I387" t="str">
        <f t="shared" si="112"/>
        <v>PR:Books SP:Alice20171022 $699</v>
      </c>
      <c r="J387">
        <f t="shared" si="113"/>
        <v>30</v>
      </c>
      <c r="K387">
        <f t="shared" si="114"/>
        <v>57</v>
      </c>
      <c r="L387" t="str">
        <f t="shared" si="115"/>
        <v>Books SP:Alice20171022 $699</v>
      </c>
      <c r="M387" t="str">
        <f t="shared" si="116"/>
        <v>Books Alice20171022 $699</v>
      </c>
      <c r="N387" s="1" t="str">
        <f t="shared" si="117"/>
        <v>Books Alice 20171022 $699</v>
      </c>
      <c r="O387" s="9">
        <f t="shared" si="125"/>
        <v>6</v>
      </c>
      <c r="P387" s="9">
        <f t="shared" si="118"/>
        <v>12</v>
      </c>
      <c r="Q387" s="10">
        <f t="shared" si="119"/>
        <v>21</v>
      </c>
      <c r="R387" s="7" t="str">
        <f t="shared" si="120"/>
        <v>Books</v>
      </c>
      <c r="S387" s="7" t="str">
        <f t="shared" si="121"/>
        <v>Alice</v>
      </c>
      <c r="T387" s="7" t="str">
        <f t="shared" si="122"/>
        <v>20171022</v>
      </c>
      <c r="U387" s="7">
        <f t="shared" si="123"/>
        <v>699</v>
      </c>
      <c r="V387" s="8">
        <f t="shared" si="124"/>
        <v>43030</v>
      </c>
    </row>
    <row r="388" spans="1:22">
      <c r="A388" s="3">
        <f t="shared" ref="A388:A451" si="126">A387+1</f>
        <v>386</v>
      </c>
      <c r="B388" t="s">
        <v>392</v>
      </c>
      <c r="C388">
        <f t="shared" ref="C388:C451" si="127">CODE(RIGHT(B388,1))</f>
        <v>29</v>
      </c>
      <c r="D388" t="str">
        <f t="shared" ref="D388:D451" si="128">CLEAN(B388)</f>
        <v xml:space="preserve">///PR:Music_SP:David20171017     $0 </v>
      </c>
      <c r="E388">
        <f t="shared" ref="E388:E451" si="129">CODE(RIGHT(D388,1))</f>
        <v>32</v>
      </c>
      <c r="F388" t="str">
        <f t="shared" ref="F388:F451" si="130">SUBSTITUTE(D388,CHAR(160)," ")</f>
        <v xml:space="preserve">///PR:Music_SP:David20171017     $0 </v>
      </c>
      <c r="G388" t="str">
        <f t="shared" ref="G388:G451" si="131">SUBSTITUTE(F388,"/","")</f>
        <v xml:space="preserve">PR:Music_SP:David20171017     $0 </v>
      </c>
      <c r="H388" t="str">
        <f t="shared" ref="H388:H451" si="132">SUBSTITUTE(G388,"_"," ")</f>
        <v xml:space="preserve">PR:Music SP:David20171017     $0 </v>
      </c>
      <c r="I388" t="str">
        <f t="shared" ref="I388:I451" si="133">TRIM(H388)</f>
        <v>PR:Music SP:David20171017 $0</v>
      </c>
      <c r="J388">
        <f t="shared" ref="J388:J451" si="134">LEN(I388)</f>
        <v>28</v>
      </c>
      <c r="K388">
        <f t="shared" ref="K388:K451" si="135">CODE(RIGHT(I388,1))</f>
        <v>48</v>
      </c>
      <c r="L388" t="str">
        <f t="shared" ref="L388:L451" si="136">SUBSTITUTE(I388,"PR:","")</f>
        <v>Music SP:David20171017 $0</v>
      </c>
      <c r="M388" t="str">
        <f t="shared" ref="M388:M451" si="137">SUBSTITUTE(L388,"SP:","")</f>
        <v>Music David20171017 $0</v>
      </c>
      <c r="N388" s="1" t="str">
        <f t="shared" ref="N388:N451" si="138">SUBSTITUTE(M388,"201710"," 201710")</f>
        <v>Music David 20171017 $0</v>
      </c>
      <c r="O388" s="9">
        <f t="shared" si="125"/>
        <v>6</v>
      </c>
      <c r="P388" s="9">
        <f t="shared" ref="P388:P451" si="139">FIND(" ",N388,O388+1)</f>
        <v>12</v>
      </c>
      <c r="Q388" s="10">
        <f t="shared" ref="Q388:Q451" si="140">FIND("$",N388,1)-1</f>
        <v>21</v>
      </c>
      <c r="R388" s="7" t="str">
        <f t="shared" ref="R388:R451" si="141">LEFT(N388,O388-1)</f>
        <v>Music</v>
      </c>
      <c r="S388" s="7" t="str">
        <f t="shared" ref="S388:S451" si="142">MID(N388,O388+1,P388-O388-1)</f>
        <v>David</v>
      </c>
      <c r="T388" s="7" t="str">
        <f t="shared" ref="T388:T451" si="143">MID(N388,P388+1,Q388-P388-1)</f>
        <v>20171017</v>
      </c>
      <c r="U388" s="7">
        <f t="shared" ref="U388:U451" si="144">VALUE(MID(N388,Q388+2,99))</f>
        <v>0</v>
      </c>
      <c r="V388" s="8">
        <f t="shared" ref="V388:V451" si="145">DATE(2017,10,MID(T388,7,99))</f>
        <v>43025</v>
      </c>
    </row>
    <row r="389" spans="1:22">
      <c r="A389" s="3">
        <f t="shared" si="126"/>
        <v>387</v>
      </c>
      <c r="B389" t="s">
        <v>393</v>
      </c>
      <c r="C389">
        <f t="shared" si="127"/>
        <v>29</v>
      </c>
      <c r="D389" t="str">
        <f t="shared" si="128"/>
        <v xml:space="preserve">///PR:Music____SP:Barney20171013   $0   </v>
      </c>
      <c r="E389">
        <f t="shared" si="129"/>
        <v>32</v>
      </c>
      <c r="F389" t="str">
        <f t="shared" si="130"/>
        <v xml:space="preserve">///PR:Music____SP:Barney20171013   $0   </v>
      </c>
      <c r="G389" t="str">
        <f t="shared" si="131"/>
        <v xml:space="preserve">PR:Music____SP:Barney20171013   $0   </v>
      </c>
      <c r="H389" t="str">
        <f t="shared" si="132"/>
        <v xml:space="preserve">PR:Music    SP:Barney20171013   $0   </v>
      </c>
      <c r="I389" t="str">
        <f t="shared" si="133"/>
        <v>PR:Music SP:Barney20171013 $0</v>
      </c>
      <c r="J389">
        <f t="shared" si="134"/>
        <v>29</v>
      </c>
      <c r="K389">
        <f t="shared" si="135"/>
        <v>48</v>
      </c>
      <c r="L389" t="str">
        <f t="shared" si="136"/>
        <v>Music SP:Barney20171013 $0</v>
      </c>
      <c r="M389" t="str">
        <f t="shared" si="137"/>
        <v>Music Barney20171013 $0</v>
      </c>
      <c r="N389" s="1" t="str">
        <f t="shared" si="138"/>
        <v>Music Barney 20171013 $0</v>
      </c>
      <c r="O389" s="9">
        <f t="shared" ref="O389:O452" si="146">FIND(" ",N389,1)</f>
        <v>6</v>
      </c>
      <c r="P389" s="9">
        <f t="shared" si="139"/>
        <v>13</v>
      </c>
      <c r="Q389" s="10">
        <f t="shared" si="140"/>
        <v>22</v>
      </c>
      <c r="R389" s="7" t="str">
        <f t="shared" si="141"/>
        <v>Music</v>
      </c>
      <c r="S389" s="7" t="str">
        <f t="shared" si="142"/>
        <v>Barney</v>
      </c>
      <c r="T389" s="7" t="str">
        <f t="shared" si="143"/>
        <v>20171013</v>
      </c>
      <c r="U389" s="7">
        <f t="shared" si="144"/>
        <v>0</v>
      </c>
      <c r="V389" s="8">
        <f t="shared" si="145"/>
        <v>43021</v>
      </c>
    </row>
    <row r="390" spans="1:22">
      <c r="A390" s="3">
        <f t="shared" si="126"/>
        <v>388</v>
      </c>
      <c r="B390" t="s">
        <v>394</v>
      </c>
      <c r="C390">
        <f t="shared" si="127"/>
        <v>28</v>
      </c>
      <c r="D390" t="str">
        <f t="shared" si="128"/>
        <v xml:space="preserve">/PR:Books_____SP:Carol20171017     $825     </v>
      </c>
      <c r="E390">
        <f t="shared" si="129"/>
        <v>32</v>
      </c>
      <c r="F390" t="str">
        <f t="shared" si="130"/>
        <v xml:space="preserve">/PR:Books_____SP:Carol20171017     $825     </v>
      </c>
      <c r="G390" t="str">
        <f t="shared" si="131"/>
        <v xml:space="preserve">PR:Books_____SP:Carol20171017     $825     </v>
      </c>
      <c r="H390" t="str">
        <f t="shared" si="132"/>
        <v xml:space="preserve">PR:Books     SP:Carol20171017     $825     </v>
      </c>
      <c r="I390" t="str">
        <f t="shared" si="133"/>
        <v>PR:Books SP:Carol20171017 $825</v>
      </c>
      <c r="J390">
        <f t="shared" si="134"/>
        <v>30</v>
      </c>
      <c r="K390">
        <f t="shared" si="135"/>
        <v>53</v>
      </c>
      <c r="L390" t="str">
        <f t="shared" si="136"/>
        <v>Books SP:Carol20171017 $825</v>
      </c>
      <c r="M390" t="str">
        <f t="shared" si="137"/>
        <v>Books Carol20171017 $825</v>
      </c>
      <c r="N390" s="1" t="str">
        <f t="shared" si="138"/>
        <v>Books Carol 20171017 $825</v>
      </c>
      <c r="O390" s="9">
        <f t="shared" si="146"/>
        <v>6</v>
      </c>
      <c r="P390" s="9">
        <f t="shared" si="139"/>
        <v>12</v>
      </c>
      <c r="Q390" s="10">
        <f t="shared" si="140"/>
        <v>21</v>
      </c>
      <c r="R390" s="7" t="str">
        <f t="shared" si="141"/>
        <v>Books</v>
      </c>
      <c r="S390" s="7" t="str">
        <f t="shared" si="142"/>
        <v>Carol</v>
      </c>
      <c r="T390" s="7" t="str">
        <f t="shared" si="143"/>
        <v>20171017</v>
      </c>
      <c r="U390" s="7">
        <f t="shared" si="144"/>
        <v>825</v>
      </c>
      <c r="V390" s="8">
        <f t="shared" si="145"/>
        <v>43025</v>
      </c>
    </row>
    <row r="391" spans="1:22">
      <c r="A391" s="3">
        <f t="shared" si="126"/>
        <v>389</v>
      </c>
      <c r="B391" t="s">
        <v>395</v>
      </c>
      <c r="C391">
        <f t="shared" si="127"/>
        <v>28</v>
      </c>
      <c r="D391" t="str">
        <f t="shared" si="128"/>
        <v xml:space="preserve">////PR:Games__SP:Alice2017107     $0   </v>
      </c>
      <c r="E391">
        <f t="shared" si="129"/>
        <v>32</v>
      </c>
      <c r="F391" t="str">
        <f t="shared" si="130"/>
        <v xml:space="preserve">////PR:Games__SP:Alice2017107     $0   </v>
      </c>
      <c r="G391" t="str">
        <f t="shared" si="131"/>
        <v xml:space="preserve">PR:Games__SP:Alice2017107     $0   </v>
      </c>
      <c r="H391" t="str">
        <f t="shared" si="132"/>
        <v xml:space="preserve">PR:Games  SP:Alice2017107     $0   </v>
      </c>
      <c r="I391" t="str">
        <f t="shared" si="133"/>
        <v>PR:Games SP:Alice2017107 $0</v>
      </c>
      <c r="J391">
        <f t="shared" si="134"/>
        <v>27</v>
      </c>
      <c r="K391">
        <f t="shared" si="135"/>
        <v>48</v>
      </c>
      <c r="L391" t="str">
        <f t="shared" si="136"/>
        <v>Games SP:Alice2017107 $0</v>
      </c>
      <c r="M391" t="str">
        <f t="shared" si="137"/>
        <v>Games Alice2017107 $0</v>
      </c>
      <c r="N391" s="1" t="str">
        <f t="shared" si="138"/>
        <v>Games Alice 2017107 $0</v>
      </c>
      <c r="O391" s="9">
        <f t="shared" si="146"/>
        <v>6</v>
      </c>
      <c r="P391" s="9">
        <f t="shared" si="139"/>
        <v>12</v>
      </c>
      <c r="Q391" s="10">
        <f t="shared" si="140"/>
        <v>20</v>
      </c>
      <c r="R391" s="7" t="str">
        <f t="shared" si="141"/>
        <v>Games</v>
      </c>
      <c r="S391" s="7" t="str">
        <f t="shared" si="142"/>
        <v>Alice</v>
      </c>
      <c r="T391" s="7" t="str">
        <f t="shared" si="143"/>
        <v>2017107</v>
      </c>
      <c r="U391" s="7">
        <f t="shared" si="144"/>
        <v>0</v>
      </c>
      <c r="V391" s="8">
        <f t="shared" si="145"/>
        <v>43015</v>
      </c>
    </row>
    <row r="392" spans="1:22">
      <c r="A392" s="3">
        <f t="shared" si="126"/>
        <v>390</v>
      </c>
      <c r="B392" t="s">
        <v>396</v>
      </c>
      <c r="C392">
        <f t="shared" si="127"/>
        <v>30</v>
      </c>
      <c r="D392" t="str">
        <f t="shared" si="128"/>
        <v xml:space="preserve">//PR:Games_____SP:David2017101    $1810     </v>
      </c>
      <c r="E392">
        <f t="shared" si="129"/>
        <v>32</v>
      </c>
      <c r="F392" t="str">
        <f t="shared" si="130"/>
        <v xml:space="preserve">//PR:Games_____SP:David2017101    $1810     </v>
      </c>
      <c r="G392" t="str">
        <f t="shared" si="131"/>
        <v xml:space="preserve">PR:Games_____SP:David2017101    $1810     </v>
      </c>
      <c r="H392" t="str">
        <f t="shared" si="132"/>
        <v xml:space="preserve">PR:Games     SP:David2017101    $1810     </v>
      </c>
      <c r="I392" t="str">
        <f t="shared" si="133"/>
        <v>PR:Games SP:David2017101 $1810</v>
      </c>
      <c r="J392">
        <f t="shared" si="134"/>
        <v>30</v>
      </c>
      <c r="K392">
        <f t="shared" si="135"/>
        <v>48</v>
      </c>
      <c r="L392" t="str">
        <f t="shared" si="136"/>
        <v>Games SP:David2017101 $1810</v>
      </c>
      <c r="M392" t="str">
        <f t="shared" si="137"/>
        <v>Games David2017101 $1810</v>
      </c>
      <c r="N392" s="1" t="str">
        <f t="shared" si="138"/>
        <v>Games David 2017101 $1810</v>
      </c>
      <c r="O392" s="9">
        <f t="shared" si="146"/>
        <v>6</v>
      </c>
      <c r="P392" s="9">
        <f t="shared" si="139"/>
        <v>12</v>
      </c>
      <c r="Q392" s="10">
        <f t="shared" si="140"/>
        <v>20</v>
      </c>
      <c r="R392" s="7" t="str">
        <f t="shared" si="141"/>
        <v>Games</v>
      </c>
      <c r="S392" s="7" t="str">
        <f t="shared" si="142"/>
        <v>David</v>
      </c>
      <c r="T392" s="7" t="str">
        <f t="shared" si="143"/>
        <v>2017101</v>
      </c>
      <c r="U392" s="7">
        <f t="shared" si="144"/>
        <v>1810</v>
      </c>
      <c r="V392" s="8">
        <f t="shared" si="145"/>
        <v>43009</v>
      </c>
    </row>
    <row r="393" spans="1:22">
      <c r="A393" s="3">
        <f t="shared" si="126"/>
        <v>391</v>
      </c>
      <c r="B393" t="s">
        <v>397</v>
      </c>
      <c r="C393">
        <f t="shared" si="127"/>
        <v>30</v>
      </c>
      <c r="D393" t="str">
        <f t="shared" si="128"/>
        <v xml:space="preserve">/////PR:Books__SP:Carol20171026  $686   </v>
      </c>
      <c r="E393">
        <f t="shared" si="129"/>
        <v>32</v>
      </c>
      <c r="F393" t="str">
        <f t="shared" si="130"/>
        <v xml:space="preserve">/////PR:Books__SP:Carol20171026  $686   </v>
      </c>
      <c r="G393" t="str">
        <f t="shared" si="131"/>
        <v xml:space="preserve">PR:Books__SP:Carol20171026  $686   </v>
      </c>
      <c r="H393" t="str">
        <f t="shared" si="132"/>
        <v xml:space="preserve">PR:Books  SP:Carol20171026  $686   </v>
      </c>
      <c r="I393" t="str">
        <f t="shared" si="133"/>
        <v>PR:Books SP:Carol20171026 $686</v>
      </c>
      <c r="J393">
        <f t="shared" si="134"/>
        <v>30</v>
      </c>
      <c r="K393">
        <f t="shared" si="135"/>
        <v>54</v>
      </c>
      <c r="L393" t="str">
        <f t="shared" si="136"/>
        <v>Books SP:Carol20171026 $686</v>
      </c>
      <c r="M393" t="str">
        <f t="shared" si="137"/>
        <v>Books Carol20171026 $686</v>
      </c>
      <c r="N393" s="1" t="str">
        <f t="shared" si="138"/>
        <v>Books Carol 20171026 $686</v>
      </c>
      <c r="O393" s="9">
        <f t="shared" si="146"/>
        <v>6</v>
      </c>
      <c r="P393" s="9">
        <f t="shared" si="139"/>
        <v>12</v>
      </c>
      <c r="Q393" s="10">
        <f t="shared" si="140"/>
        <v>21</v>
      </c>
      <c r="R393" s="7" t="str">
        <f t="shared" si="141"/>
        <v>Books</v>
      </c>
      <c r="S393" s="7" t="str">
        <f t="shared" si="142"/>
        <v>Carol</v>
      </c>
      <c r="T393" s="7" t="str">
        <f t="shared" si="143"/>
        <v>20171026</v>
      </c>
      <c r="U393" s="7">
        <f t="shared" si="144"/>
        <v>686</v>
      </c>
      <c r="V393" s="8">
        <f t="shared" si="145"/>
        <v>43034</v>
      </c>
    </row>
    <row r="394" spans="1:22">
      <c r="A394" s="3">
        <f t="shared" si="126"/>
        <v>392</v>
      </c>
      <c r="B394" t="s">
        <v>398</v>
      </c>
      <c r="C394">
        <f t="shared" si="127"/>
        <v>28</v>
      </c>
      <c r="D394" t="str">
        <f t="shared" si="128"/>
        <v xml:space="preserve">////PR:Music_____SP:Carol2017104  $1025  </v>
      </c>
      <c r="E394">
        <f t="shared" si="129"/>
        <v>32</v>
      </c>
      <c r="F394" t="str">
        <f t="shared" si="130"/>
        <v xml:space="preserve">////PR:Music_____SP:Carol2017104  $1025  </v>
      </c>
      <c r="G394" t="str">
        <f t="shared" si="131"/>
        <v xml:space="preserve">PR:Music_____SP:Carol2017104  $1025  </v>
      </c>
      <c r="H394" t="str">
        <f t="shared" si="132"/>
        <v xml:space="preserve">PR:Music     SP:Carol2017104  $1025  </v>
      </c>
      <c r="I394" t="str">
        <f t="shared" si="133"/>
        <v>PR:Music SP:Carol2017104 $1025</v>
      </c>
      <c r="J394">
        <f t="shared" si="134"/>
        <v>30</v>
      </c>
      <c r="K394">
        <f t="shared" si="135"/>
        <v>53</v>
      </c>
      <c r="L394" t="str">
        <f t="shared" si="136"/>
        <v>Music SP:Carol2017104 $1025</v>
      </c>
      <c r="M394" t="str">
        <f t="shared" si="137"/>
        <v>Music Carol2017104 $1025</v>
      </c>
      <c r="N394" s="1" t="str">
        <f t="shared" si="138"/>
        <v>Music Carol 2017104 $1025</v>
      </c>
      <c r="O394" s="9">
        <f t="shared" si="146"/>
        <v>6</v>
      </c>
      <c r="P394" s="9">
        <f t="shared" si="139"/>
        <v>12</v>
      </c>
      <c r="Q394" s="10">
        <f t="shared" si="140"/>
        <v>20</v>
      </c>
      <c r="R394" s="7" t="str">
        <f t="shared" si="141"/>
        <v>Music</v>
      </c>
      <c r="S394" s="7" t="str">
        <f t="shared" si="142"/>
        <v>Carol</v>
      </c>
      <c r="T394" s="7" t="str">
        <f t="shared" si="143"/>
        <v>2017104</v>
      </c>
      <c r="U394" s="7">
        <f t="shared" si="144"/>
        <v>1025</v>
      </c>
      <c r="V394" s="8">
        <f t="shared" si="145"/>
        <v>43012</v>
      </c>
    </row>
    <row r="395" spans="1:22">
      <c r="A395" s="3">
        <f t="shared" si="126"/>
        <v>393</v>
      </c>
      <c r="B395" t="s">
        <v>399</v>
      </c>
      <c r="C395">
        <f t="shared" si="127"/>
        <v>29</v>
      </c>
      <c r="D395" t="str">
        <f t="shared" si="128"/>
        <v xml:space="preserve">///PR:Games_SP:Carol2017102    $827     </v>
      </c>
      <c r="E395">
        <f t="shared" si="129"/>
        <v>32</v>
      </c>
      <c r="F395" t="str">
        <f t="shared" si="130"/>
        <v xml:space="preserve">///PR:Games_SP:Carol2017102    $827     </v>
      </c>
      <c r="G395" t="str">
        <f t="shared" si="131"/>
        <v xml:space="preserve">PR:Games_SP:Carol2017102    $827     </v>
      </c>
      <c r="H395" t="str">
        <f t="shared" si="132"/>
        <v xml:space="preserve">PR:Games SP:Carol2017102    $827     </v>
      </c>
      <c r="I395" t="str">
        <f t="shared" si="133"/>
        <v>PR:Games SP:Carol2017102 $827</v>
      </c>
      <c r="J395">
        <f t="shared" si="134"/>
        <v>29</v>
      </c>
      <c r="K395">
        <f t="shared" si="135"/>
        <v>55</v>
      </c>
      <c r="L395" t="str">
        <f t="shared" si="136"/>
        <v>Games SP:Carol2017102 $827</v>
      </c>
      <c r="M395" t="str">
        <f t="shared" si="137"/>
        <v>Games Carol2017102 $827</v>
      </c>
      <c r="N395" s="1" t="str">
        <f t="shared" si="138"/>
        <v>Games Carol 2017102 $827</v>
      </c>
      <c r="O395" s="9">
        <f t="shared" si="146"/>
        <v>6</v>
      </c>
      <c r="P395" s="9">
        <f t="shared" si="139"/>
        <v>12</v>
      </c>
      <c r="Q395" s="10">
        <f t="shared" si="140"/>
        <v>20</v>
      </c>
      <c r="R395" s="7" t="str">
        <f t="shared" si="141"/>
        <v>Games</v>
      </c>
      <c r="S395" s="7" t="str">
        <f t="shared" si="142"/>
        <v>Carol</v>
      </c>
      <c r="T395" s="7" t="str">
        <f t="shared" si="143"/>
        <v>2017102</v>
      </c>
      <c r="U395" s="7">
        <f t="shared" si="144"/>
        <v>827</v>
      </c>
      <c r="V395" s="8">
        <f t="shared" si="145"/>
        <v>43010</v>
      </c>
    </row>
    <row r="396" spans="1:22">
      <c r="A396" s="3">
        <f t="shared" si="126"/>
        <v>394</v>
      </c>
      <c r="B396" t="s">
        <v>400</v>
      </c>
      <c r="C396">
        <f t="shared" si="127"/>
        <v>28</v>
      </c>
      <c r="D396" t="str">
        <f t="shared" si="128"/>
        <v xml:space="preserve">/////PR:Books____SP:David20171018  $0  </v>
      </c>
      <c r="E396">
        <f t="shared" si="129"/>
        <v>32</v>
      </c>
      <c r="F396" t="str">
        <f t="shared" si="130"/>
        <v xml:space="preserve">/////PR:Books____SP:David20171018  $0  </v>
      </c>
      <c r="G396" t="str">
        <f t="shared" si="131"/>
        <v xml:space="preserve">PR:Books____SP:David20171018  $0  </v>
      </c>
      <c r="H396" t="str">
        <f t="shared" si="132"/>
        <v xml:space="preserve">PR:Books    SP:David20171018  $0  </v>
      </c>
      <c r="I396" t="str">
        <f t="shared" si="133"/>
        <v>PR:Books SP:David20171018 $0</v>
      </c>
      <c r="J396">
        <f t="shared" si="134"/>
        <v>28</v>
      </c>
      <c r="K396">
        <f t="shared" si="135"/>
        <v>48</v>
      </c>
      <c r="L396" t="str">
        <f t="shared" si="136"/>
        <v>Books SP:David20171018 $0</v>
      </c>
      <c r="M396" t="str">
        <f t="shared" si="137"/>
        <v>Books David20171018 $0</v>
      </c>
      <c r="N396" s="1" t="str">
        <f t="shared" si="138"/>
        <v>Books David 20171018 $0</v>
      </c>
      <c r="O396" s="9">
        <f t="shared" si="146"/>
        <v>6</v>
      </c>
      <c r="P396" s="9">
        <f t="shared" si="139"/>
        <v>12</v>
      </c>
      <c r="Q396" s="10">
        <f t="shared" si="140"/>
        <v>21</v>
      </c>
      <c r="R396" s="7" t="str">
        <f t="shared" si="141"/>
        <v>Books</v>
      </c>
      <c r="S396" s="7" t="str">
        <f t="shared" si="142"/>
        <v>David</v>
      </c>
      <c r="T396" s="7" t="str">
        <f t="shared" si="143"/>
        <v>20171018</v>
      </c>
      <c r="U396" s="7">
        <f t="shared" si="144"/>
        <v>0</v>
      </c>
      <c r="V396" s="8">
        <f t="shared" si="145"/>
        <v>43026</v>
      </c>
    </row>
    <row r="397" spans="1:22">
      <c r="A397" s="3">
        <f t="shared" si="126"/>
        <v>395</v>
      </c>
      <c r="B397" t="s">
        <v>401</v>
      </c>
      <c r="C397">
        <f t="shared" si="127"/>
        <v>28</v>
      </c>
      <c r="D397" t="str">
        <f t="shared" si="128"/>
        <v xml:space="preserve">///PR:Music_____SP:Barney20171022 $1291   </v>
      </c>
      <c r="E397">
        <f t="shared" si="129"/>
        <v>32</v>
      </c>
      <c r="F397" t="str">
        <f t="shared" si="130"/>
        <v xml:space="preserve">///PR:Music_____SP:Barney20171022 $1291   </v>
      </c>
      <c r="G397" t="str">
        <f t="shared" si="131"/>
        <v xml:space="preserve">PR:Music_____SP:Barney20171022 $1291   </v>
      </c>
      <c r="H397" t="str">
        <f t="shared" si="132"/>
        <v xml:space="preserve">PR:Music     SP:Barney20171022 $1291   </v>
      </c>
      <c r="I397" t="str">
        <f t="shared" si="133"/>
        <v>PR:Music SP:Barney20171022 $1291</v>
      </c>
      <c r="J397">
        <f t="shared" si="134"/>
        <v>32</v>
      </c>
      <c r="K397">
        <f t="shared" si="135"/>
        <v>49</v>
      </c>
      <c r="L397" t="str">
        <f t="shared" si="136"/>
        <v>Music SP:Barney20171022 $1291</v>
      </c>
      <c r="M397" t="str">
        <f t="shared" si="137"/>
        <v>Music Barney20171022 $1291</v>
      </c>
      <c r="N397" s="1" t="str">
        <f t="shared" si="138"/>
        <v>Music Barney 20171022 $1291</v>
      </c>
      <c r="O397" s="9">
        <f t="shared" si="146"/>
        <v>6</v>
      </c>
      <c r="P397" s="9">
        <f t="shared" si="139"/>
        <v>13</v>
      </c>
      <c r="Q397" s="10">
        <f t="shared" si="140"/>
        <v>22</v>
      </c>
      <c r="R397" s="7" t="str">
        <f t="shared" si="141"/>
        <v>Music</v>
      </c>
      <c r="S397" s="7" t="str">
        <f t="shared" si="142"/>
        <v>Barney</v>
      </c>
      <c r="T397" s="7" t="str">
        <f t="shared" si="143"/>
        <v>20171022</v>
      </c>
      <c r="U397" s="7">
        <f t="shared" si="144"/>
        <v>1291</v>
      </c>
      <c r="V397" s="8">
        <f t="shared" si="145"/>
        <v>43030</v>
      </c>
    </row>
    <row r="398" spans="1:22">
      <c r="A398" s="3">
        <f t="shared" si="126"/>
        <v>396</v>
      </c>
      <c r="B398" t="s">
        <v>402</v>
      </c>
      <c r="C398">
        <f t="shared" si="127"/>
        <v>29</v>
      </c>
      <c r="D398" t="str">
        <f t="shared" si="128"/>
        <v xml:space="preserve">/////PR:Music___SP:Barney20171017   $1294   </v>
      </c>
      <c r="E398">
        <f t="shared" si="129"/>
        <v>32</v>
      </c>
      <c r="F398" t="str">
        <f t="shared" si="130"/>
        <v xml:space="preserve">/////PR:Music___SP:Barney20171017   $1294   </v>
      </c>
      <c r="G398" t="str">
        <f t="shared" si="131"/>
        <v xml:space="preserve">PR:Music___SP:Barney20171017   $1294   </v>
      </c>
      <c r="H398" t="str">
        <f t="shared" si="132"/>
        <v xml:space="preserve">PR:Music   SP:Barney20171017   $1294   </v>
      </c>
      <c r="I398" t="str">
        <f t="shared" si="133"/>
        <v>PR:Music SP:Barney20171017 $1294</v>
      </c>
      <c r="J398">
        <f t="shared" si="134"/>
        <v>32</v>
      </c>
      <c r="K398">
        <f t="shared" si="135"/>
        <v>52</v>
      </c>
      <c r="L398" t="str">
        <f t="shared" si="136"/>
        <v>Music SP:Barney20171017 $1294</v>
      </c>
      <c r="M398" t="str">
        <f t="shared" si="137"/>
        <v>Music Barney20171017 $1294</v>
      </c>
      <c r="N398" s="1" t="str">
        <f t="shared" si="138"/>
        <v>Music Barney 20171017 $1294</v>
      </c>
      <c r="O398" s="9">
        <f t="shared" si="146"/>
        <v>6</v>
      </c>
      <c r="P398" s="9">
        <f t="shared" si="139"/>
        <v>13</v>
      </c>
      <c r="Q398" s="10">
        <f t="shared" si="140"/>
        <v>22</v>
      </c>
      <c r="R398" s="7" t="str">
        <f t="shared" si="141"/>
        <v>Music</v>
      </c>
      <c r="S398" s="7" t="str">
        <f t="shared" si="142"/>
        <v>Barney</v>
      </c>
      <c r="T398" s="7" t="str">
        <f t="shared" si="143"/>
        <v>20171017</v>
      </c>
      <c r="U398" s="7">
        <f t="shared" si="144"/>
        <v>1294</v>
      </c>
      <c r="V398" s="8">
        <f t="shared" si="145"/>
        <v>43025</v>
      </c>
    </row>
    <row r="399" spans="1:22">
      <c r="A399" s="3">
        <f t="shared" si="126"/>
        <v>397</v>
      </c>
      <c r="B399" t="s">
        <v>403</v>
      </c>
      <c r="C399">
        <f t="shared" si="127"/>
        <v>29</v>
      </c>
      <c r="D399" t="str">
        <f t="shared" si="128"/>
        <v xml:space="preserve">/////PR:Music__SP:Alice20171010   $1098    </v>
      </c>
      <c r="E399">
        <f t="shared" si="129"/>
        <v>32</v>
      </c>
      <c r="F399" t="str">
        <f t="shared" si="130"/>
        <v xml:space="preserve">/////PR:Music__SP:Alice20171010   $1098    </v>
      </c>
      <c r="G399" t="str">
        <f t="shared" si="131"/>
        <v xml:space="preserve">PR:Music__SP:Alice20171010   $1098    </v>
      </c>
      <c r="H399" t="str">
        <f t="shared" si="132"/>
        <v xml:space="preserve">PR:Music  SP:Alice20171010   $1098    </v>
      </c>
      <c r="I399" t="str">
        <f t="shared" si="133"/>
        <v>PR:Music SP:Alice20171010 $1098</v>
      </c>
      <c r="J399">
        <f t="shared" si="134"/>
        <v>31</v>
      </c>
      <c r="K399">
        <f t="shared" si="135"/>
        <v>56</v>
      </c>
      <c r="L399" t="str">
        <f t="shared" si="136"/>
        <v>Music SP:Alice20171010 $1098</v>
      </c>
      <c r="M399" t="str">
        <f t="shared" si="137"/>
        <v>Music Alice20171010 $1098</v>
      </c>
      <c r="N399" s="1" t="str">
        <f t="shared" si="138"/>
        <v>Music Alice 20171010 $1098</v>
      </c>
      <c r="O399" s="9">
        <f t="shared" si="146"/>
        <v>6</v>
      </c>
      <c r="P399" s="9">
        <f t="shared" si="139"/>
        <v>12</v>
      </c>
      <c r="Q399" s="10">
        <f t="shared" si="140"/>
        <v>21</v>
      </c>
      <c r="R399" s="7" t="str">
        <f t="shared" si="141"/>
        <v>Music</v>
      </c>
      <c r="S399" s="7" t="str">
        <f t="shared" si="142"/>
        <v>Alice</v>
      </c>
      <c r="T399" s="7" t="str">
        <f t="shared" si="143"/>
        <v>20171010</v>
      </c>
      <c r="U399" s="7">
        <f t="shared" si="144"/>
        <v>1098</v>
      </c>
      <c r="V399" s="8">
        <f t="shared" si="145"/>
        <v>43018</v>
      </c>
    </row>
    <row r="400" spans="1:22">
      <c r="A400" s="3">
        <f t="shared" si="126"/>
        <v>398</v>
      </c>
      <c r="B400" t="s">
        <v>404</v>
      </c>
      <c r="C400">
        <f t="shared" si="127"/>
        <v>29</v>
      </c>
      <c r="D400" t="str">
        <f t="shared" si="128"/>
        <v xml:space="preserve">////PR:Books___SP:Alice2017104  $716  </v>
      </c>
      <c r="E400">
        <f t="shared" si="129"/>
        <v>32</v>
      </c>
      <c r="F400" t="str">
        <f t="shared" si="130"/>
        <v xml:space="preserve">////PR:Books___SP:Alice2017104  $716  </v>
      </c>
      <c r="G400" t="str">
        <f t="shared" si="131"/>
        <v xml:space="preserve">PR:Books___SP:Alice2017104  $716  </v>
      </c>
      <c r="H400" t="str">
        <f t="shared" si="132"/>
        <v xml:space="preserve">PR:Books   SP:Alice2017104  $716  </v>
      </c>
      <c r="I400" t="str">
        <f t="shared" si="133"/>
        <v>PR:Books SP:Alice2017104 $716</v>
      </c>
      <c r="J400">
        <f t="shared" si="134"/>
        <v>29</v>
      </c>
      <c r="K400">
        <f t="shared" si="135"/>
        <v>54</v>
      </c>
      <c r="L400" t="str">
        <f t="shared" si="136"/>
        <v>Books SP:Alice2017104 $716</v>
      </c>
      <c r="M400" t="str">
        <f t="shared" si="137"/>
        <v>Books Alice2017104 $716</v>
      </c>
      <c r="N400" s="1" t="str">
        <f t="shared" si="138"/>
        <v>Books Alice 2017104 $716</v>
      </c>
      <c r="O400" s="9">
        <f t="shared" si="146"/>
        <v>6</v>
      </c>
      <c r="P400" s="9">
        <f t="shared" si="139"/>
        <v>12</v>
      </c>
      <c r="Q400" s="10">
        <f t="shared" si="140"/>
        <v>20</v>
      </c>
      <c r="R400" s="7" t="str">
        <f t="shared" si="141"/>
        <v>Books</v>
      </c>
      <c r="S400" s="7" t="str">
        <f t="shared" si="142"/>
        <v>Alice</v>
      </c>
      <c r="T400" s="7" t="str">
        <f t="shared" si="143"/>
        <v>2017104</v>
      </c>
      <c r="U400" s="7">
        <f t="shared" si="144"/>
        <v>716</v>
      </c>
      <c r="V400" s="8">
        <f t="shared" si="145"/>
        <v>43012</v>
      </c>
    </row>
    <row r="401" spans="1:22">
      <c r="A401" s="3">
        <f t="shared" si="126"/>
        <v>399</v>
      </c>
      <c r="B401" t="s">
        <v>405</v>
      </c>
      <c r="C401">
        <f t="shared" si="127"/>
        <v>28</v>
      </c>
      <c r="D401" t="str">
        <f t="shared" si="128"/>
        <v xml:space="preserve">///PR:Clothing____SP:Alice20171012 $0     </v>
      </c>
      <c r="E401">
        <f t="shared" si="129"/>
        <v>32</v>
      </c>
      <c r="F401" t="str">
        <f t="shared" si="130"/>
        <v xml:space="preserve">///PR:Clothing____SP:Alice20171012 $0     </v>
      </c>
      <c r="G401" t="str">
        <f t="shared" si="131"/>
        <v xml:space="preserve">PR:Clothing____SP:Alice20171012 $0     </v>
      </c>
      <c r="H401" t="str">
        <f t="shared" si="132"/>
        <v xml:space="preserve">PR:Clothing    SP:Alice20171012 $0     </v>
      </c>
      <c r="I401" t="str">
        <f t="shared" si="133"/>
        <v>PR:Clothing SP:Alice20171012 $0</v>
      </c>
      <c r="J401">
        <f t="shared" si="134"/>
        <v>31</v>
      </c>
      <c r="K401">
        <f t="shared" si="135"/>
        <v>48</v>
      </c>
      <c r="L401" t="str">
        <f t="shared" si="136"/>
        <v>Clothing SP:Alice20171012 $0</v>
      </c>
      <c r="M401" t="str">
        <f t="shared" si="137"/>
        <v>Clothing Alice20171012 $0</v>
      </c>
      <c r="N401" s="1" t="str">
        <f t="shared" si="138"/>
        <v>Clothing Alice 20171012 $0</v>
      </c>
      <c r="O401" s="9">
        <f t="shared" si="146"/>
        <v>9</v>
      </c>
      <c r="P401" s="9">
        <f t="shared" si="139"/>
        <v>15</v>
      </c>
      <c r="Q401" s="10">
        <f t="shared" si="140"/>
        <v>24</v>
      </c>
      <c r="R401" s="7" t="str">
        <f t="shared" si="141"/>
        <v>Clothing</v>
      </c>
      <c r="S401" s="7" t="str">
        <f t="shared" si="142"/>
        <v>Alice</v>
      </c>
      <c r="T401" s="7" t="str">
        <f t="shared" si="143"/>
        <v>20171012</v>
      </c>
      <c r="U401" s="7">
        <f t="shared" si="144"/>
        <v>0</v>
      </c>
      <c r="V401" s="8">
        <f t="shared" si="145"/>
        <v>43020</v>
      </c>
    </row>
    <row r="402" spans="1:22">
      <c r="A402" s="3">
        <f t="shared" si="126"/>
        <v>400</v>
      </c>
      <c r="B402" t="s">
        <v>406</v>
      </c>
      <c r="C402">
        <f t="shared" si="127"/>
        <v>31</v>
      </c>
      <c r="D402" t="str">
        <f t="shared" si="128"/>
        <v xml:space="preserve">///PR:Clothing_SP:David20171019   $0  </v>
      </c>
      <c r="E402">
        <f t="shared" si="129"/>
        <v>32</v>
      </c>
      <c r="F402" t="str">
        <f t="shared" si="130"/>
        <v xml:space="preserve">///PR:Clothing_SP:David20171019   $0  </v>
      </c>
      <c r="G402" t="str">
        <f t="shared" si="131"/>
        <v xml:space="preserve">PR:Clothing_SP:David20171019   $0  </v>
      </c>
      <c r="H402" t="str">
        <f t="shared" si="132"/>
        <v xml:space="preserve">PR:Clothing SP:David20171019   $0  </v>
      </c>
      <c r="I402" t="str">
        <f t="shared" si="133"/>
        <v>PR:Clothing SP:David20171019 $0</v>
      </c>
      <c r="J402">
        <f t="shared" si="134"/>
        <v>31</v>
      </c>
      <c r="K402">
        <f t="shared" si="135"/>
        <v>48</v>
      </c>
      <c r="L402" t="str">
        <f t="shared" si="136"/>
        <v>Clothing SP:David20171019 $0</v>
      </c>
      <c r="M402" t="str">
        <f t="shared" si="137"/>
        <v>Clothing David20171019 $0</v>
      </c>
      <c r="N402" s="1" t="str">
        <f t="shared" si="138"/>
        <v>Clothing David 20171019 $0</v>
      </c>
      <c r="O402" s="9">
        <f t="shared" si="146"/>
        <v>9</v>
      </c>
      <c r="P402" s="9">
        <f t="shared" si="139"/>
        <v>15</v>
      </c>
      <c r="Q402" s="10">
        <f t="shared" si="140"/>
        <v>24</v>
      </c>
      <c r="R402" s="7" t="str">
        <f t="shared" si="141"/>
        <v>Clothing</v>
      </c>
      <c r="S402" s="7" t="str">
        <f t="shared" si="142"/>
        <v>David</v>
      </c>
      <c r="T402" s="7" t="str">
        <f t="shared" si="143"/>
        <v>20171019</v>
      </c>
      <c r="U402" s="7">
        <f t="shared" si="144"/>
        <v>0</v>
      </c>
      <c r="V402" s="8">
        <f t="shared" si="145"/>
        <v>43027</v>
      </c>
    </row>
    <row r="403" spans="1:22">
      <c r="A403" s="3">
        <f t="shared" si="126"/>
        <v>401</v>
      </c>
      <c r="B403" t="s">
        <v>407</v>
      </c>
      <c r="C403">
        <f t="shared" si="127"/>
        <v>28</v>
      </c>
      <c r="D403" t="str">
        <f t="shared" si="128"/>
        <v xml:space="preserve">//PR:Clothing_SP:Carol2017101 $988 </v>
      </c>
      <c r="E403">
        <f t="shared" si="129"/>
        <v>32</v>
      </c>
      <c r="F403" t="str">
        <f t="shared" si="130"/>
        <v xml:space="preserve">//PR:Clothing_SP:Carol2017101 $988 </v>
      </c>
      <c r="G403" t="str">
        <f t="shared" si="131"/>
        <v xml:space="preserve">PR:Clothing_SP:Carol2017101 $988 </v>
      </c>
      <c r="H403" t="str">
        <f t="shared" si="132"/>
        <v xml:space="preserve">PR:Clothing SP:Carol2017101 $988 </v>
      </c>
      <c r="I403" t="str">
        <f t="shared" si="133"/>
        <v>PR:Clothing SP:Carol2017101 $988</v>
      </c>
      <c r="J403">
        <f t="shared" si="134"/>
        <v>32</v>
      </c>
      <c r="K403">
        <f t="shared" si="135"/>
        <v>56</v>
      </c>
      <c r="L403" t="str">
        <f t="shared" si="136"/>
        <v>Clothing SP:Carol2017101 $988</v>
      </c>
      <c r="M403" t="str">
        <f t="shared" si="137"/>
        <v>Clothing Carol2017101 $988</v>
      </c>
      <c r="N403" s="1" t="str">
        <f t="shared" si="138"/>
        <v>Clothing Carol 2017101 $988</v>
      </c>
      <c r="O403" s="9">
        <f t="shared" si="146"/>
        <v>9</v>
      </c>
      <c r="P403" s="9">
        <f t="shared" si="139"/>
        <v>15</v>
      </c>
      <c r="Q403" s="10">
        <f t="shared" si="140"/>
        <v>23</v>
      </c>
      <c r="R403" s="7" t="str">
        <f t="shared" si="141"/>
        <v>Clothing</v>
      </c>
      <c r="S403" s="7" t="str">
        <f t="shared" si="142"/>
        <v>Carol</v>
      </c>
      <c r="T403" s="7" t="str">
        <f t="shared" si="143"/>
        <v>2017101</v>
      </c>
      <c r="U403" s="7">
        <f t="shared" si="144"/>
        <v>988</v>
      </c>
      <c r="V403" s="8">
        <f t="shared" si="145"/>
        <v>43009</v>
      </c>
    </row>
    <row r="404" spans="1:22">
      <c r="A404" s="3">
        <f t="shared" si="126"/>
        <v>402</v>
      </c>
      <c r="B404" t="s">
        <v>408</v>
      </c>
      <c r="C404">
        <f t="shared" si="127"/>
        <v>28</v>
      </c>
      <c r="D404" t="str">
        <f t="shared" si="128"/>
        <v xml:space="preserve">//PR:Music_SP:Barney20171010 $1140   </v>
      </c>
      <c r="E404">
        <f t="shared" si="129"/>
        <v>32</v>
      </c>
      <c r="F404" t="str">
        <f t="shared" si="130"/>
        <v xml:space="preserve">//PR:Music_SP:Barney20171010 $1140   </v>
      </c>
      <c r="G404" t="str">
        <f t="shared" si="131"/>
        <v xml:space="preserve">PR:Music_SP:Barney20171010 $1140   </v>
      </c>
      <c r="H404" t="str">
        <f t="shared" si="132"/>
        <v xml:space="preserve">PR:Music SP:Barney20171010 $1140   </v>
      </c>
      <c r="I404" t="str">
        <f t="shared" si="133"/>
        <v>PR:Music SP:Barney20171010 $1140</v>
      </c>
      <c r="J404">
        <f t="shared" si="134"/>
        <v>32</v>
      </c>
      <c r="K404">
        <f t="shared" si="135"/>
        <v>48</v>
      </c>
      <c r="L404" t="str">
        <f t="shared" si="136"/>
        <v>Music SP:Barney20171010 $1140</v>
      </c>
      <c r="M404" t="str">
        <f t="shared" si="137"/>
        <v>Music Barney20171010 $1140</v>
      </c>
      <c r="N404" s="1" t="str">
        <f t="shared" si="138"/>
        <v>Music Barney 20171010 $1140</v>
      </c>
      <c r="O404" s="9">
        <f t="shared" si="146"/>
        <v>6</v>
      </c>
      <c r="P404" s="9">
        <f t="shared" si="139"/>
        <v>13</v>
      </c>
      <c r="Q404" s="10">
        <f t="shared" si="140"/>
        <v>22</v>
      </c>
      <c r="R404" s="7" t="str">
        <f t="shared" si="141"/>
        <v>Music</v>
      </c>
      <c r="S404" s="7" t="str">
        <f t="shared" si="142"/>
        <v>Barney</v>
      </c>
      <c r="T404" s="7" t="str">
        <f t="shared" si="143"/>
        <v>20171010</v>
      </c>
      <c r="U404" s="7">
        <f t="shared" si="144"/>
        <v>1140</v>
      </c>
      <c r="V404" s="8">
        <f t="shared" si="145"/>
        <v>43018</v>
      </c>
    </row>
    <row r="405" spans="1:22">
      <c r="A405" s="3">
        <f t="shared" si="126"/>
        <v>403</v>
      </c>
      <c r="B405" t="s">
        <v>409</v>
      </c>
      <c r="C405">
        <f t="shared" si="127"/>
        <v>28</v>
      </c>
      <c r="D405" t="str">
        <f t="shared" si="128"/>
        <v xml:space="preserve">////PR:Books__SP:Alice20171019   $0  </v>
      </c>
      <c r="E405">
        <f t="shared" si="129"/>
        <v>32</v>
      </c>
      <c r="F405" t="str">
        <f t="shared" si="130"/>
        <v xml:space="preserve">////PR:Books__SP:Alice20171019   $0  </v>
      </c>
      <c r="G405" t="str">
        <f t="shared" si="131"/>
        <v xml:space="preserve">PR:Books__SP:Alice20171019   $0  </v>
      </c>
      <c r="H405" t="str">
        <f t="shared" si="132"/>
        <v xml:space="preserve">PR:Books  SP:Alice20171019   $0  </v>
      </c>
      <c r="I405" t="str">
        <f t="shared" si="133"/>
        <v>PR:Books SP:Alice20171019 $0</v>
      </c>
      <c r="J405">
        <f t="shared" si="134"/>
        <v>28</v>
      </c>
      <c r="K405">
        <f t="shared" si="135"/>
        <v>48</v>
      </c>
      <c r="L405" t="str">
        <f t="shared" si="136"/>
        <v>Books SP:Alice20171019 $0</v>
      </c>
      <c r="M405" t="str">
        <f t="shared" si="137"/>
        <v>Books Alice20171019 $0</v>
      </c>
      <c r="N405" s="1" t="str">
        <f t="shared" si="138"/>
        <v>Books Alice 20171019 $0</v>
      </c>
      <c r="O405" s="9">
        <f t="shared" si="146"/>
        <v>6</v>
      </c>
      <c r="P405" s="9">
        <f t="shared" si="139"/>
        <v>12</v>
      </c>
      <c r="Q405" s="10">
        <f t="shared" si="140"/>
        <v>21</v>
      </c>
      <c r="R405" s="7" t="str">
        <f t="shared" si="141"/>
        <v>Books</v>
      </c>
      <c r="S405" s="7" t="str">
        <f t="shared" si="142"/>
        <v>Alice</v>
      </c>
      <c r="T405" s="7" t="str">
        <f t="shared" si="143"/>
        <v>20171019</v>
      </c>
      <c r="U405" s="7">
        <f t="shared" si="144"/>
        <v>0</v>
      </c>
      <c r="V405" s="8">
        <f t="shared" si="145"/>
        <v>43027</v>
      </c>
    </row>
    <row r="406" spans="1:22">
      <c r="A406" s="3">
        <f t="shared" si="126"/>
        <v>404</v>
      </c>
      <c r="B406" t="s">
        <v>410</v>
      </c>
      <c r="C406">
        <f t="shared" si="127"/>
        <v>31</v>
      </c>
      <c r="D406" t="str">
        <f t="shared" si="128"/>
        <v xml:space="preserve">/////PR:Music_SP:David20171018   $0 </v>
      </c>
      <c r="E406">
        <f t="shared" si="129"/>
        <v>32</v>
      </c>
      <c r="F406" t="str">
        <f t="shared" si="130"/>
        <v xml:space="preserve">/////PR:Music_SP:David20171018   $0 </v>
      </c>
      <c r="G406" t="str">
        <f t="shared" si="131"/>
        <v xml:space="preserve">PR:Music_SP:David20171018   $0 </v>
      </c>
      <c r="H406" t="str">
        <f t="shared" si="132"/>
        <v xml:space="preserve">PR:Music SP:David20171018   $0 </v>
      </c>
      <c r="I406" t="str">
        <f t="shared" si="133"/>
        <v>PR:Music SP:David20171018 $0</v>
      </c>
      <c r="J406">
        <f t="shared" si="134"/>
        <v>28</v>
      </c>
      <c r="K406">
        <f t="shared" si="135"/>
        <v>48</v>
      </c>
      <c r="L406" t="str">
        <f t="shared" si="136"/>
        <v>Music SP:David20171018 $0</v>
      </c>
      <c r="M406" t="str">
        <f t="shared" si="137"/>
        <v>Music David20171018 $0</v>
      </c>
      <c r="N406" s="1" t="str">
        <f t="shared" si="138"/>
        <v>Music David 20171018 $0</v>
      </c>
      <c r="O406" s="9">
        <f t="shared" si="146"/>
        <v>6</v>
      </c>
      <c r="P406" s="9">
        <f t="shared" si="139"/>
        <v>12</v>
      </c>
      <c r="Q406" s="10">
        <f t="shared" si="140"/>
        <v>21</v>
      </c>
      <c r="R406" s="7" t="str">
        <f t="shared" si="141"/>
        <v>Music</v>
      </c>
      <c r="S406" s="7" t="str">
        <f t="shared" si="142"/>
        <v>David</v>
      </c>
      <c r="T406" s="7" t="str">
        <f t="shared" si="143"/>
        <v>20171018</v>
      </c>
      <c r="U406" s="7">
        <f t="shared" si="144"/>
        <v>0</v>
      </c>
      <c r="V406" s="8">
        <f t="shared" si="145"/>
        <v>43026</v>
      </c>
    </row>
    <row r="407" spans="1:22">
      <c r="A407" s="3">
        <f t="shared" si="126"/>
        <v>405</v>
      </c>
      <c r="B407" t="s">
        <v>411</v>
      </c>
      <c r="C407">
        <f t="shared" si="127"/>
        <v>29</v>
      </c>
      <c r="D407" t="str">
        <f t="shared" si="128"/>
        <v xml:space="preserve">/PR:Books_SP:David20171029  $0     </v>
      </c>
      <c r="E407">
        <f t="shared" si="129"/>
        <v>32</v>
      </c>
      <c r="F407" t="str">
        <f t="shared" si="130"/>
        <v xml:space="preserve">/PR:Books_SP:David20171029  $0     </v>
      </c>
      <c r="G407" t="str">
        <f t="shared" si="131"/>
        <v xml:space="preserve">PR:Books_SP:David20171029  $0     </v>
      </c>
      <c r="H407" t="str">
        <f t="shared" si="132"/>
        <v xml:space="preserve">PR:Books SP:David20171029  $0     </v>
      </c>
      <c r="I407" t="str">
        <f t="shared" si="133"/>
        <v>PR:Books SP:David20171029 $0</v>
      </c>
      <c r="J407">
        <f t="shared" si="134"/>
        <v>28</v>
      </c>
      <c r="K407">
        <f t="shared" si="135"/>
        <v>48</v>
      </c>
      <c r="L407" t="str">
        <f t="shared" si="136"/>
        <v>Books SP:David20171029 $0</v>
      </c>
      <c r="M407" t="str">
        <f t="shared" si="137"/>
        <v>Books David20171029 $0</v>
      </c>
      <c r="N407" s="1" t="str">
        <f t="shared" si="138"/>
        <v>Books David 20171029 $0</v>
      </c>
      <c r="O407" s="9">
        <f t="shared" si="146"/>
        <v>6</v>
      </c>
      <c r="P407" s="9">
        <f t="shared" si="139"/>
        <v>12</v>
      </c>
      <c r="Q407" s="10">
        <f t="shared" si="140"/>
        <v>21</v>
      </c>
      <c r="R407" s="7" t="str">
        <f t="shared" si="141"/>
        <v>Books</v>
      </c>
      <c r="S407" s="7" t="str">
        <f t="shared" si="142"/>
        <v>David</v>
      </c>
      <c r="T407" s="7" t="str">
        <f t="shared" si="143"/>
        <v>20171029</v>
      </c>
      <c r="U407" s="7">
        <f t="shared" si="144"/>
        <v>0</v>
      </c>
      <c r="V407" s="8">
        <f t="shared" si="145"/>
        <v>43037</v>
      </c>
    </row>
    <row r="408" spans="1:22">
      <c r="A408" s="3">
        <f t="shared" si="126"/>
        <v>406</v>
      </c>
      <c r="B408" t="s">
        <v>412</v>
      </c>
      <c r="C408">
        <f t="shared" si="127"/>
        <v>30</v>
      </c>
      <c r="D408" t="str">
        <f t="shared" si="128"/>
        <v xml:space="preserve">//PR:Clothing___SP:Barney20171028    $1976 </v>
      </c>
      <c r="E408">
        <f t="shared" si="129"/>
        <v>32</v>
      </c>
      <c r="F408" t="str">
        <f t="shared" si="130"/>
        <v xml:space="preserve">//PR:Clothing___SP:Barney20171028    $1976 </v>
      </c>
      <c r="G408" t="str">
        <f t="shared" si="131"/>
        <v xml:space="preserve">PR:Clothing___SP:Barney20171028    $1976 </v>
      </c>
      <c r="H408" t="str">
        <f t="shared" si="132"/>
        <v xml:space="preserve">PR:Clothing   SP:Barney20171028    $1976 </v>
      </c>
      <c r="I408" t="str">
        <f t="shared" si="133"/>
        <v>PR:Clothing SP:Barney20171028 $1976</v>
      </c>
      <c r="J408">
        <f t="shared" si="134"/>
        <v>35</v>
      </c>
      <c r="K408">
        <f t="shared" si="135"/>
        <v>54</v>
      </c>
      <c r="L408" t="str">
        <f t="shared" si="136"/>
        <v>Clothing SP:Barney20171028 $1976</v>
      </c>
      <c r="M408" t="str">
        <f t="shared" si="137"/>
        <v>Clothing Barney20171028 $1976</v>
      </c>
      <c r="N408" s="1" t="str">
        <f t="shared" si="138"/>
        <v>Clothing Barney 20171028 $1976</v>
      </c>
      <c r="O408" s="9">
        <f t="shared" si="146"/>
        <v>9</v>
      </c>
      <c r="P408" s="9">
        <f t="shared" si="139"/>
        <v>16</v>
      </c>
      <c r="Q408" s="10">
        <f t="shared" si="140"/>
        <v>25</v>
      </c>
      <c r="R408" s="7" t="str">
        <f t="shared" si="141"/>
        <v>Clothing</v>
      </c>
      <c r="S408" s="7" t="str">
        <f t="shared" si="142"/>
        <v>Barney</v>
      </c>
      <c r="T408" s="7" t="str">
        <f t="shared" si="143"/>
        <v>20171028</v>
      </c>
      <c r="U408" s="7">
        <f t="shared" si="144"/>
        <v>1976</v>
      </c>
      <c r="V408" s="8">
        <f t="shared" si="145"/>
        <v>43036</v>
      </c>
    </row>
    <row r="409" spans="1:22">
      <c r="A409" s="3">
        <f t="shared" si="126"/>
        <v>407</v>
      </c>
      <c r="B409" t="s">
        <v>413</v>
      </c>
      <c r="C409">
        <f t="shared" si="127"/>
        <v>31</v>
      </c>
      <c r="D409" t="str">
        <f t="shared" si="128"/>
        <v xml:space="preserve">/////PR:Clothing_SP:David20171021    $847   </v>
      </c>
      <c r="E409">
        <f t="shared" si="129"/>
        <v>32</v>
      </c>
      <c r="F409" t="str">
        <f t="shared" si="130"/>
        <v xml:space="preserve">/////PR:Clothing_SP:David20171021    $847   </v>
      </c>
      <c r="G409" t="str">
        <f t="shared" si="131"/>
        <v xml:space="preserve">PR:Clothing_SP:David20171021    $847   </v>
      </c>
      <c r="H409" t="str">
        <f t="shared" si="132"/>
        <v xml:space="preserve">PR:Clothing SP:David20171021    $847   </v>
      </c>
      <c r="I409" t="str">
        <f t="shared" si="133"/>
        <v>PR:Clothing SP:David20171021 $847</v>
      </c>
      <c r="J409">
        <f t="shared" si="134"/>
        <v>33</v>
      </c>
      <c r="K409">
        <f t="shared" si="135"/>
        <v>55</v>
      </c>
      <c r="L409" t="str">
        <f t="shared" si="136"/>
        <v>Clothing SP:David20171021 $847</v>
      </c>
      <c r="M409" t="str">
        <f t="shared" si="137"/>
        <v>Clothing David20171021 $847</v>
      </c>
      <c r="N409" s="1" t="str">
        <f t="shared" si="138"/>
        <v>Clothing David 20171021 $847</v>
      </c>
      <c r="O409" s="9">
        <f t="shared" si="146"/>
        <v>9</v>
      </c>
      <c r="P409" s="9">
        <f t="shared" si="139"/>
        <v>15</v>
      </c>
      <c r="Q409" s="10">
        <f t="shared" si="140"/>
        <v>24</v>
      </c>
      <c r="R409" s="7" t="str">
        <f t="shared" si="141"/>
        <v>Clothing</v>
      </c>
      <c r="S409" s="7" t="str">
        <f t="shared" si="142"/>
        <v>David</v>
      </c>
      <c r="T409" s="7" t="str">
        <f t="shared" si="143"/>
        <v>20171021</v>
      </c>
      <c r="U409" s="7">
        <f t="shared" si="144"/>
        <v>847</v>
      </c>
      <c r="V409" s="8">
        <f t="shared" si="145"/>
        <v>43029</v>
      </c>
    </row>
    <row r="410" spans="1:22">
      <c r="A410" s="3">
        <f t="shared" si="126"/>
        <v>408</v>
      </c>
      <c r="B410" t="s">
        <v>414</v>
      </c>
      <c r="C410">
        <f t="shared" si="127"/>
        <v>28</v>
      </c>
      <c r="D410" t="str">
        <f t="shared" si="128"/>
        <v xml:space="preserve">/////PR:Music_____SP:David20171014    $1203     </v>
      </c>
      <c r="E410">
        <f t="shared" si="129"/>
        <v>32</v>
      </c>
      <c r="F410" t="str">
        <f t="shared" si="130"/>
        <v xml:space="preserve">/////PR:Music_____SP:David20171014    $1203     </v>
      </c>
      <c r="G410" t="str">
        <f t="shared" si="131"/>
        <v xml:space="preserve">PR:Music_____SP:David20171014    $1203     </v>
      </c>
      <c r="H410" t="str">
        <f t="shared" si="132"/>
        <v xml:space="preserve">PR:Music     SP:David20171014    $1203     </v>
      </c>
      <c r="I410" t="str">
        <f t="shared" si="133"/>
        <v>PR:Music SP:David20171014 $1203</v>
      </c>
      <c r="J410">
        <f t="shared" si="134"/>
        <v>31</v>
      </c>
      <c r="K410">
        <f t="shared" si="135"/>
        <v>51</v>
      </c>
      <c r="L410" t="str">
        <f t="shared" si="136"/>
        <v>Music SP:David20171014 $1203</v>
      </c>
      <c r="M410" t="str">
        <f t="shared" si="137"/>
        <v>Music David20171014 $1203</v>
      </c>
      <c r="N410" s="1" t="str">
        <f t="shared" si="138"/>
        <v>Music David 20171014 $1203</v>
      </c>
      <c r="O410" s="9">
        <f t="shared" si="146"/>
        <v>6</v>
      </c>
      <c r="P410" s="9">
        <f t="shared" si="139"/>
        <v>12</v>
      </c>
      <c r="Q410" s="10">
        <f t="shared" si="140"/>
        <v>21</v>
      </c>
      <c r="R410" s="7" t="str">
        <f t="shared" si="141"/>
        <v>Music</v>
      </c>
      <c r="S410" s="7" t="str">
        <f t="shared" si="142"/>
        <v>David</v>
      </c>
      <c r="T410" s="7" t="str">
        <f t="shared" si="143"/>
        <v>20171014</v>
      </c>
      <c r="U410" s="7">
        <f t="shared" si="144"/>
        <v>1203</v>
      </c>
      <c r="V410" s="8">
        <f t="shared" si="145"/>
        <v>43022</v>
      </c>
    </row>
    <row r="411" spans="1:22">
      <c r="A411" s="3">
        <f t="shared" si="126"/>
        <v>409</v>
      </c>
      <c r="B411" t="s">
        <v>415</v>
      </c>
      <c r="C411">
        <f t="shared" si="127"/>
        <v>31</v>
      </c>
      <c r="D411" t="str">
        <f t="shared" si="128"/>
        <v xml:space="preserve">/PR:Music_____SP:David20171023     $0    </v>
      </c>
      <c r="E411">
        <f t="shared" si="129"/>
        <v>32</v>
      </c>
      <c r="F411" t="str">
        <f t="shared" si="130"/>
        <v xml:space="preserve">/PR:Music_____SP:David20171023     $0    </v>
      </c>
      <c r="G411" t="str">
        <f t="shared" si="131"/>
        <v xml:space="preserve">PR:Music_____SP:David20171023     $0    </v>
      </c>
      <c r="H411" t="str">
        <f t="shared" si="132"/>
        <v xml:space="preserve">PR:Music     SP:David20171023     $0    </v>
      </c>
      <c r="I411" t="str">
        <f t="shared" si="133"/>
        <v>PR:Music SP:David20171023 $0</v>
      </c>
      <c r="J411">
        <f t="shared" si="134"/>
        <v>28</v>
      </c>
      <c r="K411">
        <f t="shared" si="135"/>
        <v>48</v>
      </c>
      <c r="L411" t="str">
        <f t="shared" si="136"/>
        <v>Music SP:David20171023 $0</v>
      </c>
      <c r="M411" t="str">
        <f t="shared" si="137"/>
        <v>Music David20171023 $0</v>
      </c>
      <c r="N411" s="1" t="str">
        <f t="shared" si="138"/>
        <v>Music David 20171023 $0</v>
      </c>
      <c r="O411" s="9">
        <f t="shared" si="146"/>
        <v>6</v>
      </c>
      <c r="P411" s="9">
        <f t="shared" si="139"/>
        <v>12</v>
      </c>
      <c r="Q411" s="10">
        <f t="shared" si="140"/>
        <v>21</v>
      </c>
      <c r="R411" s="7" t="str">
        <f t="shared" si="141"/>
        <v>Music</v>
      </c>
      <c r="S411" s="7" t="str">
        <f t="shared" si="142"/>
        <v>David</v>
      </c>
      <c r="T411" s="7" t="str">
        <f t="shared" si="143"/>
        <v>20171023</v>
      </c>
      <c r="U411" s="7">
        <f t="shared" si="144"/>
        <v>0</v>
      </c>
      <c r="V411" s="8">
        <f t="shared" si="145"/>
        <v>43031</v>
      </c>
    </row>
    <row r="412" spans="1:22">
      <c r="A412" s="3">
        <f t="shared" si="126"/>
        <v>410</v>
      </c>
      <c r="B412" t="s">
        <v>416</v>
      </c>
      <c r="C412">
        <f t="shared" si="127"/>
        <v>31</v>
      </c>
      <c r="D412" t="str">
        <f t="shared" si="128"/>
        <v xml:space="preserve">/PR:Music_____SP:Alice20171025     $1069 </v>
      </c>
      <c r="E412">
        <f t="shared" si="129"/>
        <v>32</v>
      </c>
      <c r="F412" t="str">
        <f t="shared" si="130"/>
        <v xml:space="preserve">/PR:Music_____SP:Alice20171025     $1069 </v>
      </c>
      <c r="G412" t="str">
        <f t="shared" si="131"/>
        <v xml:space="preserve">PR:Music_____SP:Alice20171025     $1069 </v>
      </c>
      <c r="H412" t="str">
        <f t="shared" si="132"/>
        <v xml:space="preserve">PR:Music     SP:Alice20171025     $1069 </v>
      </c>
      <c r="I412" t="str">
        <f t="shared" si="133"/>
        <v>PR:Music SP:Alice20171025 $1069</v>
      </c>
      <c r="J412">
        <f t="shared" si="134"/>
        <v>31</v>
      </c>
      <c r="K412">
        <f t="shared" si="135"/>
        <v>57</v>
      </c>
      <c r="L412" t="str">
        <f t="shared" si="136"/>
        <v>Music SP:Alice20171025 $1069</v>
      </c>
      <c r="M412" t="str">
        <f t="shared" si="137"/>
        <v>Music Alice20171025 $1069</v>
      </c>
      <c r="N412" s="1" t="str">
        <f t="shared" si="138"/>
        <v>Music Alice 20171025 $1069</v>
      </c>
      <c r="O412" s="9">
        <f t="shared" si="146"/>
        <v>6</v>
      </c>
      <c r="P412" s="9">
        <f t="shared" si="139"/>
        <v>12</v>
      </c>
      <c r="Q412" s="10">
        <f t="shared" si="140"/>
        <v>21</v>
      </c>
      <c r="R412" s="7" t="str">
        <f t="shared" si="141"/>
        <v>Music</v>
      </c>
      <c r="S412" s="7" t="str">
        <f t="shared" si="142"/>
        <v>Alice</v>
      </c>
      <c r="T412" s="7" t="str">
        <f t="shared" si="143"/>
        <v>20171025</v>
      </c>
      <c r="U412" s="7">
        <f t="shared" si="144"/>
        <v>1069</v>
      </c>
      <c r="V412" s="8">
        <f t="shared" si="145"/>
        <v>43033</v>
      </c>
    </row>
    <row r="413" spans="1:22">
      <c r="A413" s="3">
        <f t="shared" si="126"/>
        <v>411</v>
      </c>
      <c r="B413" t="s">
        <v>417</v>
      </c>
      <c r="C413">
        <f t="shared" si="127"/>
        <v>30</v>
      </c>
      <c r="D413" t="str">
        <f t="shared" si="128"/>
        <v xml:space="preserve">/PR:Books_____SP:David20171026    $837  </v>
      </c>
      <c r="E413">
        <f t="shared" si="129"/>
        <v>32</v>
      </c>
      <c r="F413" t="str">
        <f t="shared" si="130"/>
        <v xml:space="preserve">/PR:Books_____SP:David20171026    $837  </v>
      </c>
      <c r="G413" t="str">
        <f t="shared" si="131"/>
        <v xml:space="preserve">PR:Books_____SP:David20171026    $837  </v>
      </c>
      <c r="H413" t="str">
        <f t="shared" si="132"/>
        <v xml:space="preserve">PR:Books     SP:David20171026    $837  </v>
      </c>
      <c r="I413" t="str">
        <f t="shared" si="133"/>
        <v>PR:Books SP:David20171026 $837</v>
      </c>
      <c r="J413">
        <f t="shared" si="134"/>
        <v>30</v>
      </c>
      <c r="K413">
        <f t="shared" si="135"/>
        <v>55</v>
      </c>
      <c r="L413" t="str">
        <f t="shared" si="136"/>
        <v>Books SP:David20171026 $837</v>
      </c>
      <c r="M413" t="str">
        <f t="shared" si="137"/>
        <v>Books David20171026 $837</v>
      </c>
      <c r="N413" s="1" t="str">
        <f t="shared" si="138"/>
        <v>Books David 20171026 $837</v>
      </c>
      <c r="O413" s="9">
        <f t="shared" si="146"/>
        <v>6</v>
      </c>
      <c r="P413" s="9">
        <f t="shared" si="139"/>
        <v>12</v>
      </c>
      <c r="Q413" s="10">
        <f t="shared" si="140"/>
        <v>21</v>
      </c>
      <c r="R413" s="7" t="str">
        <f t="shared" si="141"/>
        <v>Books</v>
      </c>
      <c r="S413" s="7" t="str">
        <f t="shared" si="142"/>
        <v>David</v>
      </c>
      <c r="T413" s="7" t="str">
        <f t="shared" si="143"/>
        <v>20171026</v>
      </c>
      <c r="U413" s="7">
        <f t="shared" si="144"/>
        <v>837</v>
      </c>
      <c r="V413" s="8">
        <f t="shared" si="145"/>
        <v>43034</v>
      </c>
    </row>
    <row r="414" spans="1:22">
      <c r="A414" s="3">
        <f t="shared" si="126"/>
        <v>412</v>
      </c>
      <c r="B414" t="s">
        <v>418</v>
      </c>
      <c r="C414">
        <f t="shared" si="127"/>
        <v>30</v>
      </c>
      <c r="D414" t="str">
        <f t="shared" si="128"/>
        <v xml:space="preserve">//PR:Games___SP:Carol20171027     $2326   </v>
      </c>
      <c r="E414">
        <f t="shared" si="129"/>
        <v>32</v>
      </c>
      <c r="F414" t="str">
        <f t="shared" si="130"/>
        <v xml:space="preserve">//PR:Games___SP:Carol20171027     $2326   </v>
      </c>
      <c r="G414" t="str">
        <f t="shared" si="131"/>
        <v xml:space="preserve">PR:Games___SP:Carol20171027     $2326   </v>
      </c>
      <c r="H414" t="str">
        <f t="shared" si="132"/>
        <v xml:space="preserve">PR:Games   SP:Carol20171027     $2326   </v>
      </c>
      <c r="I414" t="str">
        <f t="shared" si="133"/>
        <v>PR:Games SP:Carol20171027 $2326</v>
      </c>
      <c r="J414">
        <f t="shared" si="134"/>
        <v>31</v>
      </c>
      <c r="K414">
        <f t="shared" si="135"/>
        <v>54</v>
      </c>
      <c r="L414" t="str">
        <f t="shared" si="136"/>
        <v>Games SP:Carol20171027 $2326</v>
      </c>
      <c r="M414" t="str">
        <f t="shared" si="137"/>
        <v>Games Carol20171027 $2326</v>
      </c>
      <c r="N414" s="1" t="str">
        <f t="shared" si="138"/>
        <v>Games Carol 20171027 $2326</v>
      </c>
      <c r="O414" s="9">
        <f t="shared" si="146"/>
        <v>6</v>
      </c>
      <c r="P414" s="9">
        <f t="shared" si="139"/>
        <v>12</v>
      </c>
      <c r="Q414" s="10">
        <f t="shared" si="140"/>
        <v>21</v>
      </c>
      <c r="R414" s="7" t="str">
        <f t="shared" si="141"/>
        <v>Games</v>
      </c>
      <c r="S414" s="7" t="str">
        <f t="shared" si="142"/>
        <v>Carol</v>
      </c>
      <c r="T414" s="7" t="str">
        <f t="shared" si="143"/>
        <v>20171027</v>
      </c>
      <c r="U414" s="7">
        <f t="shared" si="144"/>
        <v>2326</v>
      </c>
      <c r="V414" s="8">
        <f t="shared" si="145"/>
        <v>43035</v>
      </c>
    </row>
    <row r="415" spans="1:22">
      <c r="A415" s="3">
        <f t="shared" si="126"/>
        <v>413</v>
      </c>
      <c r="B415" t="s">
        <v>419</v>
      </c>
      <c r="C415">
        <f t="shared" si="127"/>
        <v>28</v>
      </c>
      <c r="D415" t="str">
        <f t="shared" si="128"/>
        <v xml:space="preserve">////PR:Music__SP:Carol20171027   $1060   </v>
      </c>
      <c r="E415">
        <f t="shared" si="129"/>
        <v>32</v>
      </c>
      <c r="F415" t="str">
        <f t="shared" si="130"/>
        <v xml:space="preserve">////PR:Music__SP:Carol20171027   $1060   </v>
      </c>
      <c r="G415" t="str">
        <f t="shared" si="131"/>
        <v xml:space="preserve">PR:Music__SP:Carol20171027   $1060   </v>
      </c>
      <c r="H415" t="str">
        <f t="shared" si="132"/>
        <v xml:space="preserve">PR:Music  SP:Carol20171027   $1060   </v>
      </c>
      <c r="I415" t="str">
        <f t="shared" si="133"/>
        <v>PR:Music SP:Carol20171027 $1060</v>
      </c>
      <c r="J415">
        <f t="shared" si="134"/>
        <v>31</v>
      </c>
      <c r="K415">
        <f t="shared" si="135"/>
        <v>48</v>
      </c>
      <c r="L415" t="str">
        <f t="shared" si="136"/>
        <v>Music SP:Carol20171027 $1060</v>
      </c>
      <c r="M415" t="str">
        <f t="shared" si="137"/>
        <v>Music Carol20171027 $1060</v>
      </c>
      <c r="N415" s="1" t="str">
        <f t="shared" si="138"/>
        <v>Music Carol 20171027 $1060</v>
      </c>
      <c r="O415" s="9">
        <f t="shared" si="146"/>
        <v>6</v>
      </c>
      <c r="P415" s="9">
        <f t="shared" si="139"/>
        <v>12</v>
      </c>
      <c r="Q415" s="10">
        <f t="shared" si="140"/>
        <v>21</v>
      </c>
      <c r="R415" s="7" t="str">
        <f t="shared" si="141"/>
        <v>Music</v>
      </c>
      <c r="S415" s="7" t="str">
        <f t="shared" si="142"/>
        <v>Carol</v>
      </c>
      <c r="T415" s="7" t="str">
        <f t="shared" si="143"/>
        <v>20171027</v>
      </c>
      <c r="U415" s="7">
        <f t="shared" si="144"/>
        <v>1060</v>
      </c>
      <c r="V415" s="8">
        <f t="shared" si="145"/>
        <v>43035</v>
      </c>
    </row>
    <row r="416" spans="1:22">
      <c r="A416" s="3">
        <f t="shared" si="126"/>
        <v>414</v>
      </c>
      <c r="B416" t="s">
        <v>420</v>
      </c>
      <c r="C416">
        <f t="shared" si="127"/>
        <v>31</v>
      </c>
      <c r="D416" t="str">
        <f t="shared" si="128"/>
        <v xml:space="preserve">/PR:Books_SP:David2017105 $540 </v>
      </c>
      <c r="E416">
        <f t="shared" si="129"/>
        <v>32</v>
      </c>
      <c r="F416" t="str">
        <f t="shared" si="130"/>
        <v xml:space="preserve">/PR:Books_SP:David2017105 $540 </v>
      </c>
      <c r="G416" t="str">
        <f t="shared" si="131"/>
        <v xml:space="preserve">PR:Books_SP:David2017105 $540 </v>
      </c>
      <c r="H416" t="str">
        <f t="shared" si="132"/>
        <v xml:space="preserve">PR:Books SP:David2017105 $540 </v>
      </c>
      <c r="I416" t="str">
        <f t="shared" si="133"/>
        <v>PR:Books SP:David2017105 $540</v>
      </c>
      <c r="J416">
        <f t="shared" si="134"/>
        <v>29</v>
      </c>
      <c r="K416">
        <f t="shared" si="135"/>
        <v>48</v>
      </c>
      <c r="L416" t="str">
        <f t="shared" si="136"/>
        <v>Books SP:David2017105 $540</v>
      </c>
      <c r="M416" t="str">
        <f t="shared" si="137"/>
        <v>Books David2017105 $540</v>
      </c>
      <c r="N416" s="1" t="str">
        <f t="shared" si="138"/>
        <v>Books David 2017105 $540</v>
      </c>
      <c r="O416" s="9">
        <f t="shared" si="146"/>
        <v>6</v>
      </c>
      <c r="P416" s="9">
        <f t="shared" si="139"/>
        <v>12</v>
      </c>
      <c r="Q416" s="10">
        <f t="shared" si="140"/>
        <v>20</v>
      </c>
      <c r="R416" s="7" t="str">
        <f t="shared" si="141"/>
        <v>Books</v>
      </c>
      <c r="S416" s="7" t="str">
        <f t="shared" si="142"/>
        <v>David</v>
      </c>
      <c r="T416" s="7" t="str">
        <f t="shared" si="143"/>
        <v>2017105</v>
      </c>
      <c r="U416" s="7">
        <f t="shared" si="144"/>
        <v>540</v>
      </c>
      <c r="V416" s="8">
        <f t="shared" si="145"/>
        <v>43013</v>
      </c>
    </row>
    <row r="417" spans="1:22">
      <c r="A417" s="3">
        <f t="shared" si="126"/>
        <v>415</v>
      </c>
      <c r="B417" t="s">
        <v>421</v>
      </c>
      <c r="C417">
        <f t="shared" si="127"/>
        <v>31</v>
      </c>
      <c r="D417" t="str">
        <f t="shared" si="128"/>
        <v xml:space="preserve">/////PR:Music_SP:Barney2017106   $973     </v>
      </c>
      <c r="E417">
        <f t="shared" si="129"/>
        <v>32</v>
      </c>
      <c r="F417" t="str">
        <f t="shared" si="130"/>
        <v xml:space="preserve">/////PR:Music_SP:Barney2017106   $973     </v>
      </c>
      <c r="G417" t="str">
        <f t="shared" si="131"/>
        <v xml:space="preserve">PR:Music_SP:Barney2017106   $973     </v>
      </c>
      <c r="H417" t="str">
        <f t="shared" si="132"/>
        <v xml:space="preserve">PR:Music SP:Barney2017106   $973     </v>
      </c>
      <c r="I417" t="str">
        <f t="shared" si="133"/>
        <v>PR:Music SP:Barney2017106 $973</v>
      </c>
      <c r="J417">
        <f t="shared" si="134"/>
        <v>30</v>
      </c>
      <c r="K417">
        <f t="shared" si="135"/>
        <v>51</v>
      </c>
      <c r="L417" t="str">
        <f t="shared" si="136"/>
        <v>Music SP:Barney2017106 $973</v>
      </c>
      <c r="M417" t="str">
        <f t="shared" si="137"/>
        <v>Music Barney2017106 $973</v>
      </c>
      <c r="N417" s="1" t="str">
        <f t="shared" si="138"/>
        <v>Music Barney 2017106 $973</v>
      </c>
      <c r="O417" s="9">
        <f t="shared" si="146"/>
        <v>6</v>
      </c>
      <c r="P417" s="9">
        <f t="shared" si="139"/>
        <v>13</v>
      </c>
      <c r="Q417" s="10">
        <f t="shared" si="140"/>
        <v>21</v>
      </c>
      <c r="R417" s="7" t="str">
        <f t="shared" si="141"/>
        <v>Music</v>
      </c>
      <c r="S417" s="7" t="str">
        <f t="shared" si="142"/>
        <v>Barney</v>
      </c>
      <c r="T417" s="7" t="str">
        <f t="shared" si="143"/>
        <v>2017106</v>
      </c>
      <c r="U417" s="7">
        <f t="shared" si="144"/>
        <v>973</v>
      </c>
      <c r="V417" s="8">
        <f t="shared" si="145"/>
        <v>43014</v>
      </c>
    </row>
    <row r="418" spans="1:22">
      <c r="A418" s="3">
        <f t="shared" si="126"/>
        <v>416</v>
      </c>
      <c r="B418" t="s">
        <v>422</v>
      </c>
      <c r="C418">
        <f t="shared" si="127"/>
        <v>30</v>
      </c>
      <c r="D418" t="str">
        <f t="shared" si="128"/>
        <v xml:space="preserve">////PR:Games__SP:Alice20171018 $2109   </v>
      </c>
      <c r="E418">
        <f t="shared" si="129"/>
        <v>32</v>
      </c>
      <c r="F418" t="str">
        <f t="shared" si="130"/>
        <v xml:space="preserve">////PR:Games__SP:Alice20171018 $2109   </v>
      </c>
      <c r="G418" t="str">
        <f t="shared" si="131"/>
        <v xml:space="preserve">PR:Games__SP:Alice20171018 $2109   </v>
      </c>
      <c r="H418" t="str">
        <f t="shared" si="132"/>
        <v xml:space="preserve">PR:Games  SP:Alice20171018 $2109   </v>
      </c>
      <c r="I418" t="str">
        <f t="shared" si="133"/>
        <v>PR:Games SP:Alice20171018 $2109</v>
      </c>
      <c r="J418">
        <f t="shared" si="134"/>
        <v>31</v>
      </c>
      <c r="K418">
        <f t="shared" si="135"/>
        <v>57</v>
      </c>
      <c r="L418" t="str">
        <f t="shared" si="136"/>
        <v>Games SP:Alice20171018 $2109</v>
      </c>
      <c r="M418" t="str">
        <f t="shared" si="137"/>
        <v>Games Alice20171018 $2109</v>
      </c>
      <c r="N418" s="1" t="str">
        <f t="shared" si="138"/>
        <v>Games Alice 20171018 $2109</v>
      </c>
      <c r="O418" s="9">
        <f t="shared" si="146"/>
        <v>6</v>
      </c>
      <c r="P418" s="9">
        <f t="shared" si="139"/>
        <v>12</v>
      </c>
      <c r="Q418" s="10">
        <f t="shared" si="140"/>
        <v>21</v>
      </c>
      <c r="R418" s="7" t="str">
        <f t="shared" si="141"/>
        <v>Games</v>
      </c>
      <c r="S418" s="7" t="str">
        <f t="shared" si="142"/>
        <v>Alice</v>
      </c>
      <c r="T418" s="7" t="str">
        <f t="shared" si="143"/>
        <v>20171018</v>
      </c>
      <c r="U418" s="7">
        <f t="shared" si="144"/>
        <v>2109</v>
      </c>
      <c r="V418" s="8">
        <f t="shared" si="145"/>
        <v>43026</v>
      </c>
    </row>
    <row r="419" spans="1:22">
      <c r="A419" s="3">
        <f t="shared" si="126"/>
        <v>417</v>
      </c>
      <c r="B419" t="s">
        <v>423</v>
      </c>
      <c r="C419">
        <f t="shared" si="127"/>
        <v>30</v>
      </c>
      <c r="D419" t="str">
        <f t="shared" si="128"/>
        <v xml:space="preserve">////PR:Books__SP:Carol20171016 $618     </v>
      </c>
      <c r="E419">
        <f t="shared" si="129"/>
        <v>32</v>
      </c>
      <c r="F419" t="str">
        <f t="shared" si="130"/>
        <v xml:space="preserve">////PR:Books__SP:Carol20171016 $618     </v>
      </c>
      <c r="G419" t="str">
        <f t="shared" si="131"/>
        <v xml:space="preserve">PR:Books__SP:Carol20171016 $618     </v>
      </c>
      <c r="H419" t="str">
        <f t="shared" si="132"/>
        <v xml:space="preserve">PR:Books  SP:Carol20171016 $618     </v>
      </c>
      <c r="I419" t="str">
        <f t="shared" si="133"/>
        <v>PR:Books SP:Carol20171016 $618</v>
      </c>
      <c r="J419">
        <f t="shared" si="134"/>
        <v>30</v>
      </c>
      <c r="K419">
        <f t="shared" si="135"/>
        <v>56</v>
      </c>
      <c r="L419" t="str">
        <f t="shared" si="136"/>
        <v>Books SP:Carol20171016 $618</v>
      </c>
      <c r="M419" t="str">
        <f t="shared" si="137"/>
        <v>Books Carol20171016 $618</v>
      </c>
      <c r="N419" s="1" t="str">
        <f t="shared" si="138"/>
        <v>Books Carol 20171016 $618</v>
      </c>
      <c r="O419" s="9">
        <f t="shared" si="146"/>
        <v>6</v>
      </c>
      <c r="P419" s="9">
        <f t="shared" si="139"/>
        <v>12</v>
      </c>
      <c r="Q419" s="10">
        <f t="shared" si="140"/>
        <v>21</v>
      </c>
      <c r="R419" s="7" t="str">
        <f t="shared" si="141"/>
        <v>Books</v>
      </c>
      <c r="S419" s="7" t="str">
        <f t="shared" si="142"/>
        <v>Carol</v>
      </c>
      <c r="T419" s="7" t="str">
        <f t="shared" si="143"/>
        <v>20171016</v>
      </c>
      <c r="U419" s="7">
        <f t="shared" si="144"/>
        <v>618</v>
      </c>
      <c r="V419" s="8">
        <f t="shared" si="145"/>
        <v>43024</v>
      </c>
    </row>
    <row r="420" spans="1:22">
      <c r="A420" s="3">
        <f t="shared" si="126"/>
        <v>418</v>
      </c>
      <c r="B420" t="s">
        <v>424</v>
      </c>
      <c r="C420">
        <f t="shared" si="127"/>
        <v>29</v>
      </c>
      <c r="D420" t="str">
        <f t="shared" si="128"/>
        <v xml:space="preserve">/////PR:Clothing_SP:Carol20171016   $1602    </v>
      </c>
      <c r="E420">
        <f t="shared" si="129"/>
        <v>32</v>
      </c>
      <c r="F420" t="str">
        <f t="shared" si="130"/>
        <v xml:space="preserve">/////PR:Clothing_SP:Carol20171016   $1602    </v>
      </c>
      <c r="G420" t="str">
        <f t="shared" si="131"/>
        <v xml:space="preserve">PR:Clothing_SP:Carol20171016   $1602    </v>
      </c>
      <c r="H420" t="str">
        <f t="shared" si="132"/>
        <v xml:space="preserve">PR:Clothing SP:Carol20171016   $1602    </v>
      </c>
      <c r="I420" t="str">
        <f t="shared" si="133"/>
        <v>PR:Clothing SP:Carol20171016 $1602</v>
      </c>
      <c r="J420">
        <f t="shared" si="134"/>
        <v>34</v>
      </c>
      <c r="K420">
        <f t="shared" si="135"/>
        <v>50</v>
      </c>
      <c r="L420" t="str">
        <f t="shared" si="136"/>
        <v>Clothing SP:Carol20171016 $1602</v>
      </c>
      <c r="M420" t="str">
        <f t="shared" si="137"/>
        <v>Clothing Carol20171016 $1602</v>
      </c>
      <c r="N420" s="1" t="str">
        <f t="shared" si="138"/>
        <v>Clothing Carol 20171016 $1602</v>
      </c>
      <c r="O420" s="9">
        <f t="shared" si="146"/>
        <v>9</v>
      </c>
      <c r="P420" s="9">
        <f t="shared" si="139"/>
        <v>15</v>
      </c>
      <c r="Q420" s="10">
        <f t="shared" si="140"/>
        <v>24</v>
      </c>
      <c r="R420" s="7" t="str">
        <f t="shared" si="141"/>
        <v>Clothing</v>
      </c>
      <c r="S420" s="7" t="str">
        <f t="shared" si="142"/>
        <v>Carol</v>
      </c>
      <c r="T420" s="7" t="str">
        <f t="shared" si="143"/>
        <v>20171016</v>
      </c>
      <c r="U420" s="7">
        <f t="shared" si="144"/>
        <v>1602</v>
      </c>
      <c r="V420" s="8">
        <f t="shared" si="145"/>
        <v>43024</v>
      </c>
    </row>
    <row r="421" spans="1:22">
      <c r="A421" s="3">
        <f t="shared" si="126"/>
        <v>419</v>
      </c>
      <c r="B421" t="s">
        <v>425</v>
      </c>
      <c r="C421">
        <f t="shared" si="127"/>
        <v>30</v>
      </c>
      <c r="D421" t="str">
        <f t="shared" si="128"/>
        <v xml:space="preserve">/////PR:Games__SP:Carol20171031   $0   </v>
      </c>
      <c r="E421">
        <f t="shared" si="129"/>
        <v>32</v>
      </c>
      <c r="F421" t="str">
        <f t="shared" si="130"/>
        <v xml:space="preserve">/////PR:Games__SP:Carol20171031   $0   </v>
      </c>
      <c r="G421" t="str">
        <f t="shared" si="131"/>
        <v xml:space="preserve">PR:Games__SP:Carol20171031   $0   </v>
      </c>
      <c r="H421" t="str">
        <f t="shared" si="132"/>
        <v xml:space="preserve">PR:Games  SP:Carol20171031   $0   </v>
      </c>
      <c r="I421" t="str">
        <f t="shared" si="133"/>
        <v>PR:Games SP:Carol20171031 $0</v>
      </c>
      <c r="J421">
        <f t="shared" si="134"/>
        <v>28</v>
      </c>
      <c r="K421">
        <f t="shared" si="135"/>
        <v>48</v>
      </c>
      <c r="L421" t="str">
        <f t="shared" si="136"/>
        <v>Games SP:Carol20171031 $0</v>
      </c>
      <c r="M421" t="str">
        <f t="shared" si="137"/>
        <v>Games Carol20171031 $0</v>
      </c>
      <c r="N421" s="1" t="str">
        <f t="shared" si="138"/>
        <v>Games Carol 20171031 $0</v>
      </c>
      <c r="O421" s="9">
        <f t="shared" si="146"/>
        <v>6</v>
      </c>
      <c r="P421" s="9">
        <f t="shared" si="139"/>
        <v>12</v>
      </c>
      <c r="Q421" s="10">
        <f t="shared" si="140"/>
        <v>21</v>
      </c>
      <c r="R421" s="7" t="str">
        <f t="shared" si="141"/>
        <v>Games</v>
      </c>
      <c r="S421" s="7" t="str">
        <f t="shared" si="142"/>
        <v>Carol</v>
      </c>
      <c r="T421" s="7" t="str">
        <f t="shared" si="143"/>
        <v>20171031</v>
      </c>
      <c r="U421" s="7">
        <f t="shared" si="144"/>
        <v>0</v>
      </c>
      <c r="V421" s="8">
        <f t="shared" si="145"/>
        <v>43039</v>
      </c>
    </row>
    <row r="422" spans="1:22">
      <c r="A422" s="3">
        <f t="shared" si="126"/>
        <v>420</v>
      </c>
      <c r="B422" t="s">
        <v>426</v>
      </c>
      <c r="C422">
        <f t="shared" si="127"/>
        <v>30</v>
      </c>
      <c r="D422" t="str">
        <f t="shared" si="128"/>
        <v xml:space="preserve">//PR:Games__SP:Carol2017104     $0 </v>
      </c>
      <c r="E422">
        <f t="shared" si="129"/>
        <v>32</v>
      </c>
      <c r="F422" t="str">
        <f t="shared" si="130"/>
        <v xml:space="preserve">//PR:Games__SP:Carol2017104     $0 </v>
      </c>
      <c r="G422" t="str">
        <f t="shared" si="131"/>
        <v xml:space="preserve">PR:Games__SP:Carol2017104     $0 </v>
      </c>
      <c r="H422" t="str">
        <f t="shared" si="132"/>
        <v xml:space="preserve">PR:Games  SP:Carol2017104     $0 </v>
      </c>
      <c r="I422" t="str">
        <f t="shared" si="133"/>
        <v>PR:Games SP:Carol2017104 $0</v>
      </c>
      <c r="J422">
        <f t="shared" si="134"/>
        <v>27</v>
      </c>
      <c r="K422">
        <f t="shared" si="135"/>
        <v>48</v>
      </c>
      <c r="L422" t="str">
        <f t="shared" si="136"/>
        <v>Games SP:Carol2017104 $0</v>
      </c>
      <c r="M422" t="str">
        <f t="shared" si="137"/>
        <v>Games Carol2017104 $0</v>
      </c>
      <c r="N422" s="1" t="str">
        <f t="shared" si="138"/>
        <v>Games Carol 2017104 $0</v>
      </c>
      <c r="O422" s="9">
        <f t="shared" si="146"/>
        <v>6</v>
      </c>
      <c r="P422" s="9">
        <f t="shared" si="139"/>
        <v>12</v>
      </c>
      <c r="Q422" s="10">
        <f t="shared" si="140"/>
        <v>20</v>
      </c>
      <c r="R422" s="7" t="str">
        <f t="shared" si="141"/>
        <v>Games</v>
      </c>
      <c r="S422" s="7" t="str">
        <f t="shared" si="142"/>
        <v>Carol</v>
      </c>
      <c r="T422" s="7" t="str">
        <f t="shared" si="143"/>
        <v>2017104</v>
      </c>
      <c r="U422" s="7">
        <f t="shared" si="144"/>
        <v>0</v>
      </c>
      <c r="V422" s="8">
        <f t="shared" si="145"/>
        <v>43012</v>
      </c>
    </row>
    <row r="423" spans="1:22">
      <c r="A423" s="3">
        <f t="shared" si="126"/>
        <v>421</v>
      </c>
      <c r="B423" t="s">
        <v>427</v>
      </c>
      <c r="C423">
        <f t="shared" si="127"/>
        <v>29</v>
      </c>
      <c r="D423" t="str">
        <f t="shared" si="128"/>
        <v xml:space="preserve">/PR:Games_____SP:Carol20171013  $1546    </v>
      </c>
      <c r="E423">
        <f t="shared" si="129"/>
        <v>32</v>
      </c>
      <c r="F423" t="str">
        <f t="shared" si="130"/>
        <v xml:space="preserve">/PR:Games_____SP:Carol20171013  $1546    </v>
      </c>
      <c r="G423" t="str">
        <f t="shared" si="131"/>
        <v xml:space="preserve">PR:Games_____SP:Carol20171013  $1546    </v>
      </c>
      <c r="H423" t="str">
        <f t="shared" si="132"/>
        <v xml:space="preserve">PR:Games     SP:Carol20171013  $1546    </v>
      </c>
      <c r="I423" t="str">
        <f t="shared" si="133"/>
        <v>PR:Games SP:Carol20171013 $1546</v>
      </c>
      <c r="J423">
        <f t="shared" si="134"/>
        <v>31</v>
      </c>
      <c r="K423">
        <f t="shared" si="135"/>
        <v>54</v>
      </c>
      <c r="L423" t="str">
        <f t="shared" si="136"/>
        <v>Games SP:Carol20171013 $1546</v>
      </c>
      <c r="M423" t="str">
        <f t="shared" si="137"/>
        <v>Games Carol20171013 $1546</v>
      </c>
      <c r="N423" s="1" t="str">
        <f t="shared" si="138"/>
        <v>Games Carol 20171013 $1546</v>
      </c>
      <c r="O423" s="9">
        <f t="shared" si="146"/>
        <v>6</v>
      </c>
      <c r="P423" s="9">
        <f t="shared" si="139"/>
        <v>12</v>
      </c>
      <c r="Q423" s="10">
        <f t="shared" si="140"/>
        <v>21</v>
      </c>
      <c r="R423" s="7" t="str">
        <f t="shared" si="141"/>
        <v>Games</v>
      </c>
      <c r="S423" s="7" t="str">
        <f t="shared" si="142"/>
        <v>Carol</v>
      </c>
      <c r="T423" s="7" t="str">
        <f t="shared" si="143"/>
        <v>20171013</v>
      </c>
      <c r="U423" s="7">
        <f t="shared" si="144"/>
        <v>1546</v>
      </c>
      <c r="V423" s="8">
        <f t="shared" si="145"/>
        <v>43021</v>
      </c>
    </row>
    <row r="424" spans="1:22">
      <c r="A424" s="3">
        <f t="shared" si="126"/>
        <v>422</v>
      </c>
      <c r="B424" t="s">
        <v>428</v>
      </c>
      <c r="C424">
        <f t="shared" si="127"/>
        <v>28</v>
      </c>
      <c r="D424" t="str">
        <f t="shared" si="128"/>
        <v xml:space="preserve">///PR:Games_____SP:Carol2017108  $2008  </v>
      </c>
      <c r="E424">
        <f t="shared" si="129"/>
        <v>32</v>
      </c>
      <c r="F424" t="str">
        <f t="shared" si="130"/>
        <v xml:space="preserve">///PR:Games_____SP:Carol2017108  $2008  </v>
      </c>
      <c r="G424" t="str">
        <f t="shared" si="131"/>
        <v xml:space="preserve">PR:Games_____SP:Carol2017108  $2008  </v>
      </c>
      <c r="H424" t="str">
        <f t="shared" si="132"/>
        <v xml:space="preserve">PR:Games     SP:Carol2017108  $2008  </v>
      </c>
      <c r="I424" t="str">
        <f t="shared" si="133"/>
        <v>PR:Games SP:Carol2017108 $2008</v>
      </c>
      <c r="J424">
        <f t="shared" si="134"/>
        <v>30</v>
      </c>
      <c r="K424">
        <f t="shared" si="135"/>
        <v>56</v>
      </c>
      <c r="L424" t="str">
        <f t="shared" si="136"/>
        <v>Games SP:Carol2017108 $2008</v>
      </c>
      <c r="M424" t="str">
        <f t="shared" si="137"/>
        <v>Games Carol2017108 $2008</v>
      </c>
      <c r="N424" s="1" t="str">
        <f t="shared" si="138"/>
        <v>Games Carol 2017108 $2008</v>
      </c>
      <c r="O424" s="9">
        <f t="shared" si="146"/>
        <v>6</v>
      </c>
      <c r="P424" s="9">
        <f t="shared" si="139"/>
        <v>12</v>
      </c>
      <c r="Q424" s="10">
        <f t="shared" si="140"/>
        <v>20</v>
      </c>
      <c r="R424" s="7" t="str">
        <f t="shared" si="141"/>
        <v>Games</v>
      </c>
      <c r="S424" s="7" t="str">
        <f t="shared" si="142"/>
        <v>Carol</v>
      </c>
      <c r="T424" s="7" t="str">
        <f t="shared" si="143"/>
        <v>2017108</v>
      </c>
      <c r="U424" s="7">
        <f t="shared" si="144"/>
        <v>2008</v>
      </c>
      <c r="V424" s="8">
        <f t="shared" si="145"/>
        <v>43016</v>
      </c>
    </row>
    <row r="425" spans="1:22">
      <c r="A425" s="3">
        <f t="shared" si="126"/>
        <v>423</v>
      </c>
      <c r="B425" t="s">
        <v>429</v>
      </c>
      <c r="C425">
        <f t="shared" si="127"/>
        <v>30</v>
      </c>
      <c r="D425" t="str">
        <f t="shared" si="128"/>
        <v xml:space="preserve">////PR:Games_SP:Alice2017101 $2292  </v>
      </c>
      <c r="E425">
        <f t="shared" si="129"/>
        <v>32</v>
      </c>
      <c r="F425" t="str">
        <f t="shared" si="130"/>
        <v xml:space="preserve">////PR:Games_SP:Alice2017101 $2292  </v>
      </c>
      <c r="G425" t="str">
        <f t="shared" si="131"/>
        <v xml:space="preserve">PR:Games_SP:Alice2017101 $2292  </v>
      </c>
      <c r="H425" t="str">
        <f t="shared" si="132"/>
        <v xml:space="preserve">PR:Games SP:Alice2017101 $2292  </v>
      </c>
      <c r="I425" t="str">
        <f t="shared" si="133"/>
        <v>PR:Games SP:Alice2017101 $2292</v>
      </c>
      <c r="J425">
        <f t="shared" si="134"/>
        <v>30</v>
      </c>
      <c r="K425">
        <f t="shared" si="135"/>
        <v>50</v>
      </c>
      <c r="L425" t="str">
        <f t="shared" si="136"/>
        <v>Games SP:Alice2017101 $2292</v>
      </c>
      <c r="M425" t="str">
        <f t="shared" si="137"/>
        <v>Games Alice2017101 $2292</v>
      </c>
      <c r="N425" s="1" t="str">
        <f t="shared" si="138"/>
        <v>Games Alice 2017101 $2292</v>
      </c>
      <c r="O425" s="9">
        <f t="shared" si="146"/>
        <v>6</v>
      </c>
      <c r="P425" s="9">
        <f t="shared" si="139"/>
        <v>12</v>
      </c>
      <c r="Q425" s="10">
        <f t="shared" si="140"/>
        <v>20</v>
      </c>
      <c r="R425" s="7" t="str">
        <f t="shared" si="141"/>
        <v>Games</v>
      </c>
      <c r="S425" s="7" t="str">
        <f t="shared" si="142"/>
        <v>Alice</v>
      </c>
      <c r="T425" s="7" t="str">
        <f t="shared" si="143"/>
        <v>2017101</v>
      </c>
      <c r="U425" s="7">
        <f t="shared" si="144"/>
        <v>2292</v>
      </c>
      <c r="V425" s="8">
        <f t="shared" si="145"/>
        <v>43009</v>
      </c>
    </row>
    <row r="426" spans="1:22">
      <c r="A426" s="3">
        <f t="shared" si="126"/>
        <v>424</v>
      </c>
      <c r="B426" t="s">
        <v>430</v>
      </c>
      <c r="C426">
        <f t="shared" si="127"/>
        <v>30</v>
      </c>
      <c r="D426" t="str">
        <f t="shared" si="128"/>
        <v xml:space="preserve">/PR:Books_SP:Alice20171015    $952  </v>
      </c>
      <c r="E426">
        <f t="shared" si="129"/>
        <v>32</v>
      </c>
      <c r="F426" t="str">
        <f t="shared" si="130"/>
        <v xml:space="preserve">/PR:Books_SP:Alice20171015    $952  </v>
      </c>
      <c r="G426" t="str">
        <f t="shared" si="131"/>
        <v xml:space="preserve">PR:Books_SP:Alice20171015    $952  </v>
      </c>
      <c r="H426" t="str">
        <f t="shared" si="132"/>
        <v xml:space="preserve">PR:Books SP:Alice20171015    $952  </v>
      </c>
      <c r="I426" t="str">
        <f t="shared" si="133"/>
        <v>PR:Books SP:Alice20171015 $952</v>
      </c>
      <c r="J426">
        <f t="shared" si="134"/>
        <v>30</v>
      </c>
      <c r="K426">
        <f t="shared" si="135"/>
        <v>50</v>
      </c>
      <c r="L426" t="str">
        <f t="shared" si="136"/>
        <v>Books SP:Alice20171015 $952</v>
      </c>
      <c r="M426" t="str">
        <f t="shared" si="137"/>
        <v>Books Alice20171015 $952</v>
      </c>
      <c r="N426" s="1" t="str">
        <f t="shared" si="138"/>
        <v>Books Alice 20171015 $952</v>
      </c>
      <c r="O426" s="9">
        <f t="shared" si="146"/>
        <v>6</v>
      </c>
      <c r="P426" s="9">
        <f t="shared" si="139"/>
        <v>12</v>
      </c>
      <c r="Q426" s="10">
        <f t="shared" si="140"/>
        <v>21</v>
      </c>
      <c r="R426" s="7" t="str">
        <f t="shared" si="141"/>
        <v>Books</v>
      </c>
      <c r="S426" s="7" t="str">
        <f t="shared" si="142"/>
        <v>Alice</v>
      </c>
      <c r="T426" s="7" t="str">
        <f t="shared" si="143"/>
        <v>20171015</v>
      </c>
      <c r="U426" s="7">
        <f t="shared" si="144"/>
        <v>952</v>
      </c>
      <c r="V426" s="8">
        <f t="shared" si="145"/>
        <v>43023</v>
      </c>
    </row>
    <row r="427" spans="1:22">
      <c r="A427" s="3">
        <f t="shared" si="126"/>
        <v>425</v>
      </c>
      <c r="B427" t="s">
        <v>431</v>
      </c>
      <c r="C427">
        <f t="shared" si="127"/>
        <v>29</v>
      </c>
      <c r="D427" t="str">
        <f t="shared" si="128"/>
        <v xml:space="preserve">///PR:Books__SP:Alice2017102 $547   </v>
      </c>
      <c r="E427">
        <f t="shared" si="129"/>
        <v>32</v>
      </c>
      <c r="F427" t="str">
        <f t="shared" si="130"/>
        <v xml:space="preserve">///PR:Books__SP:Alice2017102 $547   </v>
      </c>
      <c r="G427" t="str">
        <f t="shared" si="131"/>
        <v xml:space="preserve">PR:Books__SP:Alice2017102 $547   </v>
      </c>
      <c r="H427" t="str">
        <f t="shared" si="132"/>
        <v xml:space="preserve">PR:Books  SP:Alice2017102 $547   </v>
      </c>
      <c r="I427" t="str">
        <f t="shared" si="133"/>
        <v>PR:Books SP:Alice2017102 $547</v>
      </c>
      <c r="J427">
        <f t="shared" si="134"/>
        <v>29</v>
      </c>
      <c r="K427">
        <f t="shared" si="135"/>
        <v>55</v>
      </c>
      <c r="L427" t="str">
        <f t="shared" si="136"/>
        <v>Books SP:Alice2017102 $547</v>
      </c>
      <c r="M427" t="str">
        <f t="shared" si="137"/>
        <v>Books Alice2017102 $547</v>
      </c>
      <c r="N427" s="1" t="str">
        <f t="shared" si="138"/>
        <v>Books Alice 2017102 $547</v>
      </c>
      <c r="O427" s="9">
        <f t="shared" si="146"/>
        <v>6</v>
      </c>
      <c r="P427" s="9">
        <f t="shared" si="139"/>
        <v>12</v>
      </c>
      <c r="Q427" s="10">
        <f t="shared" si="140"/>
        <v>20</v>
      </c>
      <c r="R427" s="7" t="str">
        <f t="shared" si="141"/>
        <v>Books</v>
      </c>
      <c r="S427" s="7" t="str">
        <f t="shared" si="142"/>
        <v>Alice</v>
      </c>
      <c r="T427" s="7" t="str">
        <f t="shared" si="143"/>
        <v>2017102</v>
      </c>
      <c r="U427" s="7">
        <f t="shared" si="144"/>
        <v>547</v>
      </c>
      <c r="V427" s="8">
        <f t="shared" si="145"/>
        <v>43010</v>
      </c>
    </row>
    <row r="428" spans="1:22">
      <c r="A428" s="3">
        <f t="shared" si="126"/>
        <v>426</v>
      </c>
      <c r="B428" t="s">
        <v>432</v>
      </c>
      <c r="C428">
        <f t="shared" si="127"/>
        <v>31</v>
      </c>
      <c r="D428" t="str">
        <f t="shared" si="128"/>
        <v xml:space="preserve">///PR:Clothing__SP:David2017103 $1671 </v>
      </c>
      <c r="E428">
        <f t="shared" si="129"/>
        <v>32</v>
      </c>
      <c r="F428" t="str">
        <f t="shared" si="130"/>
        <v xml:space="preserve">///PR:Clothing__SP:David2017103 $1671 </v>
      </c>
      <c r="G428" t="str">
        <f t="shared" si="131"/>
        <v xml:space="preserve">PR:Clothing__SP:David2017103 $1671 </v>
      </c>
      <c r="H428" t="str">
        <f t="shared" si="132"/>
        <v xml:space="preserve">PR:Clothing  SP:David2017103 $1671 </v>
      </c>
      <c r="I428" t="str">
        <f t="shared" si="133"/>
        <v>PR:Clothing SP:David2017103 $1671</v>
      </c>
      <c r="J428">
        <f t="shared" si="134"/>
        <v>33</v>
      </c>
      <c r="K428">
        <f t="shared" si="135"/>
        <v>49</v>
      </c>
      <c r="L428" t="str">
        <f t="shared" si="136"/>
        <v>Clothing SP:David2017103 $1671</v>
      </c>
      <c r="M428" t="str">
        <f t="shared" si="137"/>
        <v>Clothing David2017103 $1671</v>
      </c>
      <c r="N428" s="1" t="str">
        <f t="shared" si="138"/>
        <v>Clothing David 2017103 $1671</v>
      </c>
      <c r="O428" s="9">
        <f t="shared" si="146"/>
        <v>9</v>
      </c>
      <c r="P428" s="9">
        <f t="shared" si="139"/>
        <v>15</v>
      </c>
      <c r="Q428" s="10">
        <f t="shared" si="140"/>
        <v>23</v>
      </c>
      <c r="R428" s="7" t="str">
        <f t="shared" si="141"/>
        <v>Clothing</v>
      </c>
      <c r="S428" s="7" t="str">
        <f t="shared" si="142"/>
        <v>David</v>
      </c>
      <c r="T428" s="7" t="str">
        <f t="shared" si="143"/>
        <v>2017103</v>
      </c>
      <c r="U428" s="7">
        <f t="shared" si="144"/>
        <v>1671</v>
      </c>
      <c r="V428" s="8">
        <f t="shared" si="145"/>
        <v>43011</v>
      </c>
    </row>
    <row r="429" spans="1:22">
      <c r="A429" s="3">
        <f t="shared" si="126"/>
        <v>427</v>
      </c>
      <c r="B429" t="s">
        <v>433</v>
      </c>
      <c r="C429">
        <f t="shared" si="127"/>
        <v>28</v>
      </c>
      <c r="D429" t="str">
        <f t="shared" si="128"/>
        <v xml:space="preserve">/////PR:Music__SP:Carol2017102    $1007     </v>
      </c>
      <c r="E429">
        <f t="shared" si="129"/>
        <v>32</v>
      </c>
      <c r="F429" t="str">
        <f t="shared" si="130"/>
        <v xml:space="preserve">/////PR:Music__SP:Carol2017102    $1007     </v>
      </c>
      <c r="G429" t="str">
        <f t="shared" si="131"/>
        <v xml:space="preserve">PR:Music__SP:Carol2017102    $1007     </v>
      </c>
      <c r="H429" t="str">
        <f t="shared" si="132"/>
        <v xml:space="preserve">PR:Music  SP:Carol2017102    $1007     </v>
      </c>
      <c r="I429" t="str">
        <f t="shared" si="133"/>
        <v>PR:Music SP:Carol2017102 $1007</v>
      </c>
      <c r="J429">
        <f t="shared" si="134"/>
        <v>30</v>
      </c>
      <c r="K429">
        <f t="shared" si="135"/>
        <v>55</v>
      </c>
      <c r="L429" t="str">
        <f t="shared" si="136"/>
        <v>Music SP:Carol2017102 $1007</v>
      </c>
      <c r="M429" t="str">
        <f t="shared" si="137"/>
        <v>Music Carol2017102 $1007</v>
      </c>
      <c r="N429" s="1" t="str">
        <f t="shared" si="138"/>
        <v>Music Carol 2017102 $1007</v>
      </c>
      <c r="O429" s="9">
        <f t="shared" si="146"/>
        <v>6</v>
      </c>
      <c r="P429" s="9">
        <f t="shared" si="139"/>
        <v>12</v>
      </c>
      <c r="Q429" s="10">
        <f t="shared" si="140"/>
        <v>20</v>
      </c>
      <c r="R429" s="7" t="str">
        <f t="shared" si="141"/>
        <v>Music</v>
      </c>
      <c r="S429" s="7" t="str">
        <f t="shared" si="142"/>
        <v>Carol</v>
      </c>
      <c r="T429" s="7" t="str">
        <f t="shared" si="143"/>
        <v>2017102</v>
      </c>
      <c r="U429" s="7">
        <f t="shared" si="144"/>
        <v>1007</v>
      </c>
      <c r="V429" s="8">
        <f t="shared" si="145"/>
        <v>43010</v>
      </c>
    </row>
    <row r="430" spans="1:22">
      <c r="A430" s="3">
        <f t="shared" si="126"/>
        <v>428</v>
      </c>
      <c r="B430" t="s">
        <v>434</v>
      </c>
      <c r="C430">
        <f t="shared" si="127"/>
        <v>30</v>
      </c>
      <c r="D430" t="str">
        <f t="shared" si="128"/>
        <v xml:space="preserve">///PR:Music__SP:Barney20171018   $1347  </v>
      </c>
      <c r="E430">
        <f t="shared" si="129"/>
        <v>32</v>
      </c>
      <c r="F430" t="str">
        <f t="shared" si="130"/>
        <v xml:space="preserve">///PR:Music__SP:Barney20171018   $1347  </v>
      </c>
      <c r="G430" t="str">
        <f t="shared" si="131"/>
        <v xml:space="preserve">PR:Music__SP:Barney20171018   $1347  </v>
      </c>
      <c r="H430" t="str">
        <f t="shared" si="132"/>
        <v xml:space="preserve">PR:Music  SP:Barney20171018   $1347  </v>
      </c>
      <c r="I430" t="str">
        <f t="shared" si="133"/>
        <v>PR:Music SP:Barney20171018 $1347</v>
      </c>
      <c r="J430">
        <f t="shared" si="134"/>
        <v>32</v>
      </c>
      <c r="K430">
        <f t="shared" si="135"/>
        <v>55</v>
      </c>
      <c r="L430" t="str">
        <f t="shared" si="136"/>
        <v>Music SP:Barney20171018 $1347</v>
      </c>
      <c r="M430" t="str">
        <f t="shared" si="137"/>
        <v>Music Barney20171018 $1347</v>
      </c>
      <c r="N430" s="1" t="str">
        <f t="shared" si="138"/>
        <v>Music Barney 20171018 $1347</v>
      </c>
      <c r="O430" s="9">
        <f t="shared" si="146"/>
        <v>6</v>
      </c>
      <c r="P430" s="9">
        <f t="shared" si="139"/>
        <v>13</v>
      </c>
      <c r="Q430" s="10">
        <f t="shared" si="140"/>
        <v>22</v>
      </c>
      <c r="R430" s="7" t="str">
        <f t="shared" si="141"/>
        <v>Music</v>
      </c>
      <c r="S430" s="7" t="str">
        <f t="shared" si="142"/>
        <v>Barney</v>
      </c>
      <c r="T430" s="7" t="str">
        <f t="shared" si="143"/>
        <v>20171018</v>
      </c>
      <c r="U430" s="7">
        <f t="shared" si="144"/>
        <v>1347</v>
      </c>
      <c r="V430" s="8">
        <f t="shared" si="145"/>
        <v>43026</v>
      </c>
    </row>
    <row r="431" spans="1:22">
      <c r="A431" s="3">
        <f t="shared" si="126"/>
        <v>429</v>
      </c>
      <c r="B431" t="s">
        <v>435</v>
      </c>
      <c r="C431">
        <f t="shared" si="127"/>
        <v>30</v>
      </c>
      <c r="D431" t="str">
        <f t="shared" si="128"/>
        <v xml:space="preserve">//PR:Clothing_____SP:Carol20171027     $0  </v>
      </c>
      <c r="E431">
        <f t="shared" si="129"/>
        <v>32</v>
      </c>
      <c r="F431" t="str">
        <f t="shared" si="130"/>
        <v xml:space="preserve">//PR:Clothing_____SP:Carol20171027     $0  </v>
      </c>
      <c r="G431" t="str">
        <f t="shared" si="131"/>
        <v xml:space="preserve">PR:Clothing_____SP:Carol20171027     $0  </v>
      </c>
      <c r="H431" t="str">
        <f t="shared" si="132"/>
        <v xml:space="preserve">PR:Clothing     SP:Carol20171027     $0  </v>
      </c>
      <c r="I431" t="str">
        <f t="shared" si="133"/>
        <v>PR:Clothing SP:Carol20171027 $0</v>
      </c>
      <c r="J431">
        <f t="shared" si="134"/>
        <v>31</v>
      </c>
      <c r="K431">
        <f t="shared" si="135"/>
        <v>48</v>
      </c>
      <c r="L431" t="str">
        <f t="shared" si="136"/>
        <v>Clothing SP:Carol20171027 $0</v>
      </c>
      <c r="M431" t="str">
        <f t="shared" si="137"/>
        <v>Clothing Carol20171027 $0</v>
      </c>
      <c r="N431" s="1" t="str">
        <f t="shared" si="138"/>
        <v>Clothing Carol 20171027 $0</v>
      </c>
      <c r="O431" s="9">
        <f t="shared" si="146"/>
        <v>9</v>
      </c>
      <c r="P431" s="9">
        <f t="shared" si="139"/>
        <v>15</v>
      </c>
      <c r="Q431" s="10">
        <f t="shared" si="140"/>
        <v>24</v>
      </c>
      <c r="R431" s="7" t="str">
        <f t="shared" si="141"/>
        <v>Clothing</v>
      </c>
      <c r="S431" s="7" t="str">
        <f t="shared" si="142"/>
        <v>Carol</v>
      </c>
      <c r="T431" s="7" t="str">
        <f t="shared" si="143"/>
        <v>20171027</v>
      </c>
      <c r="U431" s="7">
        <f t="shared" si="144"/>
        <v>0</v>
      </c>
      <c r="V431" s="8">
        <f t="shared" si="145"/>
        <v>43035</v>
      </c>
    </row>
    <row r="432" spans="1:22">
      <c r="A432" s="3">
        <f t="shared" si="126"/>
        <v>430</v>
      </c>
      <c r="B432" t="s">
        <v>436</v>
      </c>
      <c r="C432">
        <f t="shared" si="127"/>
        <v>31</v>
      </c>
      <c r="D432" t="str">
        <f t="shared" si="128"/>
        <v xml:space="preserve">////PR:Music__SP:David2017101     $1396     </v>
      </c>
      <c r="E432">
        <f t="shared" si="129"/>
        <v>32</v>
      </c>
      <c r="F432" t="str">
        <f t="shared" si="130"/>
        <v xml:space="preserve">////PR:Music__SP:David2017101     $1396     </v>
      </c>
      <c r="G432" t="str">
        <f t="shared" si="131"/>
        <v xml:space="preserve">PR:Music__SP:David2017101     $1396     </v>
      </c>
      <c r="H432" t="str">
        <f t="shared" si="132"/>
        <v xml:space="preserve">PR:Music  SP:David2017101     $1396     </v>
      </c>
      <c r="I432" t="str">
        <f t="shared" si="133"/>
        <v>PR:Music SP:David2017101 $1396</v>
      </c>
      <c r="J432">
        <f t="shared" si="134"/>
        <v>30</v>
      </c>
      <c r="K432">
        <f t="shared" si="135"/>
        <v>54</v>
      </c>
      <c r="L432" t="str">
        <f t="shared" si="136"/>
        <v>Music SP:David2017101 $1396</v>
      </c>
      <c r="M432" t="str">
        <f t="shared" si="137"/>
        <v>Music David2017101 $1396</v>
      </c>
      <c r="N432" s="1" t="str">
        <f t="shared" si="138"/>
        <v>Music David 2017101 $1396</v>
      </c>
      <c r="O432" s="9">
        <f t="shared" si="146"/>
        <v>6</v>
      </c>
      <c r="P432" s="9">
        <f t="shared" si="139"/>
        <v>12</v>
      </c>
      <c r="Q432" s="10">
        <f t="shared" si="140"/>
        <v>20</v>
      </c>
      <c r="R432" s="7" t="str">
        <f t="shared" si="141"/>
        <v>Music</v>
      </c>
      <c r="S432" s="7" t="str">
        <f t="shared" si="142"/>
        <v>David</v>
      </c>
      <c r="T432" s="7" t="str">
        <f t="shared" si="143"/>
        <v>2017101</v>
      </c>
      <c r="U432" s="7">
        <f t="shared" si="144"/>
        <v>1396</v>
      </c>
      <c r="V432" s="8">
        <f t="shared" si="145"/>
        <v>43009</v>
      </c>
    </row>
    <row r="433" spans="1:22">
      <c r="A433" s="3">
        <f t="shared" si="126"/>
        <v>431</v>
      </c>
      <c r="B433" t="s">
        <v>437</v>
      </c>
      <c r="C433">
        <f t="shared" si="127"/>
        <v>28</v>
      </c>
      <c r="D433" t="str">
        <f t="shared" si="128"/>
        <v xml:space="preserve">/PR:Music____SP:Alice20171023    $1212 </v>
      </c>
      <c r="E433">
        <f t="shared" si="129"/>
        <v>32</v>
      </c>
      <c r="F433" t="str">
        <f t="shared" si="130"/>
        <v xml:space="preserve">/PR:Music____SP:Alice20171023    $1212 </v>
      </c>
      <c r="G433" t="str">
        <f t="shared" si="131"/>
        <v xml:space="preserve">PR:Music____SP:Alice20171023    $1212 </v>
      </c>
      <c r="H433" t="str">
        <f t="shared" si="132"/>
        <v xml:space="preserve">PR:Music    SP:Alice20171023    $1212 </v>
      </c>
      <c r="I433" t="str">
        <f t="shared" si="133"/>
        <v>PR:Music SP:Alice20171023 $1212</v>
      </c>
      <c r="J433">
        <f t="shared" si="134"/>
        <v>31</v>
      </c>
      <c r="K433">
        <f t="shared" si="135"/>
        <v>50</v>
      </c>
      <c r="L433" t="str">
        <f t="shared" si="136"/>
        <v>Music SP:Alice20171023 $1212</v>
      </c>
      <c r="M433" t="str">
        <f t="shared" si="137"/>
        <v>Music Alice20171023 $1212</v>
      </c>
      <c r="N433" s="1" t="str">
        <f t="shared" si="138"/>
        <v>Music Alice 20171023 $1212</v>
      </c>
      <c r="O433" s="9">
        <f t="shared" si="146"/>
        <v>6</v>
      </c>
      <c r="P433" s="9">
        <f t="shared" si="139"/>
        <v>12</v>
      </c>
      <c r="Q433" s="10">
        <f t="shared" si="140"/>
        <v>21</v>
      </c>
      <c r="R433" s="7" t="str">
        <f t="shared" si="141"/>
        <v>Music</v>
      </c>
      <c r="S433" s="7" t="str">
        <f t="shared" si="142"/>
        <v>Alice</v>
      </c>
      <c r="T433" s="7" t="str">
        <f t="shared" si="143"/>
        <v>20171023</v>
      </c>
      <c r="U433" s="7">
        <f t="shared" si="144"/>
        <v>1212</v>
      </c>
      <c r="V433" s="8">
        <f t="shared" si="145"/>
        <v>43031</v>
      </c>
    </row>
    <row r="434" spans="1:22">
      <c r="A434" s="3">
        <f t="shared" si="126"/>
        <v>432</v>
      </c>
      <c r="B434" t="s">
        <v>438</v>
      </c>
      <c r="C434">
        <f t="shared" si="127"/>
        <v>29</v>
      </c>
      <c r="D434" t="str">
        <f t="shared" si="128"/>
        <v xml:space="preserve">/PR:Books__SP:Alice20171025 $0 </v>
      </c>
      <c r="E434">
        <f t="shared" si="129"/>
        <v>32</v>
      </c>
      <c r="F434" t="str">
        <f t="shared" si="130"/>
        <v xml:space="preserve">/PR:Books__SP:Alice20171025 $0 </v>
      </c>
      <c r="G434" t="str">
        <f t="shared" si="131"/>
        <v xml:space="preserve">PR:Books__SP:Alice20171025 $0 </v>
      </c>
      <c r="H434" t="str">
        <f t="shared" si="132"/>
        <v xml:space="preserve">PR:Books  SP:Alice20171025 $0 </v>
      </c>
      <c r="I434" t="str">
        <f t="shared" si="133"/>
        <v>PR:Books SP:Alice20171025 $0</v>
      </c>
      <c r="J434">
        <f t="shared" si="134"/>
        <v>28</v>
      </c>
      <c r="K434">
        <f t="shared" si="135"/>
        <v>48</v>
      </c>
      <c r="L434" t="str">
        <f t="shared" si="136"/>
        <v>Books SP:Alice20171025 $0</v>
      </c>
      <c r="M434" t="str">
        <f t="shared" si="137"/>
        <v>Books Alice20171025 $0</v>
      </c>
      <c r="N434" s="1" t="str">
        <f t="shared" si="138"/>
        <v>Books Alice 20171025 $0</v>
      </c>
      <c r="O434" s="9">
        <f t="shared" si="146"/>
        <v>6</v>
      </c>
      <c r="P434" s="9">
        <f t="shared" si="139"/>
        <v>12</v>
      </c>
      <c r="Q434" s="10">
        <f t="shared" si="140"/>
        <v>21</v>
      </c>
      <c r="R434" s="7" t="str">
        <f t="shared" si="141"/>
        <v>Books</v>
      </c>
      <c r="S434" s="7" t="str">
        <f t="shared" si="142"/>
        <v>Alice</v>
      </c>
      <c r="T434" s="7" t="str">
        <f t="shared" si="143"/>
        <v>20171025</v>
      </c>
      <c r="U434" s="7">
        <f t="shared" si="144"/>
        <v>0</v>
      </c>
      <c r="V434" s="8">
        <f t="shared" si="145"/>
        <v>43033</v>
      </c>
    </row>
    <row r="435" spans="1:22">
      <c r="A435" s="3">
        <f t="shared" si="126"/>
        <v>433</v>
      </c>
      <c r="B435" t="s">
        <v>439</v>
      </c>
      <c r="C435">
        <f t="shared" si="127"/>
        <v>31</v>
      </c>
      <c r="D435" t="str">
        <f t="shared" si="128"/>
        <v xml:space="preserve">///PR:Books_____SP:Barney20171017 $726     </v>
      </c>
      <c r="E435">
        <f t="shared" si="129"/>
        <v>32</v>
      </c>
      <c r="F435" t="str">
        <f t="shared" si="130"/>
        <v xml:space="preserve">///PR:Books_____SP:Barney20171017 $726     </v>
      </c>
      <c r="G435" t="str">
        <f t="shared" si="131"/>
        <v xml:space="preserve">PR:Books_____SP:Barney20171017 $726     </v>
      </c>
      <c r="H435" t="str">
        <f t="shared" si="132"/>
        <v xml:space="preserve">PR:Books     SP:Barney20171017 $726     </v>
      </c>
      <c r="I435" t="str">
        <f t="shared" si="133"/>
        <v>PR:Books SP:Barney20171017 $726</v>
      </c>
      <c r="J435">
        <f t="shared" si="134"/>
        <v>31</v>
      </c>
      <c r="K435">
        <f t="shared" si="135"/>
        <v>54</v>
      </c>
      <c r="L435" t="str">
        <f t="shared" si="136"/>
        <v>Books SP:Barney20171017 $726</v>
      </c>
      <c r="M435" t="str">
        <f t="shared" si="137"/>
        <v>Books Barney20171017 $726</v>
      </c>
      <c r="N435" s="1" t="str">
        <f t="shared" si="138"/>
        <v>Books Barney 20171017 $726</v>
      </c>
      <c r="O435" s="9">
        <f t="shared" si="146"/>
        <v>6</v>
      </c>
      <c r="P435" s="9">
        <f t="shared" si="139"/>
        <v>13</v>
      </c>
      <c r="Q435" s="10">
        <f t="shared" si="140"/>
        <v>22</v>
      </c>
      <c r="R435" s="7" t="str">
        <f t="shared" si="141"/>
        <v>Books</v>
      </c>
      <c r="S435" s="7" t="str">
        <f t="shared" si="142"/>
        <v>Barney</v>
      </c>
      <c r="T435" s="7" t="str">
        <f t="shared" si="143"/>
        <v>20171017</v>
      </c>
      <c r="U435" s="7">
        <f t="shared" si="144"/>
        <v>726</v>
      </c>
      <c r="V435" s="8">
        <f t="shared" si="145"/>
        <v>43025</v>
      </c>
    </row>
    <row r="436" spans="1:22">
      <c r="A436" s="3">
        <f t="shared" si="126"/>
        <v>434</v>
      </c>
      <c r="B436" t="s">
        <v>440</v>
      </c>
      <c r="C436">
        <f t="shared" si="127"/>
        <v>31</v>
      </c>
      <c r="D436" t="str">
        <f t="shared" si="128"/>
        <v xml:space="preserve">/PR:Games___SP:David20171023    $0  </v>
      </c>
      <c r="E436">
        <f t="shared" si="129"/>
        <v>32</v>
      </c>
      <c r="F436" t="str">
        <f t="shared" si="130"/>
        <v xml:space="preserve">/PR:Games___SP:David20171023    $0  </v>
      </c>
      <c r="G436" t="str">
        <f t="shared" si="131"/>
        <v xml:space="preserve">PR:Games___SP:David20171023    $0  </v>
      </c>
      <c r="H436" t="str">
        <f t="shared" si="132"/>
        <v xml:space="preserve">PR:Games   SP:David20171023    $0  </v>
      </c>
      <c r="I436" t="str">
        <f t="shared" si="133"/>
        <v>PR:Games SP:David20171023 $0</v>
      </c>
      <c r="J436">
        <f t="shared" si="134"/>
        <v>28</v>
      </c>
      <c r="K436">
        <f t="shared" si="135"/>
        <v>48</v>
      </c>
      <c r="L436" t="str">
        <f t="shared" si="136"/>
        <v>Games SP:David20171023 $0</v>
      </c>
      <c r="M436" t="str">
        <f t="shared" si="137"/>
        <v>Games David20171023 $0</v>
      </c>
      <c r="N436" s="1" t="str">
        <f t="shared" si="138"/>
        <v>Games David 20171023 $0</v>
      </c>
      <c r="O436" s="9">
        <f t="shared" si="146"/>
        <v>6</v>
      </c>
      <c r="P436" s="9">
        <f t="shared" si="139"/>
        <v>12</v>
      </c>
      <c r="Q436" s="10">
        <f t="shared" si="140"/>
        <v>21</v>
      </c>
      <c r="R436" s="7" t="str">
        <f t="shared" si="141"/>
        <v>Games</v>
      </c>
      <c r="S436" s="7" t="str">
        <f t="shared" si="142"/>
        <v>David</v>
      </c>
      <c r="T436" s="7" t="str">
        <f t="shared" si="143"/>
        <v>20171023</v>
      </c>
      <c r="U436" s="7">
        <f t="shared" si="144"/>
        <v>0</v>
      </c>
      <c r="V436" s="8">
        <f t="shared" si="145"/>
        <v>43031</v>
      </c>
    </row>
    <row r="437" spans="1:22">
      <c r="A437" s="3">
        <f t="shared" si="126"/>
        <v>435</v>
      </c>
      <c r="B437" t="s">
        <v>441</v>
      </c>
      <c r="C437">
        <f t="shared" si="127"/>
        <v>28</v>
      </c>
      <c r="D437" t="str">
        <f t="shared" si="128"/>
        <v xml:space="preserve">/PR:Music_____SP:Carol2017107  $0    </v>
      </c>
      <c r="E437">
        <f t="shared" si="129"/>
        <v>32</v>
      </c>
      <c r="F437" t="str">
        <f t="shared" si="130"/>
        <v xml:space="preserve">/PR:Music_____SP:Carol2017107  $0    </v>
      </c>
      <c r="G437" t="str">
        <f t="shared" si="131"/>
        <v xml:space="preserve">PR:Music_____SP:Carol2017107  $0    </v>
      </c>
      <c r="H437" t="str">
        <f t="shared" si="132"/>
        <v xml:space="preserve">PR:Music     SP:Carol2017107  $0    </v>
      </c>
      <c r="I437" t="str">
        <f t="shared" si="133"/>
        <v>PR:Music SP:Carol2017107 $0</v>
      </c>
      <c r="J437">
        <f t="shared" si="134"/>
        <v>27</v>
      </c>
      <c r="K437">
        <f t="shared" si="135"/>
        <v>48</v>
      </c>
      <c r="L437" t="str">
        <f t="shared" si="136"/>
        <v>Music SP:Carol2017107 $0</v>
      </c>
      <c r="M437" t="str">
        <f t="shared" si="137"/>
        <v>Music Carol2017107 $0</v>
      </c>
      <c r="N437" s="1" t="str">
        <f t="shared" si="138"/>
        <v>Music Carol 2017107 $0</v>
      </c>
      <c r="O437" s="9">
        <f t="shared" si="146"/>
        <v>6</v>
      </c>
      <c r="P437" s="9">
        <f t="shared" si="139"/>
        <v>12</v>
      </c>
      <c r="Q437" s="10">
        <f t="shared" si="140"/>
        <v>20</v>
      </c>
      <c r="R437" s="7" t="str">
        <f t="shared" si="141"/>
        <v>Music</v>
      </c>
      <c r="S437" s="7" t="str">
        <f t="shared" si="142"/>
        <v>Carol</v>
      </c>
      <c r="T437" s="7" t="str">
        <f t="shared" si="143"/>
        <v>2017107</v>
      </c>
      <c r="U437" s="7">
        <f t="shared" si="144"/>
        <v>0</v>
      </c>
      <c r="V437" s="8">
        <f t="shared" si="145"/>
        <v>43015</v>
      </c>
    </row>
    <row r="438" spans="1:22">
      <c r="A438" s="3">
        <f t="shared" si="126"/>
        <v>436</v>
      </c>
      <c r="B438" t="s">
        <v>442</v>
      </c>
      <c r="C438">
        <f t="shared" si="127"/>
        <v>31</v>
      </c>
      <c r="D438" t="str">
        <f t="shared" si="128"/>
        <v xml:space="preserve">////PR:Books_SP:Carol20171022 $505     </v>
      </c>
      <c r="E438">
        <f t="shared" si="129"/>
        <v>32</v>
      </c>
      <c r="F438" t="str">
        <f t="shared" si="130"/>
        <v xml:space="preserve">////PR:Books_SP:Carol20171022 $505     </v>
      </c>
      <c r="G438" t="str">
        <f t="shared" si="131"/>
        <v xml:space="preserve">PR:Books_SP:Carol20171022 $505     </v>
      </c>
      <c r="H438" t="str">
        <f t="shared" si="132"/>
        <v xml:space="preserve">PR:Books SP:Carol20171022 $505     </v>
      </c>
      <c r="I438" t="str">
        <f t="shared" si="133"/>
        <v>PR:Books SP:Carol20171022 $505</v>
      </c>
      <c r="J438">
        <f t="shared" si="134"/>
        <v>30</v>
      </c>
      <c r="K438">
        <f t="shared" si="135"/>
        <v>53</v>
      </c>
      <c r="L438" t="str">
        <f t="shared" si="136"/>
        <v>Books SP:Carol20171022 $505</v>
      </c>
      <c r="M438" t="str">
        <f t="shared" si="137"/>
        <v>Books Carol20171022 $505</v>
      </c>
      <c r="N438" s="1" t="str">
        <f t="shared" si="138"/>
        <v>Books Carol 20171022 $505</v>
      </c>
      <c r="O438" s="9">
        <f t="shared" si="146"/>
        <v>6</v>
      </c>
      <c r="P438" s="9">
        <f t="shared" si="139"/>
        <v>12</v>
      </c>
      <c r="Q438" s="10">
        <f t="shared" si="140"/>
        <v>21</v>
      </c>
      <c r="R438" s="7" t="str">
        <f t="shared" si="141"/>
        <v>Books</v>
      </c>
      <c r="S438" s="7" t="str">
        <f t="shared" si="142"/>
        <v>Carol</v>
      </c>
      <c r="T438" s="7" t="str">
        <f t="shared" si="143"/>
        <v>20171022</v>
      </c>
      <c r="U438" s="7">
        <f t="shared" si="144"/>
        <v>505</v>
      </c>
      <c r="V438" s="8">
        <f t="shared" si="145"/>
        <v>43030</v>
      </c>
    </row>
    <row r="439" spans="1:22">
      <c r="A439" s="3">
        <f t="shared" si="126"/>
        <v>437</v>
      </c>
      <c r="B439" t="s">
        <v>443</v>
      </c>
      <c r="C439">
        <f t="shared" si="127"/>
        <v>31</v>
      </c>
      <c r="D439" t="str">
        <f t="shared" si="128"/>
        <v xml:space="preserve">/PR:Music__SP:Barney20171016    $0 </v>
      </c>
      <c r="E439">
        <f t="shared" si="129"/>
        <v>32</v>
      </c>
      <c r="F439" t="str">
        <f t="shared" si="130"/>
        <v xml:space="preserve">/PR:Music__SP:Barney20171016    $0 </v>
      </c>
      <c r="G439" t="str">
        <f t="shared" si="131"/>
        <v xml:space="preserve">PR:Music__SP:Barney20171016    $0 </v>
      </c>
      <c r="H439" t="str">
        <f t="shared" si="132"/>
        <v xml:space="preserve">PR:Music  SP:Barney20171016    $0 </v>
      </c>
      <c r="I439" t="str">
        <f t="shared" si="133"/>
        <v>PR:Music SP:Barney20171016 $0</v>
      </c>
      <c r="J439">
        <f t="shared" si="134"/>
        <v>29</v>
      </c>
      <c r="K439">
        <f t="shared" si="135"/>
        <v>48</v>
      </c>
      <c r="L439" t="str">
        <f t="shared" si="136"/>
        <v>Music SP:Barney20171016 $0</v>
      </c>
      <c r="M439" t="str">
        <f t="shared" si="137"/>
        <v>Music Barney20171016 $0</v>
      </c>
      <c r="N439" s="1" t="str">
        <f t="shared" si="138"/>
        <v>Music Barney 20171016 $0</v>
      </c>
      <c r="O439" s="9">
        <f t="shared" si="146"/>
        <v>6</v>
      </c>
      <c r="P439" s="9">
        <f t="shared" si="139"/>
        <v>13</v>
      </c>
      <c r="Q439" s="10">
        <f t="shared" si="140"/>
        <v>22</v>
      </c>
      <c r="R439" s="7" t="str">
        <f t="shared" si="141"/>
        <v>Music</v>
      </c>
      <c r="S439" s="7" t="str">
        <f t="shared" si="142"/>
        <v>Barney</v>
      </c>
      <c r="T439" s="7" t="str">
        <f t="shared" si="143"/>
        <v>20171016</v>
      </c>
      <c r="U439" s="7">
        <f t="shared" si="144"/>
        <v>0</v>
      </c>
      <c r="V439" s="8">
        <f t="shared" si="145"/>
        <v>43024</v>
      </c>
    </row>
    <row r="440" spans="1:22">
      <c r="A440" s="3">
        <f t="shared" si="126"/>
        <v>438</v>
      </c>
      <c r="B440" t="s">
        <v>444</v>
      </c>
      <c r="C440">
        <f t="shared" si="127"/>
        <v>31</v>
      </c>
      <c r="D440" t="str">
        <f t="shared" si="128"/>
        <v xml:space="preserve">/////PR:Games_SP:Alice2017104     $2364   </v>
      </c>
      <c r="E440">
        <f t="shared" si="129"/>
        <v>32</v>
      </c>
      <c r="F440" t="str">
        <f t="shared" si="130"/>
        <v xml:space="preserve">/////PR:Games_SP:Alice2017104     $2364   </v>
      </c>
      <c r="G440" t="str">
        <f t="shared" si="131"/>
        <v xml:space="preserve">PR:Games_SP:Alice2017104     $2364   </v>
      </c>
      <c r="H440" t="str">
        <f t="shared" si="132"/>
        <v xml:space="preserve">PR:Games SP:Alice2017104     $2364   </v>
      </c>
      <c r="I440" t="str">
        <f t="shared" si="133"/>
        <v>PR:Games SP:Alice2017104 $2364</v>
      </c>
      <c r="J440">
        <f t="shared" si="134"/>
        <v>30</v>
      </c>
      <c r="K440">
        <f t="shared" si="135"/>
        <v>52</v>
      </c>
      <c r="L440" t="str">
        <f t="shared" si="136"/>
        <v>Games SP:Alice2017104 $2364</v>
      </c>
      <c r="M440" t="str">
        <f t="shared" si="137"/>
        <v>Games Alice2017104 $2364</v>
      </c>
      <c r="N440" s="1" t="str">
        <f t="shared" si="138"/>
        <v>Games Alice 2017104 $2364</v>
      </c>
      <c r="O440" s="9">
        <f t="shared" si="146"/>
        <v>6</v>
      </c>
      <c r="P440" s="9">
        <f t="shared" si="139"/>
        <v>12</v>
      </c>
      <c r="Q440" s="10">
        <f t="shared" si="140"/>
        <v>20</v>
      </c>
      <c r="R440" s="7" t="str">
        <f t="shared" si="141"/>
        <v>Games</v>
      </c>
      <c r="S440" s="7" t="str">
        <f t="shared" si="142"/>
        <v>Alice</v>
      </c>
      <c r="T440" s="7" t="str">
        <f t="shared" si="143"/>
        <v>2017104</v>
      </c>
      <c r="U440" s="7">
        <f t="shared" si="144"/>
        <v>2364</v>
      </c>
      <c r="V440" s="8">
        <f t="shared" si="145"/>
        <v>43012</v>
      </c>
    </row>
    <row r="441" spans="1:22">
      <c r="A441" s="3">
        <f t="shared" si="126"/>
        <v>439</v>
      </c>
      <c r="B441" t="s">
        <v>445</v>
      </c>
      <c r="C441">
        <f t="shared" si="127"/>
        <v>30</v>
      </c>
      <c r="D441" t="str">
        <f t="shared" si="128"/>
        <v xml:space="preserve">/////PR:Clothing____SP:Barney20171013  $0 </v>
      </c>
      <c r="E441">
        <f t="shared" si="129"/>
        <v>32</v>
      </c>
      <c r="F441" t="str">
        <f t="shared" si="130"/>
        <v xml:space="preserve">/////PR:Clothing____SP:Barney20171013  $0 </v>
      </c>
      <c r="G441" t="str">
        <f t="shared" si="131"/>
        <v xml:space="preserve">PR:Clothing____SP:Barney20171013  $0 </v>
      </c>
      <c r="H441" t="str">
        <f t="shared" si="132"/>
        <v xml:space="preserve">PR:Clothing    SP:Barney20171013  $0 </v>
      </c>
      <c r="I441" t="str">
        <f t="shared" si="133"/>
        <v>PR:Clothing SP:Barney20171013 $0</v>
      </c>
      <c r="J441">
        <f t="shared" si="134"/>
        <v>32</v>
      </c>
      <c r="K441">
        <f t="shared" si="135"/>
        <v>48</v>
      </c>
      <c r="L441" t="str">
        <f t="shared" si="136"/>
        <v>Clothing SP:Barney20171013 $0</v>
      </c>
      <c r="M441" t="str">
        <f t="shared" si="137"/>
        <v>Clothing Barney20171013 $0</v>
      </c>
      <c r="N441" s="1" t="str">
        <f t="shared" si="138"/>
        <v>Clothing Barney 20171013 $0</v>
      </c>
      <c r="O441" s="9">
        <f t="shared" si="146"/>
        <v>9</v>
      </c>
      <c r="P441" s="9">
        <f t="shared" si="139"/>
        <v>16</v>
      </c>
      <c r="Q441" s="10">
        <f t="shared" si="140"/>
        <v>25</v>
      </c>
      <c r="R441" s="7" t="str">
        <f t="shared" si="141"/>
        <v>Clothing</v>
      </c>
      <c r="S441" s="7" t="str">
        <f t="shared" si="142"/>
        <v>Barney</v>
      </c>
      <c r="T441" s="7" t="str">
        <f t="shared" si="143"/>
        <v>20171013</v>
      </c>
      <c r="U441" s="7">
        <f t="shared" si="144"/>
        <v>0</v>
      </c>
      <c r="V441" s="8">
        <f t="shared" si="145"/>
        <v>43021</v>
      </c>
    </row>
    <row r="442" spans="1:22">
      <c r="A442" s="3">
        <f t="shared" si="126"/>
        <v>440</v>
      </c>
      <c r="B442" t="s">
        <v>446</v>
      </c>
      <c r="C442">
        <f t="shared" si="127"/>
        <v>28</v>
      </c>
      <c r="D442" t="str">
        <f t="shared" si="128"/>
        <v xml:space="preserve">////PR:Games_____SP:David20171011 $1930  </v>
      </c>
      <c r="E442">
        <f t="shared" si="129"/>
        <v>32</v>
      </c>
      <c r="F442" t="str">
        <f t="shared" si="130"/>
        <v xml:space="preserve">////PR:Games_____SP:David20171011 $1930  </v>
      </c>
      <c r="G442" t="str">
        <f t="shared" si="131"/>
        <v xml:space="preserve">PR:Games_____SP:David20171011 $1930  </v>
      </c>
      <c r="H442" t="str">
        <f t="shared" si="132"/>
        <v xml:space="preserve">PR:Games     SP:David20171011 $1930  </v>
      </c>
      <c r="I442" t="str">
        <f t="shared" si="133"/>
        <v>PR:Games SP:David20171011 $1930</v>
      </c>
      <c r="J442">
        <f t="shared" si="134"/>
        <v>31</v>
      </c>
      <c r="K442">
        <f t="shared" si="135"/>
        <v>48</v>
      </c>
      <c r="L442" t="str">
        <f t="shared" si="136"/>
        <v>Games SP:David20171011 $1930</v>
      </c>
      <c r="M442" t="str">
        <f t="shared" si="137"/>
        <v>Games David20171011 $1930</v>
      </c>
      <c r="N442" s="1" t="str">
        <f t="shared" si="138"/>
        <v>Games David 20171011 $1930</v>
      </c>
      <c r="O442" s="9">
        <f t="shared" si="146"/>
        <v>6</v>
      </c>
      <c r="P442" s="9">
        <f t="shared" si="139"/>
        <v>12</v>
      </c>
      <c r="Q442" s="10">
        <f t="shared" si="140"/>
        <v>21</v>
      </c>
      <c r="R442" s="7" t="str">
        <f t="shared" si="141"/>
        <v>Games</v>
      </c>
      <c r="S442" s="7" t="str">
        <f t="shared" si="142"/>
        <v>David</v>
      </c>
      <c r="T442" s="7" t="str">
        <f t="shared" si="143"/>
        <v>20171011</v>
      </c>
      <c r="U442" s="7">
        <f t="shared" si="144"/>
        <v>1930</v>
      </c>
      <c r="V442" s="8">
        <f t="shared" si="145"/>
        <v>43019</v>
      </c>
    </row>
    <row r="443" spans="1:22">
      <c r="A443" s="3">
        <f t="shared" si="126"/>
        <v>441</v>
      </c>
      <c r="B443" t="s">
        <v>447</v>
      </c>
      <c r="C443">
        <f t="shared" si="127"/>
        <v>29</v>
      </c>
      <c r="D443" t="str">
        <f t="shared" si="128"/>
        <v xml:space="preserve">////PR:Books___SP:Carol20171018 $529   </v>
      </c>
      <c r="E443">
        <f t="shared" si="129"/>
        <v>32</v>
      </c>
      <c r="F443" t="str">
        <f t="shared" si="130"/>
        <v xml:space="preserve">////PR:Books___SP:Carol20171018 $529   </v>
      </c>
      <c r="G443" t="str">
        <f t="shared" si="131"/>
        <v xml:space="preserve">PR:Books___SP:Carol20171018 $529   </v>
      </c>
      <c r="H443" t="str">
        <f t="shared" si="132"/>
        <v xml:space="preserve">PR:Books   SP:Carol20171018 $529   </v>
      </c>
      <c r="I443" t="str">
        <f t="shared" si="133"/>
        <v>PR:Books SP:Carol20171018 $529</v>
      </c>
      <c r="J443">
        <f t="shared" si="134"/>
        <v>30</v>
      </c>
      <c r="K443">
        <f t="shared" si="135"/>
        <v>57</v>
      </c>
      <c r="L443" t="str">
        <f t="shared" si="136"/>
        <v>Books SP:Carol20171018 $529</v>
      </c>
      <c r="M443" t="str">
        <f t="shared" si="137"/>
        <v>Books Carol20171018 $529</v>
      </c>
      <c r="N443" s="1" t="str">
        <f t="shared" si="138"/>
        <v>Books Carol 20171018 $529</v>
      </c>
      <c r="O443" s="9">
        <f t="shared" si="146"/>
        <v>6</v>
      </c>
      <c r="P443" s="9">
        <f t="shared" si="139"/>
        <v>12</v>
      </c>
      <c r="Q443" s="10">
        <f t="shared" si="140"/>
        <v>21</v>
      </c>
      <c r="R443" s="7" t="str">
        <f t="shared" si="141"/>
        <v>Books</v>
      </c>
      <c r="S443" s="7" t="str">
        <f t="shared" si="142"/>
        <v>Carol</v>
      </c>
      <c r="T443" s="7" t="str">
        <f t="shared" si="143"/>
        <v>20171018</v>
      </c>
      <c r="U443" s="7">
        <f t="shared" si="144"/>
        <v>529</v>
      </c>
      <c r="V443" s="8">
        <f t="shared" si="145"/>
        <v>43026</v>
      </c>
    </row>
    <row r="444" spans="1:22">
      <c r="A444" s="3">
        <f t="shared" si="126"/>
        <v>442</v>
      </c>
      <c r="B444" t="s">
        <v>448</v>
      </c>
      <c r="C444">
        <f t="shared" si="127"/>
        <v>28</v>
      </c>
      <c r="D444" t="str">
        <f t="shared" si="128"/>
        <v xml:space="preserve">//PR:Clothing_____SP:Alice20171020 $688 </v>
      </c>
      <c r="E444">
        <f t="shared" si="129"/>
        <v>32</v>
      </c>
      <c r="F444" t="str">
        <f t="shared" si="130"/>
        <v xml:space="preserve">//PR:Clothing_____SP:Alice20171020 $688 </v>
      </c>
      <c r="G444" t="str">
        <f t="shared" si="131"/>
        <v xml:space="preserve">PR:Clothing_____SP:Alice20171020 $688 </v>
      </c>
      <c r="H444" t="str">
        <f t="shared" si="132"/>
        <v xml:space="preserve">PR:Clothing     SP:Alice20171020 $688 </v>
      </c>
      <c r="I444" t="str">
        <f t="shared" si="133"/>
        <v>PR:Clothing SP:Alice20171020 $688</v>
      </c>
      <c r="J444">
        <f t="shared" si="134"/>
        <v>33</v>
      </c>
      <c r="K444">
        <f t="shared" si="135"/>
        <v>56</v>
      </c>
      <c r="L444" t="str">
        <f t="shared" si="136"/>
        <v>Clothing SP:Alice20171020 $688</v>
      </c>
      <c r="M444" t="str">
        <f t="shared" si="137"/>
        <v>Clothing Alice20171020 $688</v>
      </c>
      <c r="N444" s="1" t="str">
        <f t="shared" si="138"/>
        <v>Clothing Alice 20171020 $688</v>
      </c>
      <c r="O444" s="9">
        <f t="shared" si="146"/>
        <v>9</v>
      </c>
      <c r="P444" s="9">
        <f t="shared" si="139"/>
        <v>15</v>
      </c>
      <c r="Q444" s="10">
        <f t="shared" si="140"/>
        <v>24</v>
      </c>
      <c r="R444" s="7" t="str">
        <f t="shared" si="141"/>
        <v>Clothing</v>
      </c>
      <c r="S444" s="7" t="str">
        <f t="shared" si="142"/>
        <v>Alice</v>
      </c>
      <c r="T444" s="7" t="str">
        <f t="shared" si="143"/>
        <v>20171020</v>
      </c>
      <c r="U444" s="7">
        <f t="shared" si="144"/>
        <v>688</v>
      </c>
      <c r="V444" s="8">
        <f t="shared" si="145"/>
        <v>43028</v>
      </c>
    </row>
    <row r="445" spans="1:22">
      <c r="A445" s="3">
        <f t="shared" si="126"/>
        <v>443</v>
      </c>
      <c r="B445" t="s">
        <v>449</v>
      </c>
      <c r="C445">
        <f t="shared" si="127"/>
        <v>30</v>
      </c>
      <c r="D445" t="str">
        <f t="shared" si="128"/>
        <v xml:space="preserve">/PR:Games__SP:David20171016    $0  </v>
      </c>
      <c r="E445">
        <f t="shared" si="129"/>
        <v>32</v>
      </c>
      <c r="F445" t="str">
        <f t="shared" si="130"/>
        <v xml:space="preserve">/PR:Games__SP:David20171016    $0  </v>
      </c>
      <c r="G445" t="str">
        <f t="shared" si="131"/>
        <v xml:space="preserve">PR:Games__SP:David20171016    $0  </v>
      </c>
      <c r="H445" t="str">
        <f t="shared" si="132"/>
        <v xml:space="preserve">PR:Games  SP:David20171016    $0  </v>
      </c>
      <c r="I445" t="str">
        <f t="shared" si="133"/>
        <v>PR:Games SP:David20171016 $0</v>
      </c>
      <c r="J445">
        <f t="shared" si="134"/>
        <v>28</v>
      </c>
      <c r="K445">
        <f t="shared" si="135"/>
        <v>48</v>
      </c>
      <c r="L445" t="str">
        <f t="shared" si="136"/>
        <v>Games SP:David20171016 $0</v>
      </c>
      <c r="M445" t="str">
        <f t="shared" si="137"/>
        <v>Games David20171016 $0</v>
      </c>
      <c r="N445" s="1" t="str">
        <f t="shared" si="138"/>
        <v>Games David 20171016 $0</v>
      </c>
      <c r="O445" s="9">
        <f t="shared" si="146"/>
        <v>6</v>
      </c>
      <c r="P445" s="9">
        <f t="shared" si="139"/>
        <v>12</v>
      </c>
      <c r="Q445" s="10">
        <f t="shared" si="140"/>
        <v>21</v>
      </c>
      <c r="R445" s="7" t="str">
        <f t="shared" si="141"/>
        <v>Games</v>
      </c>
      <c r="S445" s="7" t="str">
        <f t="shared" si="142"/>
        <v>David</v>
      </c>
      <c r="T445" s="7" t="str">
        <f t="shared" si="143"/>
        <v>20171016</v>
      </c>
      <c r="U445" s="7">
        <f t="shared" si="144"/>
        <v>0</v>
      </c>
      <c r="V445" s="8">
        <f t="shared" si="145"/>
        <v>43024</v>
      </c>
    </row>
    <row r="446" spans="1:22">
      <c r="A446" s="3">
        <f t="shared" si="126"/>
        <v>444</v>
      </c>
      <c r="B446" t="s">
        <v>450</v>
      </c>
      <c r="C446">
        <f t="shared" si="127"/>
        <v>28</v>
      </c>
      <c r="D446" t="str">
        <f t="shared" si="128"/>
        <v xml:space="preserve">/PR:Books_SP:Carol2017107     $0   </v>
      </c>
      <c r="E446">
        <f t="shared" si="129"/>
        <v>32</v>
      </c>
      <c r="F446" t="str">
        <f t="shared" si="130"/>
        <v xml:space="preserve">/PR:Books_SP:Carol2017107     $0   </v>
      </c>
      <c r="G446" t="str">
        <f t="shared" si="131"/>
        <v xml:space="preserve">PR:Books_SP:Carol2017107     $0   </v>
      </c>
      <c r="H446" t="str">
        <f t="shared" si="132"/>
        <v xml:space="preserve">PR:Books SP:Carol2017107     $0   </v>
      </c>
      <c r="I446" t="str">
        <f t="shared" si="133"/>
        <v>PR:Books SP:Carol2017107 $0</v>
      </c>
      <c r="J446">
        <f t="shared" si="134"/>
        <v>27</v>
      </c>
      <c r="K446">
        <f t="shared" si="135"/>
        <v>48</v>
      </c>
      <c r="L446" t="str">
        <f t="shared" si="136"/>
        <v>Books SP:Carol2017107 $0</v>
      </c>
      <c r="M446" t="str">
        <f t="shared" si="137"/>
        <v>Books Carol2017107 $0</v>
      </c>
      <c r="N446" s="1" t="str">
        <f t="shared" si="138"/>
        <v>Books Carol 2017107 $0</v>
      </c>
      <c r="O446" s="9">
        <f t="shared" si="146"/>
        <v>6</v>
      </c>
      <c r="P446" s="9">
        <f t="shared" si="139"/>
        <v>12</v>
      </c>
      <c r="Q446" s="10">
        <f t="shared" si="140"/>
        <v>20</v>
      </c>
      <c r="R446" s="7" t="str">
        <f t="shared" si="141"/>
        <v>Books</v>
      </c>
      <c r="S446" s="7" t="str">
        <f t="shared" si="142"/>
        <v>Carol</v>
      </c>
      <c r="T446" s="7" t="str">
        <f t="shared" si="143"/>
        <v>2017107</v>
      </c>
      <c r="U446" s="7">
        <f t="shared" si="144"/>
        <v>0</v>
      </c>
      <c r="V446" s="8">
        <f t="shared" si="145"/>
        <v>43015</v>
      </c>
    </row>
    <row r="447" spans="1:22">
      <c r="A447" s="3">
        <f t="shared" si="126"/>
        <v>445</v>
      </c>
      <c r="B447" t="s">
        <v>451</v>
      </c>
      <c r="C447">
        <f t="shared" si="127"/>
        <v>28</v>
      </c>
      <c r="D447" t="str">
        <f t="shared" si="128"/>
        <v xml:space="preserve">///PR:Music__SP:Alice20171029  $1338     </v>
      </c>
      <c r="E447">
        <f t="shared" si="129"/>
        <v>32</v>
      </c>
      <c r="F447" t="str">
        <f t="shared" si="130"/>
        <v xml:space="preserve">///PR:Music__SP:Alice20171029  $1338     </v>
      </c>
      <c r="G447" t="str">
        <f t="shared" si="131"/>
        <v xml:space="preserve">PR:Music__SP:Alice20171029  $1338     </v>
      </c>
      <c r="H447" t="str">
        <f t="shared" si="132"/>
        <v xml:space="preserve">PR:Music  SP:Alice20171029  $1338     </v>
      </c>
      <c r="I447" t="str">
        <f t="shared" si="133"/>
        <v>PR:Music SP:Alice20171029 $1338</v>
      </c>
      <c r="J447">
        <f t="shared" si="134"/>
        <v>31</v>
      </c>
      <c r="K447">
        <f t="shared" si="135"/>
        <v>56</v>
      </c>
      <c r="L447" t="str">
        <f t="shared" si="136"/>
        <v>Music SP:Alice20171029 $1338</v>
      </c>
      <c r="M447" t="str">
        <f t="shared" si="137"/>
        <v>Music Alice20171029 $1338</v>
      </c>
      <c r="N447" s="1" t="str">
        <f t="shared" si="138"/>
        <v>Music Alice 20171029 $1338</v>
      </c>
      <c r="O447" s="9">
        <f t="shared" si="146"/>
        <v>6</v>
      </c>
      <c r="P447" s="9">
        <f t="shared" si="139"/>
        <v>12</v>
      </c>
      <c r="Q447" s="10">
        <f t="shared" si="140"/>
        <v>21</v>
      </c>
      <c r="R447" s="7" t="str">
        <f t="shared" si="141"/>
        <v>Music</v>
      </c>
      <c r="S447" s="7" t="str">
        <f t="shared" si="142"/>
        <v>Alice</v>
      </c>
      <c r="T447" s="7" t="str">
        <f t="shared" si="143"/>
        <v>20171029</v>
      </c>
      <c r="U447" s="7">
        <f t="shared" si="144"/>
        <v>1338</v>
      </c>
      <c r="V447" s="8">
        <f t="shared" si="145"/>
        <v>43037</v>
      </c>
    </row>
    <row r="448" spans="1:22">
      <c r="A448" s="3">
        <f t="shared" si="126"/>
        <v>446</v>
      </c>
      <c r="B448" t="s">
        <v>452</v>
      </c>
      <c r="C448">
        <f t="shared" si="127"/>
        <v>30</v>
      </c>
      <c r="D448" t="str">
        <f t="shared" si="128"/>
        <v xml:space="preserve">//PR:Books__SP:Barney20171030   $695    </v>
      </c>
      <c r="E448">
        <f t="shared" si="129"/>
        <v>32</v>
      </c>
      <c r="F448" t="str">
        <f t="shared" si="130"/>
        <v xml:space="preserve">//PR:Books__SP:Barney20171030   $695    </v>
      </c>
      <c r="G448" t="str">
        <f t="shared" si="131"/>
        <v xml:space="preserve">PR:Books__SP:Barney20171030   $695    </v>
      </c>
      <c r="H448" t="str">
        <f t="shared" si="132"/>
        <v xml:space="preserve">PR:Books  SP:Barney20171030   $695    </v>
      </c>
      <c r="I448" t="str">
        <f t="shared" si="133"/>
        <v>PR:Books SP:Barney20171030 $695</v>
      </c>
      <c r="J448">
        <f t="shared" si="134"/>
        <v>31</v>
      </c>
      <c r="K448">
        <f t="shared" si="135"/>
        <v>53</v>
      </c>
      <c r="L448" t="str">
        <f t="shared" si="136"/>
        <v>Books SP:Barney20171030 $695</v>
      </c>
      <c r="M448" t="str">
        <f t="shared" si="137"/>
        <v>Books Barney20171030 $695</v>
      </c>
      <c r="N448" s="1" t="str">
        <f t="shared" si="138"/>
        <v>Books Barney 20171030 $695</v>
      </c>
      <c r="O448" s="9">
        <f t="shared" si="146"/>
        <v>6</v>
      </c>
      <c r="P448" s="9">
        <f t="shared" si="139"/>
        <v>13</v>
      </c>
      <c r="Q448" s="10">
        <f t="shared" si="140"/>
        <v>22</v>
      </c>
      <c r="R448" s="7" t="str">
        <f t="shared" si="141"/>
        <v>Books</v>
      </c>
      <c r="S448" s="7" t="str">
        <f t="shared" si="142"/>
        <v>Barney</v>
      </c>
      <c r="T448" s="7" t="str">
        <f t="shared" si="143"/>
        <v>20171030</v>
      </c>
      <c r="U448" s="7">
        <f t="shared" si="144"/>
        <v>695</v>
      </c>
      <c r="V448" s="8">
        <f t="shared" si="145"/>
        <v>43038</v>
      </c>
    </row>
    <row r="449" spans="1:22">
      <c r="A449" s="3">
        <f t="shared" si="126"/>
        <v>447</v>
      </c>
      <c r="B449" t="s">
        <v>453</v>
      </c>
      <c r="C449">
        <f t="shared" si="127"/>
        <v>28</v>
      </c>
      <c r="D449" t="str">
        <f t="shared" si="128"/>
        <v xml:space="preserve">//PR:Books_____SP:Alice20171028   $543 </v>
      </c>
      <c r="E449">
        <f t="shared" si="129"/>
        <v>32</v>
      </c>
      <c r="F449" t="str">
        <f t="shared" si="130"/>
        <v xml:space="preserve">//PR:Books_____SP:Alice20171028   $543 </v>
      </c>
      <c r="G449" t="str">
        <f t="shared" si="131"/>
        <v xml:space="preserve">PR:Books_____SP:Alice20171028   $543 </v>
      </c>
      <c r="H449" t="str">
        <f t="shared" si="132"/>
        <v xml:space="preserve">PR:Books     SP:Alice20171028   $543 </v>
      </c>
      <c r="I449" t="str">
        <f t="shared" si="133"/>
        <v>PR:Books SP:Alice20171028 $543</v>
      </c>
      <c r="J449">
        <f t="shared" si="134"/>
        <v>30</v>
      </c>
      <c r="K449">
        <f t="shared" si="135"/>
        <v>51</v>
      </c>
      <c r="L449" t="str">
        <f t="shared" si="136"/>
        <v>Books SP:Alice20171028 $543</v>
      </c>
      <c r="M449" t="str">
        <f t="shared" si="137"/>
        <v>Books Alice20171028 $543</v>
      </c>
      <c r="N449" s="1" t="str">
        <f t="shared" si="138"/>
        <v>Books Alice 20171028 $543</v>
      </c>
      <c r="O449" s="9">
        <f t="shared" si="146"/>
        <v>6</v>
      </c>
      <c r="P449" s="9">
        <f t="shared" si="139"/>
        <v>12</v>
      </c>
      <c r="Q449" s="10">
        <f t="shared" si="140"/>
        <v>21</v>
      </c>
      <c r="R449" s="7" t="str">
        <f t="shared" si="141"/>
        <v>Books</v>
      </c>
      <c r="S449" s="7" t="str">
        <f t="shared" si="142"/>
        <v>Alice</v>
      </c>
      <c r="T449" s="7" t="str">
        <f t="shared" si="143"/>
        <v>20171028</v>
      </c>
      <c r="U449" s="7">
        <f t="shared" si="144"/>
        <v>543</v>
      </c>
      <c r="V449" s="8">
        <f t="shared" si="145"/>
        <v>43036</v>
      </c>
    </row>
    <row r="450" spans="1:22">
      <c r="A450" s="3">
        <f t="shared" si="126"/>
        <v>448</v>
      </c>
      <c r="B450" t="s">
        <v>454</v>
      </c>
      <c r="C450">
        <f t="shared" si="127"/>
        <v>30</v>
      </c>
      <c r="D450" t="str">
        <f t="shared" si="128"/>
        <v xml:space="preserve">/////PR:Music____SP:Alice20171016    $0  </v>
      </c>
      <c r="E450">
        <f t="shared" si="129"/>
        <v>32</v>
      </c>
      <c r="F450" t="str">
        <f t="shared" si="130"/>
        <v xml:space="preserve">/////PR:Music____SP:Alice20171016    $0  </v>
      </c>
      <c r="G450" t="str">
        <f t="shared" si="131"/>
        <v xml:space="preserve">PR:Music____SP:Alice20171016    $0  </v>
      </c>
      <c r="H450" t="str">
        <f t="shared" si="132"/>
        <v xml:space="preserve">PR:Music    SP:Alice20171016    $0  </v>
      </c>
      <c r="I450" t="str">
        <f t="shared" si="133"/>
        <v>PR:Music SP:Alice20171016 $0</v>
      </c>
      <c r="J450">
        <f t="shared" si="134"/>
        <v>28</v>
      </c>
      <c r="K450">
        <f t="shared" si="135"/>
        <v>48</v>
      </c>
      <c r="L450" t="str">
        <f t="shared" si="136"/>
        <v>Music SP:Alice20171016 $0</v>
      </c>
      <c r="M450" t="str">
        <f t="shared" si="137"/>
        <v>Music Alice20171016 $0</v>
      </c>
      <c r="N450" s="1" t="str">
        <f t="shared" si="138"/>
        <v>Music Alice 20171016 $0</v>
      </c>
      <c r="O450" s="9">
        <f t="shared" si="146"/>
        <v>6</v>
      </c>
      <c r="P450" s="9">
        <f t="shared" si="139"/>
        <v>12</v>
      </c>
      <c r="Q450" s="10">
        <f t="shared" si="140"/>
        <v>21</v>
      </c>
      <c r="R450" s="7" t="str">
        <f t="shared" si="141"/>
        <v>Music</v>
      </c>
      <c r="S450" s="7" t="str">
        <f t="shared" si="142"/>
        <v>Alice</v>
      </c>
      <c r="T450" s="7" t="str">
        <f t="shared" si="143"/>
        <v>20171016</v>
      </c>
      <c r="U450" s="7">
        <f t="shared" si="144"/>
        <v>0</v>
      </c>
      <c r="V450" s="8">
        <f t="shared" si="145"/>
        <v>43024</v>
      </c>
    </row>
    <row r="451" spans="1:22">
      <c r="A451" s="3">
        <f t="shared" si="126"/>
        <v>449</v>
      </c>
      <c r="B451" t="s">
        <v>455</v>
      </c>
      <c r="C451">
        <f t="shared" si="127"/>
        <v>28</v>
      </c>
      <c r="D451" t="str">
        <f t="shared" si="128"/>
        <v xml:space="preserve">/////PR:Books___SP:Alice20171018    $523  </v>
      </c>
      <c r="E451">
        <f t="shared" si="129"/>
        <v>32</v>
      </c>
      <c r="F451" t="str">
        <f t="shared" si="130"/>
        <v xml:space="preserve">/////PR:Books___SP:Alice20171018    $523  </v>
      </c>
      <c r="G451" t="str">
        <f t="shared" si="131"/>
        <v xml:space="preserve">PR:Books___SP:Alice20171018    $523  </v>
      </c>
      <c r="H451" t="str">
        <f t="shared" si="132"/>
        <v xml:space="preserve">PR:Books   SP:Alice20171018    $523  </v>
      </c>
      <c r="I451" t="str">
        <f t="shared" si="133"/>
        <v>PR:Books SP:Alice20171018 $523</v>
      </c>
      <c r="J451">
        <f t="shared" si="134"/>
        <v>30</v>
      </c>
      <c r="K451">
        <f t="shared" si="135"/>
        <v>51</v>
      </c>
      <c r="L451" t="str">
        <f t="shared" si="136"/>
        <v>Books SP:Alice20171018 $523</v>
      </c>
      <c r="M451" t="str">
        <f t="shared" si="137"/>
        <v>Books Alice20171018 $523</v>
      </c>
      <c r="N451" s="1" t="str">
        <f t="shared" si="138"/>
        <v>Books Alice 20171018 $523</v>
      </c>
      <c r="O451" s="9">
        <f t="shared" si="146"/>
        <v>6</v>
      </c>
      <c r="P451" s="9">
        <f t="shared" si="139"/>
        <v>12</v>
      </c>
      <c r="Q451" s="10">
        <f t="shared" si="140"/>
        <v>21</v>
      </c>
      <c r="R451" s="7" t="str">
        <f t="shared" si="141"/>
        <v>Books</v>
      </c>
      <c r="S451" s="7" t="str">
        <f t="shared" si="142"/>
        <v>Alice</v>
      </c>
      <c r="T451" s="7" t="str">
        <f t="shared" si="143"/>
        <v>20171018</v>
      </c>
      <c r="U451" s="7">
        <f t="shared" si="144"/>
        <v>523</v>
      </c>
      <c r="V451" s="8">
        <f t="shared" si="145"/>
        <v>43026</v>
      </c>
    </row>
    <row r="452" spans="1:22">
      <c r="A452" s="3">
        <f t="shared" ref="A452:A498" si="147">A451+1</f>
        <v>450</v>
      </c>
      <c r="B452" t="s">
        <v>456</v>
      </c>
      <c r="C452">
        <f t="shared" ref="C452:C498" si="148">CODE(RIGHT(B452,1))</f>
        <v>31</v>
      </c>
      <c r="D452" t="str">
        <f t="shared" ref="D452:D498" si="149">CLEAN(B452)</f>
        <v xml:space="preserve">/////PR:Games_SP:Alice2017108     $1218   </v>
      </c>
      <c r="E452">
        <f t="shared" ref="E452:E498" si="150">CODE(RIGHT(D452,1))</f>
        <v>32</v>
      </c>
      <c r="F452" t="str">
        <f t="shared" ref="F452:F498" si="151">SUBSTITUTE(D452,CHAR(160)," ")</f>
        <v xml:space="preserve">/////PR:Games_SP:Alice2017108     $1218   </v>
      </c>
      <c r="G452" t="str">
        <f t="shared" ref="G452:G498" si="152">SUBSTITUTE(F452,"/","")</f>
        <v xml:space="preserve">PR:Games_SP:Alice2017108     $1218   </v>
      </c>
      <c r="H452" t="str">
        <f t="shared" ref="H452:H498" si="153">SUBSTITUTE(G452,"_"," ")</f>
        <v xml:space="preserve">PR:Games SP:Alice2017108     $1218   </v>
      </c>
      <c r="I452" t="str">
        <f t="shared" ref="I452:I498" si="154">TRIM(H452)</f>
        <v>PR:Games SP:Alice2017108 $1218</v>
      </c>
      <c r="J452">
        <f t="shared" ref="J452:J498" si="155">LEN(I452)</f>
        <v>30</v>
      </c>
      <c r="K452">
        <f t="shared" ref="K452:K498" si="156">CODE(RIGHT(I452,1))</f>
        <v>56</v>
      </c>
      <c r="L452" t="str">
        <f t="shared" ref="L452:L498" si="157">SUBSTITUTE(I452,"PR:","")</f>
        <v>Games SP:Alice2017108 $1218</v>
      </c>
      <c r="M452" t="str">
        <f t="shared" ref="M452:M498" si="158">SUBSTITUTE(L452,"SP:","")</f>
        <v>Games Alice2017108 $1218</v>
      </c>
      <c r="N452" s="1" t="str">
        <f t="shared" ref="N452:N498" si="159">SUBSTITUTE(M452,"201710"," 201710")</f>
        <v>Games Alice 2017108 $1218</v>
      </c>
      <c r="O452" s="9">
        <f t="shared" si="146"/>
        <v>6</v>
      </c>
      <c r="P452" s="9">
        <f t="shared" ref="P452:P498" si="160">FIND(" ",N452,O452+1)</f>
        <v>12</v>
      </c>
      <c r="Q452" s="10">
        <f t="shared" ref="Q452:Q498" si="161">FIND("$",N452,1)-1</f>
        <v>20</v>
      </c>
      <c r="R452" s="7" t="str">
        <f t="shared" ref="R452:R498" si="162">LEFT(N452,O452-1)</f>
        <v>Games</v>
      </c>
      <c r="S452" s="7" t="str">
        <f t="shared" ref="S452:S498" si="163">MID(N452,O452+1,P452-O452-1)</f>
        <v>Alice</v>
      </c>
      <c r="T452" s="7" t="str">
        <f t="shared" ref="T452:T498" si="164">MID(N452,P452+1,Q452-P452-1)</f>
        <v>2017108</v>
      </c>
      <c r="U452" s="7">
        <f t="shared" ref="U452:U498" si="165">VALUE(MID(N452,Q452+2,99))</f>
        <v>1218</v>
      </c>
      <c r="V452" s="8">
        <f t="shared" ref="V452:V498" si="166">DATE(2017,10,MID(T452,7,99))</f>
        <v>43016</v>
      </c>
    </row>
    <row r="453" spans="1:22">
      <c r="A453" s="3">
        <f t="shared" si="147"/>
        <v>451</v>
      </c>
      <c r="B453" t="s">
        <v>457</v>
      </c>
      <c r="C453">
        <f t="shared" si="148"/>
        <v>28</v>
      </c>
      <c r="D453" t="str">
        <f t="shared" si="149"/>
        <v xml:space="preserve">///PR:Books_SP:Barney20171025     $838    </v>
      </c>
      <c r="E453">
        <f t="shared" si="150"/>
        <v>32</v>
      </c>
      <c r="F453" t="str">
        <f t="shared" si="151"/>
        <v xml:space="preserve">///PR:Books_SP:Barney20171025     $838    </v>
      </c>
      <c r="G453" t="str">
        <f t="shared" si="152"/>
        <v xml:space="preserve">PR:Books_SP:Barney20171025     $838    </v>
      </c>
      <c r="H453" t="str">
        <f t="shared" si="153"/>
        <v xml:space="preserve">PR:Books SP:Barney20171025     $838    </v>
      </c>
      <c r="I453" t="str">
        <f t="shared" si="154"/>
        <v>PR:Books SP:Barney20171025 $838</v>
      </c>
      <c r="J453">
        <f t="shared" si="155"/>
        <v>31</v>
      </c>
      <c r="K453">
        <f t="shared" si="156"/>
        <v>56</v>
      </c>
      <c r="L453" t="str">
        <f t="shared" si="157"/>
        <v>Books SP:Barney20171025 $838</v>
      </c>
      <c r="M453" t="str">
        <f t="shared" si="158"/>
        <v>Books Barney20171025 $838</v>
      </c>
      <c r="N453" s="1" t="str">
        <f t="shared" si="159"/>
        <v>Books Barney 20171025 $838</v>
      </c>
      <c r="O453" s="9">
        <f t="shared" ref="O453:O498" si="167">FIND(" ",N453,1)</f>
        <v>6</v>
      </c>
      <c r="P453" s="9">
        <f t="shared" si="160"/>
        <v>13</v>
      </c>
      <c r="Q453" s="10">
        <f t="shared" si="161"/>
        <v>22</v>
      </c>
      <c r="R453" s="7" t="str">
        <f t="shared" si="162"/>
        <v>Books</v>
      </c>
      <c r="S453" s="7" t="str">
        <f t="shared" si="163"/>
        <v>Barney</v>
      </c>
      <c r="T453" s="7" t="str">
        <f t="shared" si="164"/>
        <v>20171025</v>
      </c>
      <c r="U453" s="7">
        <f t="shared" si="165"/>
        <v>838</v>
      </c>
      <c r="V453" s="8">
        <f t="shared" si="166"/>
        <v>43033</v>
      </c>
    </row>
    <row r="454" spans="1:22">
      <c r="A454" s="3">
        <f t="shared" si="147"/>
        <v>452</v>
      </c>
      <c r="B454" t="s">
        <v>458</v>
      </c>
      <c r="C454">
        <f t="shared" si="148"/>
        <v>31</v>
      </c>
      <c r="D454" t="str">
        <f t="shared" si="149"/>
        <v xml:space="preserve">//PR:Games__SP:David20171018     $1893     </v>
      </c>
      <c r="E454">
        <f t="shared" si="150"/>
        <v>32</v>
      </c>
      <c r="F454" t="str">
        <f t="shared" si="151"/>
        <v xml:space="preserve">//PR:Games__SP:David20171018     $1893     </v>
      </c>
      <c r="G454" t="str">
        <f t="shared" si="152"/>
        <v xml:space="preserve">PR:Games__SP:David20171018     $1893     </v>
      </c>
      <c r="H454" t="str">
        <f t="shared" si="153"/>
        <v xml:space="preserve">PR:Games  SP:David20171018     $1893     </v>
      </c>
      <c r="I454" t="str">
        <f t="shared" si="154"/>
        <v>PR:Games SP:David20171018 $1893</v>
      </c>
      <c r="J454">
        <f t="shared" si="155"/>
        <v>31</v>
      </c>
      <c r="K454">
        <f t="shared" si="156"/>
        <v>51</v>
      </c>
      <c r="L454" t="str">
        <f t="shared" si="157"/>
        <v>Games SP:David20171018 $1893</v>
      </c>
      <c r="M454" t="str">
        <f t="shared" si="158"/>
        <v>Games David20171018 $1893</v>
      </c>
      <c r="N454" s="1" t="str">
        <f t="shared" si="159"/>
        <v>Games David 20171018 $1893</v>
      </c>
      <c r="O454" s="9">
        <f t="shared" si="167"/>
        <v>6</v>
      </c>
      <c r="P454" s="9">
        <f t="shared" si="160"/>
        <v>12</v>
      </c>
      <c r="Q454" s="10">
        <f t="shared" si="161"/>
        <v>21</v>
      </c>
      <c r="R454" s="7" t="str">
        <f t="shared" si="162"/>
        <v>Games</v>
      </c>
      <c r="S454" s="7" t="str">
        <f t="shared" si="163"/>
        <v>David</v>
      </c>
      <c r="T454" s="7" t="str">
        <f t="shared" si="164"/>
        <v>20171018</v>
      </c>
      <c r="U454" s="7">
        <f t="shared" si="165"/>
        <v>1893</v>
      </c>
      <c r="V454" s="8">
        <f t="shared" si="166"/>
        <v>43026</v>
      </c>
    </row>
    <row r="455" spans="1:22">
      <c r="A455" s="3">
        <f t="shared" si="147"/>
        <v>453</v>
      </c>
      <c r="B455" t="s">
        <v>459</v>
      </c>
      <c r="C455">
        <f t="shared" si="148"/>
        <v>29</v>
      </c>
      <c r="D455" t="str">
        <f t="shared" si="149"/>
        <v xml:space="preserve">//PR:Clothing_____SP:Alice2017109  $989 </v>
      </c>
      <c r="E455">
        <f t="shared" si="150"/>
        <v>32</v>
      </c>
      <c r="F455" t="str">
        <f t="shared" si="151"/>
        <v xml:space="preserve">//PR:Clothing_____SP:Alice2017109  $989 </v>
      </c>
      <c r="G455" t="str">
        <f t="shared" si="152"/>
        <v xml:space="preserve">PR:Clothing_____SP:Alice2017109  $989 </v>
      </c>
      <c r="H455" t="str">
        <f t="shared" si="153"/>
        <v xml:space="preserve">PR:Clothing     SP:Alice2017109  $989 </v>
      </c>
      <c r="I455" t="str">
        <f t="shared" si="154"/>
        <v>PR:Clothing SP:Alice2017109 $989</v>
      </c>
      <c r="J455">
        <f t="shared" si="155"/>
        <v>32</v>
      </c>
      <c r="K455">
        <f t="shared" si="156"/>
        <v>57</v>
      </c>
      <c r="L455" t="str">
        <f t="shared" si="157"/>
        <v>Clothing SP:Alice2017109 $989</v>
      </c>
      <c r="M455" t="str">
        <f t="shared" si="158"/>
        <v>Clothing Alice2017109 $989</v>
      </c>
      <c r="N455" s="1" t="str">
        <f t="shared" si="159"/>
        <v>Clothing Alice 2017109 $989</v>
      </c>
      <c r="O455" s="9">
        <f t="shared" si="167"/>
        <v>9</v>
      </c>
      <c r="P455" s="9">
        <f t="shared" si="160"/>
        <v>15</v>
      </c>
      <c r="Q455" s="10">
        <f t="shared" si="161"/>
        <v>23</v>
      </c>
      <c r="R455" s="7" t="str">
        <f t="shared" si="162"/>
        <v>Clothing</v>
      </c>
      <c r="S455" s="7" t="str">
        <f t="shared" si="163"/>
        <v>Alice</v>
      </c>
      <c r="T455" s="7" t="str">
        <f t="shared" si="164"/>
        <v>2017109</v>
      </c>
      <c r="U455" s="7">
        <f t="shared" si="165"/>
        <v>989</v>
      </c>
      <c r="V455" s="8">
        <f t="shared" si="166"/>
        <v>43017</v>
      </c>
    </row>
    <row r="456" spans="1:22">
      <c r="A456" s="3">
        <f t="shared" si="147"/>
        <v>454</v>
      </c>
      <c r="B456" t="s">
        <v>460</v>
      </c>
      <c r="C456">
        <f t="shared" si="148"/>
        <v>31</v>
      </c>
      <c r="D456" t="str">
        <f t="shared" si="149"/>
        <v xml:space="preserve">////PR:Music___SP:Barney20171014   $1144    </v>
      </c>
      <c r="E456">
        <f t="shared" si="150"/>
        <v>32</v>
      </c>
      <c r="F456" t="str">
        <f t="shared" si="151"/>
        <v xml:space="preserve">////PR:Music___SP:Barney20171014   $1144    </v>
      </c>
      <c r="G456" t="str">
        <f t="shared" si="152"/>
        <v xml:space="preserve">PR:Music___SP:Barney20171014   $1144    </v>
      </c>
      <c r="H456" t="str">
        <f t="shared" si="153"/>
        <v xml:space="preserve">PR:Music   SP:Barney20171014   $1144    </v>
      </c>
      <c r="I456" t="str">
        <f t="shared" si="154"/>
        <v>PR:Music SP:Barney20171014 $1144</v>
      </c>
      <c r="J456">
        <f t="shared" si="155"/>
        <v>32</v>
      </c>
      <c r="K456">
        <f t="shared" si="156"/>
        <v>52</v>
      </c>
      <c r="L456" t="str">
        <f t="shared" si="157"/>
        <v>Music SP:Barney20171014 $1144</v>
      </c>
      <c r="M456" t="str">
        <f t="shared" si="158"/>
        <v>Music Barney20171014 $1144</v>
      </c>
      <c r="N456" s="1" t="str">
        <f t="shared" si="159"/>
        <v>Music Barney 20171014 $1144</v>
      </c>
      <c r="O456" s="9">
        <f t="shared" si="167"/>
        <v>6</v>
      </c>
      <c r="P456" s="9">
        <f t="shared" si="160"/>
        <v>13</v>
      </c>
      <c r="Q456" s="10">
        <f t="shared" si="161"/>
        <v>22</v>
      </c>
      <c r="R456" s="7" t="str">
        <f t="shared" si="162"/>
        <v>Music</v>
      </c>
      <c r="S456" s="7" t="str">
        <f t="shared" si="163"/>
        <v>Barney</v>
      </c>
      <c r="T456" s="7" t="str">
        <f t="shared" si="164"/>
        <v>20171014</v>
      </c>
      <c r="U456" s="7">
        <f t="shared" si="165"/>
        <v>1144</v>
      </c>
      <c r="V456" s="8">
        <f t="shared" si="166"/>
        <v>43022</v>
      </c>
    </row>
    <row r="457" spans="1:22">
      <c r="A457" s="3">
        <f t="shared" si="147"/>
        <v>455</v>
      </c>
      <c r="B457" t="s">
        <v>461</v>
      </c>
      <c r="C457">
        <f t="shared" si="148"/>
        <v>31</v>
      </c>
      <c r="D457" t="str">
        <f t="shared" si="149"/>
        <v xml:space="preserve">//PR:Clothing_____SP:Alice20171022    $1619   </v>
      </c>
      <c r="E457">
        <f t="shared" si="150"/>
        <v>32</v>
      </c>
      <c r="F457" t="str">
        <f t="shared" si="151"/>
        <v xml:space="preserve">//PR:Clothing_____SP:Alice20171022    $1619   </v>
      </c>
      <c r="G457" t="str">
        <f t="shared" si="152"/>
        <v xml:space="preserve">PR:Clothing_____SP:Alice20171022    $1619   </v>
      </c>
      <c r="H457" t="str">
        <f t="shared" si="153"/>
        <v xml:space="preserve">PR:Clothing     SP:Alice20171022    $1619   </v>
      </c>
      <c r="I457" t="str">
        <f t="shared" si="154"/>
        <v>PR:Clothing SP:Alice20171022 $1619</v>
      </c>
      <c r="J457">
        <f t="shared" si="155"/>
        <v>34</v>
      </c>
      <c r="K457">
        <f t="shared" si="156"/>
        <v>57</v>
      </c>
      <c r="L457" t="str">
        <f t="shared" si="157"/>
        <v>Clothing SP:Alice20171022 $1619</v>
      </c>
      <c r="M457" t="str">
        <f t="shared" si="158"/>
        <v>Clothing Alice20171022 $1619</v>
      </c>
      <c r="N457" s="1" t="str">
        <f t="shared" si="159"/>
        <v>Clothing Alice 20171022 $1619</v>
      </c>
      <c r="O457" s="9">
        <f t="shared" si="167"/>
        <v>9</v>
      </c>
      <c r="P457" s="9">
        <f t="shared" si="160"/>
        <v>15</v>
      </c>
      <c r="Q457" s="10">
        <f t="shared" si="161"/>
        <v>24</v>
      </c>
      <c r="R457" s="7" t="str">
        <f t="shared" si="162"/>
        <v>Clothing</v>
      </c>
      <c r="S457" s="7" t="str">
        <f t="shared" si="163"/>
        <v>Alice</v>
      </c>
      <c r="T457" s="7" t="str">
        <f t="shared" si="164"/>
        <v>20171022</v>
      </c>
      <c r="U457" s="7">
        <f t="shared" si="165"/>
        <v>1619</v>
      </c>
      <c r="V457" s="8">
        <f t="shared" si="166"/>
        <v>43030</v>
      </c>
    </row>
    <row r="458" spans="1:22">
      <c r="A458" s="3">
        <f t="shared" si="147"/>
        <v>456</v>
      </c>
      <c r="B458" t="s">
        <v>462</v>
      </c>
      <c r="C458">
        <f t="shared" si="148"/>
        <v>31</v>
      </c>
      <c r="D458" t="str">
        <f t="shared" si="149"/>
        <v xml:space="preserve">/PR:Books_SP:David20171011  $842     </v>
      </c>
      <c r="E458">
        <f t="shared" si="150"/>
        <v>32</v>
      </c>
      <c r="F458" t="str">
        <f t="shared" si="151"/>
        <v xml:space="preserve">/PR:Books_SP:David20171011  $842     </v>
      </c>
      <c r="G458" t="str">
        <f t="shared" si="152"/>
        <v xml:space="preserve">PR:Books_SP:David20171011  $842     </v>
      </c>
      <c r="H458" t="str">
        <f t="shared" si="153"/>
        <v xml:space="preserve">PR:Books SP:David20171011  $842     </v>
      </c>
      <c r="I458" t="str">
        <f t="shared" si="154"/>
        <v>PR:Books SP:David20171011 $842</v>
      </c>
      <c r="J458">
        <f t="shared" si="155"/>
        <v>30</v>
      </c>
      <c r="K458">
        <f t="shared" si="156"/>
        <v>50</v>
      </c>
      <c r="L458" t="str">
        <f t="shared" si="157"/>
        <v>Books SP:David20171011 $842</v>
      </c>
      <c r="M458" t="str">
        <f t="shared" si="158"/>
        <v>Books David20171011 $842</v>
      </c>
      <c r="N458" s="1" t="str">
        <f t="shared" si="159"/>
        <v>Books David 20171011 $842</v>
      </c>
      <c r="O458" s="9">
        <f t="shared" si="167"/>
        <v>6</v>
      </c>
      <c r="P458" s="9">
        <f t="shared" si="160"/>
        <v>12</v>
      </c>
      <c r="Q458" s="10">
        <f t="shared" si="161"/>
        <v>21</v>
      </c>
      <c r="R458" s="7" t="str">
        <f t="shared" si="162"/>
        <v>Books</v>
      </c>
      <c r="S458" s="7" t="str">
        <f t="shared" si="163"/>
        <v>David</v>
      </c>
      <c r="T458" s="7" t="str">
        <f t="shared" si="164"/>
        <v>20171011</v>
      </c>
      <c r="U458" s="7">
        <f t="shared" si="165"/>
        <v>842</v>
      </c>
      <c r="V458" s="8">
        <f t="shared" si="166"/>
        <v>43019</v>
      </c>
    </row>
    <row r="459" spans="1:22">
      <c r="A459" s="3">
        <f t="shared" si="147"/>
        <v>457</v>
      </c>
      <c r="B459" t="s">
        <v>463</v>
      </c>
      <c r="C459">
        <f t="shared" si="148"/>
        <v>28</v>
      </c>
      <c r="D459" t="str">
        <f t="shared" si="149"/>
        <v xml:space="preserve">/PR:Games__SP:Alice2017105  $2369  </v>
      </c>
      <c r="E459">
        <f t="shared" si="150"/>
        <v>32</v>
      </c>
      <c r="F459" t="str">
        <f t="shared" si="151"/>
        <v xml:space="preserve">/PR:Games__SP:Alice2017105  $2369  </v>
      </c>
      <c r="G459" t="str">
        <f t="shared" si="152"/>
        <v xml:space="preserve">PR:Games__SP:Alice2017105  $2369  </v>
      </c>
      <c r="H459" t="str">
        <f t="shared" si="153"/>
        <v xml:space="preserve">PR:Games  SP:Alice2017105  $2369  </v>
      </c>
      <c r="I459" t="str">
        <f t="shared" si="154"/>
        <v>PR:Games SP:Alice2017105 $2369</v>
      </c>
      <c r="J459">
        <f t="shared" si="155"/>
        <v>30</v>
      </c>
      <c r="K459">
        <f t="shared" si="156"/>
        <v>57</v>
      </c>
      <c r="L459" t="str">
        <f t="shared" si="157"/>
        <v>Games SP:Alice2017105 $2369</v>
      </c>
      <c r="M459" t="str">
        <f t="shared" si="158"/>
        <v>Games Alice2017105 $2369</v>
      </c>
      <c r="N459" s="1" t="str">
        <f t="shared" si="159"/>
        <v>Games Alice 2017105 $2369</v>
      </c>
      <c r="O459" s="9">
        <f t="shared" si="167"/>
        <v>6</v>
      </c>
      <c r="P459" s="9">
        <f t="shared" si="160"/>
        <v>12</v>
      </c>
      <c r="Q459" s="10">
        <f t="shared" si="161"/>
        <v>20</v>
      </c>
      <c r="R459" s="7" t="str">
        <f t="shared" si="162"/>
        <v>Games</v>
      </c>
      <c r="S459" s="7" t="str">
        <f t="shared" si="163"/>
        <v>Alice</v>
      </c>
      <c r="T459" s="7" t="str">
        <f t="shared" si="164"/>
        <v>2017105</v>
      </c>
      <c r="U459" s="7">
        <f t="shared" si="165"/>
        <v>2369</v>
      </c>
      <c r="V459" s="8">
        <f t="shared" si="166"/>
        <v>43013</v>
      </c>
    </row>
    <row r="460" spans="1:22">
      <c r="A460" s="3">
        <f t="shared" si="147"/>
        <v>458</v>
      </c>
      <c r="B460" t="s">
        <v>464</v>
      </c>
      <c r="C460">
        <f t="shared" si="148"/>
        <v>28</v>
      </c>
      <c r="D460" t="str">
        <f t="shared" si="149"/>
        <v xml:space="preserve">//PR:Books__SP:Barney2017108 $981    </v>
      </c>
      <c r="E460">
        <f t="shared" si="150"/>
        <v>32</v>
      </c>
      <c r="F460" t="str">
        <f t="shared" si="151"/>
        <v xml:space="preserve">//PR:Books__SP:Barney2017108 $981    </v>
      </c>
      <c r="G460" t="str">
        <f t="shared" si="152"/>
        <v xml:space="preserve">PR:Books__SP:Barney2017108 $981    </v>
      </c>
      <c r="H460" t="str">
        <f t="shared" si="153"/>
        <v xml:space="preserve">PR:Books  SP:Barney2017108 $981    </v>
      </c>
      <c r="I460" t="str">
        <f t="shared" si="154"/>
        <v>PR:Books SP:Barney2017108 $981</v>
      </c>
      <c r="J460">
        <f t="shared" si="155"/>
        <v>30</v>
      </c>
      <c r="K460">
        <f t="shared" si="156"/>
        <v>49</v>
      </c>
      <c r="L460" t="str">
        <f t="shared" si="157"/>
        <v>Books SP:Barney2017108 $981</v>
      </c>
      <c r="M460" t="str">
        <f t="shared" si="158"/>
        <v>Books Barney2017108 $981</v>
      </c>
      <c r="N460" s="1" t="str">
        <f t="shared" si="159"/>
        <v>Books Barney 2017108 $981</v>
      </c>
      <c r="O460" s="9">
        <f t="shared" si="167"/>
        <v>6</v>
      </c>
      <c r="P460" s="9">
        <f t="shared" si="160"/>
        <v>13</v>
      </c>
      <c r="Q460" s="10">
        <f t="shared" si="161"/>
        <v>21</v>
      </c>
      <c r="R460" s="7" t="str">
        <f t="shared" si="162"/>
        <v>Books</v>
      </c>
      <c r="S460" s="7" t="str">
        <f t="shared" si="163"/>
        <v>Barney</v>
      </c>
      <c r="T460" s="7" t="str">
        <f t="shared" si="164"/>
        <v>2017108</v>
      </c>
      <c r="U460" s="7">
        <f t="shared" si="165"/>
        <v>981</v>
      </c>
      <c r="V460" s="8">
        <f t="shared" si="166"/>
        <v>43016</v>
      </c>
    </row>
    <row r="461" spans="1:22">
      <c r="A461" s="3">
        <f t="shared" si="147"/>
        <v>459</v>
      </c>
      <c r="B461" t="s">
        <v>465</v>
      </c>
      <c r="C461">
        <f t="shared" si="148"/>
        <v>28</v>
      </c>
      <c r="D461" t="str">
        <f t="shared" si="149"/>
        <v xml:space="preserve">//PR:Games_____SP:Alice20171012 $2500  </v>
      </c>
      <c r="E461">
        <f t="shared" si="150"/>
        <v>32</v>
      </c>
      <c r="F461" t="str">
        <f t="shared" si="151"/>
        <v xml:space="preserve">//PR:Games_____SP:Alice20171012 $2500  </v>
      </c>
      <c r="G461" t="str">
        <f t="shared" si="152"/>
        <v xml:space="preserve">PR:Games_____SP:Alice20171012 $2500  </v>
      </c>
      <c r="H461" t="str">
        <f t="shared" si="153"/>
        <v xml:space="preserve">PR:Games     SP:Alice20171012 $2500  </v>
      </c>
      <c r="I461" t="str">
        <f t="shared" si="154"/>
        <v>PR:Games SP:Alice20171012 $2500</v>
      </c>
      <c r="J461">
        <f t="shared" si="155"/>
        <v>31</v>
      </c>
      <c r="K461">
        <f t="shared" si="156"/>
        <v>48</v>
      </c>
      <c r="L461" t="str">
        <f t="shared" si="157"/>
        <v>Games SP:Alice20171012 $2500</v>
      </c>
      <c r="M461" t="str">
        <f t="shared" si="158"/>
        <v>Games Alice20171012 $2500</v>
      </c>
      <c r="N461" s="1" t="str">
        <f t="shared" si="159"/>
        <v>Games Alice 20171012 $2500</v>
      </c>
      <c r="O461" s="9">
        <f t="shared" si="167"/>
        <v>6</v>
      </c>
      <c r="P461" s="9">
        <f t="shared" si="160"/>
        <v>12</v>
      </c>
      <c r="Q461" s="10">
        <f t="shared" si="161"/>
        <v>21</v>
      </c>
      <c r="R461" s="7" t="str">
        <f t="shared" si="162"/>
        <v>Games</v>
      </c>
      <c r="S461" s="7" t="str">
        <f t="shared" si="163"/>
        <v>Alice</v>
      </c>
      <c r="T461" s="7" t="str">
        <f t="shared" si="164"/>
        <v>20171012</v>
      </c>
      <c r="U461" s="7">
        <f t="shared" si="165"/>
        <v>2500</v>
      </c>
      <c r="V461" s="8">
        <f t="shared" si="166"/>
        <v>43020</v>
      </c>
    </row>
    <row r="462" spans="1:22">
      <c r="A462" s="3">
        <f t="shared" si="147"/>
        <v>460</v>
      </c>
      <c r="B462" t="s">
        <v>466</v>
      </c>
      <c r="C462">
        <f t="shared" si="148"/>
        <v>29</v>
      </c>
      <c r="D462" t="str">
        <f t="shared" si="149"/>
        <v xml:space="preserve">///PR:Music__SP:Carol20171010     $951    </v>
      </c>
      <c r="E462">
        <f t="shared" si="150"/>
        <v>32</v>
      </c>
      <c r="F462" t="str">
        <f t="shared" si="151"/>
        <v xml:space="preserve">///PR:Music__SP:Carol20171010     $951    </v>
      </c>
      <c r="G462" t="str">
        <f t="shared" si="152"/>
        <v xml:space="preserve">PR:Music__SP:Carol20171010     $951    </v>
      </c>
      <c r="H462" t="str">
        <f t="shared" si="153"/>
        <v xml:space="preserve">PR:Music  SP:Carol20171010     $951    </v>
      </c>
      <c r="I462" t="str">
        <f t="shared" si="154"/>
        <v>PR:Music SP:Carol20171010 $951</v>
      </c>
      <c r="J462">
        <f t="shared" si="155"/>
        <v>30</v>
      </c>
      <c r="K462">
        <f t="shared" si="156"/>
        <v>49</v>
      </c>
      <c r="L462" t="str">
        <f t="shared" si="157"/>
        <v>Music SP:Carol20171010 $951</v>
      </c>
      <c r="M462" t="str">
        <f t="shared" si="158"/>
        <v>Music Carol20171010 $951</v>
      </c>
      <c r="N462" s="1" t="str">
        <f t="shared" si="159"/>
        <v>Music Carol 20171010 $951</v>
      </c>
      <c r="O462" s="9">
        <f t="shared" si="167"/>
        <v>6</v>
      </c>
      <c r="P462" s="9">
        <f t="shared" si="160"/>
        <v>12</v>
      </c>
      <c r="Q462" s="10">
        <f t="shared" si="161"/>
        <v>21</v>
      </c>
      <c r="R462" s="7" t="str">
        <f t="shared" si="162"/>
        <v>Music</v>
      </c>
      <c r="S462" s="7" t="str">
        <f t="shared" si="163"/>
        <v>Carol</v>
      </c>
      <c r="T462" s="7" t="str">
        <f t="shared" si="164"/>
        <v>20171010</v>
      </c>
      <c r="U462" s="7">
        <f t="shared" si="165"/>
        <v>951</v>
      </c>
      <c r="V462" s="8">
        <f t="shared" si="166"/>
        <v>43018</v>
      </c>
    </row>
    <row r="463" spans="1:22">
      <c r="A463" s="3">
        <f t="shared" si="147"/>
        <v>461</v>
      </c>
      <c r="B463" t="s">
        <v>467</v>
      </c>
      <c r="C463">
        <f t="shared" si="148"/>
        <v>29</v>
      </c>
      <c r="D463" t="str">
        <f t="shared" si="149"/>
        <v xml:space="preserve">//PR:Music____SP:David20171016 $1330 </v>
      </c>
      <c r="E463">
        <f t="shared" si="150"/>
        <v>32</v>
      </c>
      <c r="F463" t="str">
        <f t="shared" si="151"/>
        <v xml:space="preserve">//PR:Music____SP:David20171016 $1330 </v>
      </c>
      <c r="G463" t="str">
        <f t="shared" si="152"/>
        <v xml:space="preserve">PR:Music____SP:David20171016 $1330 </v>
      </c>
      <c r="H463" t="str">
        <f t="shared" si="153"/>
        <v xml:space="preserve">PR:Music    SP:David20171016 $1330 </v>
      </c>
      <c r="I463" t="str">
        <f t="shared" si="154"/>
        <v>PR:Music SP:David20171016 $1330</v>
      </c>
      <c r="J463">
        <f t="shared" si="155"/>
        <v>31</v>
      </c>
      <c r="K463">
        <f t="shared" si="156"/>
        <v>48</v>
      </c>
      <c r="L463" t="str">
        <f t="shared" si="157"/>
        <v>Music SP:David20171016 $1330</v>
      </c>
      <c r="M463" t="str">
        <f t="shared" si="158"/>
        <v>Music David20171016 $1330</v>
      </c>
      <c r="N463" s="1" t="str">
        <f t="shared" si="159"/>
        <v>Music David 20171016 $1330</v>
      </c>
      <c r="O463" s="9">
        <f t="shared" si="167"/>
        <v>6</v>
      </c>
      <c r="P463" s="9">
        <f t="shared" si="160"/>
        <v>12</v>
      </c>
      <c r="Q463" s="10">
        <f t="shared" si="161"/>
        <v>21</v>
      </c>
      <c r="R463" s="7" t="str">
        <f t="shared" si="162"/>
        <v>Music</v>
      </c>
      <c r="S463" s="7" t="str">
        <f t="shared" si="163"/>
        <v>David</v>
      </c>
      <c r="T463" s="7" t="str">
        <f t="shared" si="164"/>
        <v>20171016</v>
      </c>
      <c r="U463" s="7">
        <f t="shared" si="165"/>
        <v>1330</v>
      </c>
      <c r="V463" s="8">
        <f t="shared" si="166"/>
        <v>43024</v>
      </c>
    </row>
    <row r="464" spans="1:22">
      <c r="A464" s="3">
        <f t="shared" si="147"/>
        <v>462</v>
      </c>
      <c r="B464" t="s">
        <v>468</v>
      </c>
      <c r="C464">
        <f t="shared" si="148"/>
        <v>29</v>
      </c>
      <c r="D464" t="str">
        <f t="shared" si="149"/>
        <v xml:space="preserve">//PR:Games_SP:Carol20171017     $2487    </v>
      </c>
      <c r="E464">
        <f t="shared" si="150"/>
        <v>32</v>
      </c>
      <c r="F464" t="str">
        <f t="shared" si="151"/>
        <v xml:space="preserve">//PR:Games_SP:Carol20171017     $2487    </v>
      </c>
      <c r="G464" t="str">
        <f t="shared" si="152"/>
        <v xml:space="preserve">PR:Games_SP:Carol20171017     $2487    </v>
      </c>
      <c r="H464" t="str">
        <f t="shared" si="153"/>
        <v xml:space="preserve">PR:Games SP:Carol20171017     $2487    </v>
      </c>
      <c r="I464" t="str">
        <f t="shared" si="154"/>
        <v>PR:Games SP:Carol20171017 $2487</v>
      </c>
      <c r="J464">
        <f t="shared" si="155"/>
        <v>31</v>
      </c>
      <c r="K464">
        <f t="shared" si="156"/>
        <v>55</v>
      </c>
      <c r="L464" t="str">
        <f t="shared" si="157"/>
        <v>Games SP:Carol20171017 $2487</v>
      </c>
      <c r="M464" t="str">
        <f t="shared" si="158"/>
        <v>Games Carol20171017 $2487</v>
      </c>
      <c r="N464" s="1" t="str">
        <f t="shared" si="159"/>
        <v>Games Carol 20171017 $2487</v>
      </c>
      <c r="O464" s="9">
        <f t="shared" si="167"/>
        <v>6</v>
      </c>
      <c r="P464" s="9">
        <f t="shared" si="160"/>
        <v>12</v>
      </c>
      <c r="Q464" s="10">
        <f t="shared" si="161"/>
        <v>21</v>
      </c>
      <c r="R464" s="7" t="str">
        <f t="shared" si="162"/>
        <v>Games</v>
      </c>
      <c r="S464" s="7" t="str">
        <f t="shared" si="163"/>
        <v>Carol</v>
      </c>
      <c r="T464" s="7" t="str">
        <f t="shared" si="164"/>
        <v>20171017</v>
      </c>
      <c r="U464" s="7">
        <f t="shared" si="165"/>
        <v>2487</v>
      </c>
      <c r="V464" s="8">
        <f t="shared" si="166"/>
        <v>43025</v>
      </c>
    </row>
    <row r="465" spans="1:22">
      <c r="A465" s="3">
        <f t="shared" si="147"/>
        <v>463</v>
      </c>
      <c r="B465" t="s">
        <v>469</v>
      </c>
      <c r="C465">
        <f t="shared" si="148"/>
        <v>30</v>
      </c>
      <c r="D465" t="str">
        <f t="shared" si="149"/>
        <v xml:space="preserve">/PR:Music___SP:Carol20171029   $1464   </v>
      </c>
      <c r="E465">
        <f t="shared" si="150"/>
        <v>32</v>
      </c>
      <c r="F465" t="str">
        <f t="shared" si="151"/>
        <v xml:space="preserve">/PR:Music___SP:Carol20171029   $1464   </v>
      </c>
      <c r="G465" t="str">
        <f t="shared" si="152"/>
        <v xml:space="preserve">PR:Music___SP:Carol20171029   $1464   </v>
      </c>
      <c r="H465" t="str">
        <f t="shared" si="153"/>
        <v xml:space="preserve">PR:Music   SP:Carol20171029   $1464   </v>
      </c>
      <c r="I465" t="str">
        <f t="shared" si="154"/>
        <v>PR:Music SP:Carol20171029 $1464</v>
      </c>
      <c r="J465">
        <f t="shared" si="155"/>
        <v>31</v>
      </c>
      <c r="K465">
        <f t="shared" si="156"/>
        <v>52</v>
      </c>
      <c r="L465" t="str">
        <f t="shared" si="157"/>
        <v>Music SP:Carol20171029 $1464</v>
      </c>
      <c r="M465" t="str">
        <f t="shared" si="158"/>
        <v>Music Carol20171029 $1464</v>
      </c>
      <c r="N465" s="1" t="str">
        <f t="shared" si="159"/>
        <v>Music Carol 20171029 $1464</v>
      </c>
      <c r="O465" s="9">
        <f t="shared" si="167"/>
        <v>6</v>
      </c>
      <c r="P465" s="9">
        <f t="shared" si="160"/>
        <v>12</v>
      </c>
      <c r="Q465" s="10">
        <f t="shared" si="161"/>
        <v>21</v>
      </c>
      <c r="R465" s="7" t="str">
        <f t="shared" si="162"/>
        <v>Music</v>
      </c>
      <c r="S465" s="7" t="str">
        <f t="shared" si="163"/>
        <v>Carol</v>
      </c>
      <c r="T465" s="7" t="str">
        <f t="shared" si="164"/>
        <v>20171029</v>
      </c>
      <c r="U465" s="7">
        <f t="shared" si="165"/>
        <v>1464</v>
      </c>
      <c r="V465" s="8">
        <f t="shared" si="166"/>
        <v>43037</v>
      </c>
    </row>
    <row r="466" spans="1:22">
      <c r="A466" s="3">
        <f t="shared" si="147"/>
        <v>464</v>
      </c>
      <c r="B466" t="s">
        <v>470</v>
      </c>
      <c r="C466">
        <f t="shared" si="148"/>
        <v>29</v>
      </c>
      <c r="D466" t="str">
        <f t="shared" si="149"/>
        <v xml:space="preserve">///PR:Books____SP:David2017101  $0   </v>
      </c>
      <c r="E466">
        <f t="shared" si="150"/>
        <v>32</v>
      </c>
      <c r="F466" t="str">
        <f t="shared" si="151"/>
        <v xml:space="preserve">///PR:Books____SP:David2017101  $0   </v>
      </c>
      <c r="G466" t="str">
        <f t="shared" si="152"/>
        <v xml:space="preserve">PR:Books____SP:David2017101  $0   </v>
      </c>
      <c r="H466" t="str">
        <f t="shared" si="153"/>
        <v xml:space="preserve">PR:Books    SP:David2017101  $0   </v>
      </c>
      <c r="I466" t="str">
        <f t="shared" si="154"/>
        <v>PR:Books SP:David2017101 $0</v>
      </c>
      <c r="J466">
        <f t="shared" si="155"/>
        <v>27</v>
      </c>
      <c r="K466">
        <f t="shared" si="156"/>
        <v>48</v>
      </c>
      <c r="L466" t="str">
        <f t="shared" si="157"/>
        <v>Books SP:David2017101 $0</v>
      </c>
      <c r="M466" t="str">
        <f t="shared" si="158"/>
        <v>Books David2017101 $0</v>
      </c>
      <c r="N466" s="1" t="str">
        <f t="shared" si="159"/>
        <v>Books David 2017101 $0</v>
      </c>
      <c r="O466" s="9">
        <f t="shared" si="167"/>
        <v>6</v>
      </c>
      <c r="P466" s="9">
        <f t="shared" si="160"/>
        <v>12</v>
      </c>
      <c r="Q466" s="10">
        <f t="shared" si="161"/>
        <v>20</v>
      </c>
      <c r="R466" s="7" t="str">
        <f t="shared" si="162"/>
        <v>Books</v>
      </c>
      <c r="S466" s="7" t="str">
        <f t="shared" si="163"/>
        <v>David</v>
      </c>
      <c r="T466" s="7" t="str">
        <f t="shared" si="164"/>
        <v>2017101</v>
      </c>
      <c r="U466" s="7">
        <f t="shared" si="165"/>
        <v>0</v>
      </c>
      <c r="V466" s="8">
        <f t="shared" si="166"/>
        <v>43009</v>
      </c>
    </row>
    <row r="467" spans="1:22">
      <c r="A467" s="3">
        <f t="shared" si="147"/>
        <v>465</v>
      </c>
      <c r="B467" t="s">
        <v>471</v>
      </c>
      <c r="C467">
        <f t="shared" si="148"/>
        <v>29</v>
      </c>
      <c r="D467" t="str">
        <f t="shared" si="149"/>
        <v xml:space="preserve">/PR:Games_____SP:Alice20171013 $1045 </v>
      </c>
      <c r="E467">
        <f t="shared" si="150"/>
        <v>32</v>
      </c>
      <c r="F467" t="str">
        <f t="shared" si="151"/>
        <v xml:space="preserve">/PR:Games_____SP:Alice20171013 $1045 </v>
      </c>
      <c r="G467" t="str">
        <f t="shared" si="152"/>
        <v xml:space="preserve">PR:Games_____SP:Alice20171013 $1045 </v>
      </c>
      <c r="H467" t="str">
        <f t="shared" si="153"/>
        <v xml:space="preserve">PR:Games     SP:Alice20171013 $1045 </v>
      </c>
      <c r="I467" t="str">
        <f t="shared" si="154"/>
        <v>PR:Games SP:Alice20171013 $1045</v>
      </c>
      <c r="J467">
        <f t="shared" si="155"/>
        <v>31</v>
      </c>
      <c r="K467">
        <f t="shared" si="156"/>
        <v>53</v>
      </c>
      <c r="L467" t="str">
        <f t="shared" si="157"/>
        <v>Games SP:Alice20171013 $1045</v>
      </c>
      <c r="M467" t="str">
        <f t="shared" si="158"/>
        <v>Games Alice20171013 $1045</v>
      </c>
      <c r="N467" s="1" t="str">
        <f t="shared" si="159"/>
        <v>Games Alice 20171013 $1045</v>
      </c>
      <c r="O467" s="9">
        <f t="shared" si="167"/>
        <v>6</v>
      </c>
      <c r="P467" s="9">
        <f t="shared" si="160"/>
        <v>12</v>
      </c>
      <c r="Q467" s="10">
        <f t="shared" si="161"/>
        <v>21</v>
      </c>
      <c r="R467" s="7" t="str">
        <f t="shared" si="162"/>
        <v>Games</v>
      </c>
      <c r="S467" s="7" t="str">
        <f t="shared" si="163"/>
        <v>Alice</v>
      </c>
      <c r="T467" s="7" t="str">
        <f t="shared" si="164"/>
        <v>20171013</v>
      </c>
      <c r="U467" s="7">
        <f t="shared" si="165"/>
        <v>1045</v>
      </c>
      <c r="V467" s="8">
        <f t="shared" si="166"/>
        <v>43021</v>
      </c>
    </row>
    <row r="468" spans="1:22">
      <c r="A468" s="3">
        <f t="shared" si="147"/>
        <v>466</v>
      </c>
      <c r="B468" t="s">
        <v>472</v>
      </c>
      <c r="C468">
        <f t="shared" si="148"/>
        <v>30</v>
      </c>
      <c r="D468" t="str">
        <f t="shared" si="149"/>
        <v xml:space="preserve">////PR:Games_____SP:Alice20171015 $0   </v>
      </c>
      <c r="E468">
        <f t="shared" si="150"/>
        <v>32</v>
      </c>
      <c r="F468" t="str">
        <f t="shared" si="151"/>
        <v xml:space="preserve">////PR:Games_____SP:Alice20171015 $0   </v>
      </c>
      <c r="G468" t="str">
        <f t="shared" si="152"/>
        <v xml:space="preserve">PR:Games_____SP:Alice20171015 $0   </v>
      </c>
      <c r="H468" t="str">
        <f t="shared" si="153"/>
        <v xml:space="preserve">PR:Games     SP:Alice20171015 $0   </v>
      </c>
      <c r="I468" t="str">
        <f t="shared" si="154"/>
        <v>PR:Games SP:Alice20171015 $0</v>
      </c>
      <c r="J468">
        <f t="shared" si="155"/>
        <v>28</v>
      </c>
      <c r="K468">
        <f t="shared" si="156"/>
        <v>48</v>
      </c>
      <c r="L468" t="str">
        <f t="shared" si="157"/>
        <v>Games SP:Alice20171015 $0</v>
      </c>
      <c r="M468" t="str">
        <f t="shared" si="158"/>
        <v>Games Alice20171015 $0</v>
      </c>
      <c r="N468" s="1" t="str">
        <f t="shared" si="159"/>
        <v>Games Alice 20171015 $0</v>
      </c>
      <c r="O468" s="9">
        <f t="shared" si="167"/>
        <v>6</v>
      </c>
      <c r="P468" s="9">
        <f t="shared" si="160"/>
        <v>12</v>
      </c>
      <c r="Q468" s="10">
        <f t="shared" si="161"/>
        <v>21</v>
      </c>
      <c r="R468" s="7" t="str">
        <f t="shared" si="162"/>
        <v>Games</v>
      </c>
      <c r="S468" s="7" t="str">
        <f t="shared" si="163"/>
        <v>Alice</v>
      </c>
      <c r="T468" s="7" t="str">
        <f t="shared" si="164"/>
        <v>20171015</v>
      </c>
      <c r="U468" s="7">
        <f t="shared" si="165"/>
        <v>0</v>
      </c>
      <c r="V468" s="8">
        <f t="shared" si="166"/>
        <v>43023</v>
      </c>
    </row>
    <row r="469" spans="1:22">
      <c r="A469" s="3">
        <f t="shared" si="147"/>
        <v>467</v>
      </c>
      <c r="B469" t="s">
        <v>473</v>
      </c>
      <c r="C469">
        <f t="shared" si="148"/>
        <v>31</v>
      </c>
      <c r="D469" t="str">
        <f t="shared" si="149"/>
        <v xml:space="preserve">/////PR:Books___SP:Alice2017107 $0  </v>
      </c>
      <c r="E469">
        <f t="shared" si="150"/>
        <v>32</v>
      </c>
      <c r="F469" t="str">
        <f t="shared" si="151"/>
        <v xml:space="preserve">/////PR:Books___SP:Alice2017107 $0  </v>
      </c>
      <c r="G469" t="str">
        <f t="shared" si="152"/>
        <v xml:space="preserve">PR:Books___SP:Alice2017107 $0  </v>
      </c>
      <c r="H469" t="str">
        <f t="shared" si="153"/>
        <v xml:space="preserve">PR:Books   SP:Alice2017107 $0  </v>
      </c>
      <c r="I469" t="str">
        <f t="shared" si="154"/>
        <v>PR:Books SP:Alice2017107 $0</v>
      </c>
      <c r="J469">
        <f t="shared" si="155"/>
        <v>27</v>
      </c>
      <c r="K469">
        <f t="shared" si="156"/>
        <v>48</v>
      </c>
      <c r="L469" t="str">
        <f t="shared" si="157"/>
        <v>Books SP:Alice2017107 $0</v>
      </c>
      <c r="M469" t="str">
        <f t="shared" si="158"/>
        <v>Books Alice2017107 $0</v>
      </c>
      <c r="N469" s="1" t="str">
        <f t="shared" si="159"/>
        <v>Books Alice 2017107 $0</v>
      </c>
      <c r="O469" s="9">
        <f t="shared" si="167"/>
        <v>6</v>
      </c>
      <c r="P469" s="9">
        <f t="shared" si="160"/>
        <v>12</v>
      </c>
      <c r="Q469" s="10">
        <f t="shared" si="161"/>
        <v>20</v>
      </c>
      <c r="R469" s="7" t="str">
        <f t="shared" si="162"/>
        <v>Books</v>
      </c>
      <c r="S469" s="7" t="str">
        <f t="shared" si="163"/>
        <v>Alice</v>
      </c>
      <c r="T469" s="7" t="str">
        <f t="shared" si="164"/>
        <v>2017107</v>
      </c>
      <c r="U469" s="7">
        <f t="shared" si="165"/>
        <v>0</v>
      </c>
      <c r="V469" s="8">
        <f t="shared" si="166"/>
        <v>43015</v>
      </c>
    </row>
    <row r="470" spans="1:22">
      <c r="A470" s="3">
        <f t="shared" si="147"/>
        <v>468</v>
      </c>
      <c r="B470" t="s">
        <v>474</v>
      </c>
      <c r="C470">
        <f t="shared" si="148"/>
        <v>28</v>
      </c>
      <c r="D470" t="str">
        <f t="shared" si="149"/>
        <v xml:space="preserve">//PR:Clothing__SP:David20171022  $0   </v>
      </c>
      <c r="E470">
        <f t="shared" si="150"/>
        <v>32</v>
      </c>
      <c r="F470" t="str">
        <f t="shared" si="151"/>
        <v xml:space="preserve">//PR:Clothing__SP:David20171022  $0   </v>
      </c>
      <c r="G470" t="str">
        <f t="shared" si="152"/>
        <v xml:space="preserve">PR:Clothing__SP:David20171022  $0   </v>
      </c>
      <c r="H470" t="str">
        <f t="shared" si="153"/>
        <v xml:space="preserve">PR:Clothing  SP:David20171022  $0   </v>
      </c>
      <c r="I470" t="str">
        <f t="shared" si="154"/>
        <v>PR:Clothing SP:David20171022 $0</v>
      </c>
      <c r="J470">
        <f t="shared" si="155"/>
        <v>31</v>
      </c>
      <c r="K470">
        <f t="shared" si="156"/>
        <v>48</v>
      </c>
      <c r="L470" t="str">
        <f t="shared" si="157"/>
        <v>Clothing SP:David20171022 $0</v>
      </c>
      <c r="M470" t="str">
        <f t="shared" si="158"/>
        <v>Clothing David20171022 $0</v>
      </c>
      <c r="N470" s="1" t="str">
        <f t="shared" si="159"/>
        <v>Clothing David 20171022 $0</v>
      </c>
      <c r="O470" s="9">
        <f t="shared" si="167"/>
        <v>9</v>
      </c>
      <c r="P470" s="9">
        <f t="shared" si="160"/>
        <v>15</v>
      </c>
      <c r="Q470" s="10">
        <f t="shared" si="161"/>
        <v>24</v>
      </c>
      <c r="R470" s="7" t="str">
        <f t="shared" si="162"/>
        <v>Clothing</v>
      </c>
      <c r="S470" s="7" t="str">
        <f t="shared" si="163"/>
        <v>David</v>
      </c>
      <c r="T470" s="7" t="str">
        <f t="shared" si="164"/>
        <v>20171022</v>
      </c>
      <c r="U470" s="7">
        <f t="shared" si="165"/>
        <v>0</v>
      </c>
      <c r="V470" s="8">
        <f t="shared" si="166"/>
        <v>43030</v>
      </c>
    </row>
    <row r="471" spans="1:22">
      <c r="A471" s="3">
        <f t="shared" si="147"/>
        <v>469</v>
      </c>
      <c r="B471" t="s">
        <v>475</v>
      </c>
      <c r="C471">
        <f t="shared" si="148"/>
        <v>30</v>
      </c>
      <c r="D471" t="str">
        <f t="shared" si="149"/>
        <v xml:space="preserve">/PR:Games___SP:Alice2017102    $0     </v>
      </c>
      <c r="E471">
        <f t="shared" si="150"/>
        <v>32</v>
      </c>
      <c r="F471" t="str">
        <f t="shared" si="151"/>
        <v xml:space="preserve">/PR:Games___SP:Alice2017102    $0     </v>
      </c>
      <c r="G471" t="str">
        <f t="shared" si="152"/>
        <v xml:space="preserve">PR:Games___SP:Alice2017102    $0     </v>
      </c>
      <c r="H471" t="str">
        <f t="shared" si="153"/>
        <v xml:space="preserve">PR:Games   SP:Alice2017102    $0     </v>
      </c>
      <c r="I471" t="str">
        <f t="shared" si="154"/>
        <v>PR:Games SP:Alice2017102 $0</v>
      </c>
      <c r="J471">
        <f t="shared" si="155"/>
        <v>27</v>
      </c>
      <c r="K471">
        <f t="shared" si="156"/>
        <v>48</v>
      </c>
      <c r="L471" t="str">
        <f t="shared" si="157"/>
        <v>Games SP:Alice2017102 $0</v>
      </c>
      <c r="M471" t="str">
        <f t="shared" si="158"/>
        <v>Games Alice2017102 $0</v>
      </c>
      <c r="N471" s="1" t="str">
        <f t="shared" si="159"/>
        <v>Games Alice 2017102 $0</v>
      </c>
      <c r="O471" s="9">
        <f t="shared" si="167"/>
        <v>6</v>
      </c>
      <c r="P471" s="9">
        <f t="shared" si="160"/>
        <v>12</v>
      </c>
      <c r="Q471" s="10">
        <f t="shared" si="161"/>
        <v>20</v>
      </c>
      <c r="R471" s="7" t="str">
        <f t="shared" si="162"/>
        <v>Games</v>
      </c>
      <c r="S471" s="7" t="str">
        <f t="shared" si="163"/>
        <v>Alice</v>
      </c>
      <c r="T471" s="7" t="str">
        <f t="shared" si="164"/>
        <v>2017102</v>
      </c>
      <c r="U471" s="7">
        <f t="shared" si="165"/>
        <v>0</v>
      </c>
      <c r="V471" s="8">
        <f t="shared" si="166"/>
        <v>43010</v>
      </c>
    </row>
    <row r="472" spans="1:22">
      <c r="A472" s="3">
        <f t="shared" si="147"/>
        <v>470</v>
      </c>
      <c r="B472" t="s">
        <v>476</v>
      </c>
      <c r="C472">
        <f t="shared" si="148"/>
        <v>31</v>
      </c>
      <c r="D472" t="str">
        <f t="shared" si="149"/>
        <v xml:space="preserve">/PR:Clothing___SP:Alice20171028 $1021     </v>
      </c>
      <c r="E472">
        <f t="shared" si="150"/>
        <v>32</v>
      </c>
      <c r="F472" t="str">
        <f t="shared" si="151"/>
        <v xml:space="preserve">/PR:Clothing___SP:Alice20171028 $1021     </v>
      </c>
      <c r="G472" t="str">
        <f t="shared" si="152"/>
        <v xml:space="preserve">PR:Clothing___SP:Alice20171028 $1021     </v>
      </c>
      <c r="H472" t="str">
        <f t="shared" si="153"/>
        <v xml:space="preserve">PR:Clothing   SP:Alice20171028 $1021     </v>
      </c>
      <c r="I472" t="str">
        <f t="shared" si="154"/>
        <v>PR:Clothing SP:Alice20171028 $1021</v>
      </c>
      <c r="J472">
        <f t="shared" si="155"/>
        <v>34</v>
      </c>
      <c r="K472">
        <f t="shared" si="156"/>
        <v>49</v>
      </c>
      <c r="L472" t="str">
        <f t="shared" si="157"/>
        <v>Clothing SP:Alice20171028 $1021</v>
      </c>
      <c r="M472" t="str">
        <f t="shared" si="158"/>
        <v>Clothing Alice20171028 $1021</v>
      </c>
      <c r="N472" s="1" t="str">
        <f t="shared" si="159"/>
        <v>Clothing Alice 20171028 $1021</v>
      </c>
      <c r="O472" s="9">
        <f t="shared" si="167"/>
        <v>9</v>
      </c>
      <c r="P472" s="9">
        <f t="shared" si="160"/>
        <v>15</v>
      </c>
      <c r="Q472" s="10">
        <f t="shared" si="161"/>
        <v>24</v>
      </c>
      <c r="R472" s="7" t="str">
        <f t="shared" si="162"/>
        <v>Clothing</v>
      </c>
      <c r="S472" s="7" t="str">
        <f t="shared" si="163"/>
        <v>Alice</v>
      </c>
      <c r="T472" s="7" t="str">
        <f t="shared" si="164"/>
        <v>20171028</v>
      </c>
      <c r="U472" s="7">
        <f t="shared" si="165"/>
        <v>1021</v>
      </c>
      <c r="V472" s="8">
        <f t="shared" si="166"/>
        <v>43036</v>
      </c>
    </row>
    <row r="473" spans="1:22">
      <c r="A473" s="3">
        <f t="shared" si="147"/>
        <v>471</v>
      </c>
      <c r="B473" t="s">
        <v>477</v>
      </c>
      <c r="C473">
        <f t="shared" si="148"/>
        <v>31</v>
      </c>
      <c r="D473" t="str">
        <f t="shared" si="149"/>
        <v xml:space="preserve">/PR:Games____SP:Alice20171028   $1887    </v>
      </c>
      <c r="E473">
        <f t="shared" si="150"/>
        <v>32</v>
      </c>
      <c r="F473" t="str">
        <f t="shared" si="151"/>
        <v xml:space="preserve">/PR:Games____SP:Alice20171028   $1887    </v>
      </c>
      <c r="G473" t="str">
        <f t="shared" si="152"/>
        <v xml:space="preserve">PR:Games____SP:Alice20171028   $1887    </v>
      </c>
      <c r="H473" t="str">
        <f t="shared" si="153"/>
        <v xml:space="preserve">PR:Games    SP:Alice20171028   $1887    </v>
      </c>
      <c r="I473" t="str">
        <f t="shared" si="154"/>
        <v>PR:Games SP:Alice20171028 $1887</v>
      </c>
      <c r="J473">
        <f t="shared" si="155"/>
        <v>31</v>
      </c>
      <c r="K473">
        <f t="shared" si="156"/>
        <v>55</v>
      </c>
      <c r="L473" t="str">
        <f t="shared" si="157"/>
        <v>Games SP:Alice20171028 $1887</v>
      </c>
      <c r="M473" t="str">
        <f t="shared" si="158"/>
        <v>Games Alice20171028 $1887</v>
      </c>
      <c r="N473" s="1" t="str">
        <f t="shared" si="159"/>
        <v>Games Alice 20171028 $1887</v>
      </c>
      <c r="O473" s="9">
        <f t="shared" si="167"/>
        <v>6</v>
      </c>
      <c r="P473" s="9">
        <f t="shared" si="160"/>
        <v>12</v>
      </c>
      <c r="Q473" s="10">
        <f t="shared" si="161"/>
        <v>21</v>
      </c>
      <c r="R473" s="7" t="str">
        <f t="shared" si="162"/>
        <v>Games</v>
      </c>
      <c r="S473" s="7" t="str">
        <f t="shared" si="163"/>
        <v>Alice</v>
      </c>
      <c r="T473" s="7" t="str">
        <f t="shared" si="164"/>
        <v>20171028</v>
      </c>
      <c r="U473" s="7">
        <f t="shared" si="165"/>
        <v>1887</v>
      </c>
      <c r="V473" s="8">
        <f t="shared" si="166"/>
        <v>43036</v>
      </c>
    </row>
    <row r="474" spans="1:22">
      <c r="A474" s="3">
        <f t="shared" si="147"/>
        <v>472</v>
      </c>
      <c r="B474" t="s">
        <v>478</v>
      </c>
      <c r="C474">
        <f t="shared" si="148"/>
        <v>30</v>
      </c>
      <c r="D474" t="str">
        <f t="shared" si="149"/>
        <v xml:space="preserve">/PR:Games___SP:Barney20171012    $1700  </v>
      </c>
      <c r="E474">
        <f t="shared" si="150"/>
        <v>32</v>
      </c>
      <c r="F474" t="str">
        <f t="shared" si="151"/>
        <v xml:space="preserve">/PR:Games___SP:Barney20171012    $1700  </v>
      </c>
      <c r="G474" t="str">
        <f t="shared" si="152"/>
        <v xml:space="preserve">PR:Games___SP:Barney20171012    $1700  </v>
      </c>
      <c r="H474" t="str">
        <f t="shared" si="153"/>
        <v xml:space="preserve">PR:Games   SP:Barney20171012    $1700  </v>
      </c>
      <c r="I474" t="str">
        <f t="shared" si="154"/>
        <v>PR:Games SP:Barney20171012 $1700</v>
      </c>
      <c r="J474">
        <f t="shared" si="155"/>
        <v>32</v>
      </c>
      <c r="K474">
        <f t="shared" si="156"/>
        <v>48</v>
      </c>
      <c r="L474" t="str">
        <f t="shared" si="157"/>
        <v>Games SP:Barney20171012 $1700</v>
      </c>
      <c r="M474" t="str">
        <f t="shared" si="158"/>
        <v>Games Barney20171012 $1700</v>
      </c>
      <c r="N474" s="1" t="str">
        <f t="shared" si="159"/>
        <v>Games Barney 20171012 $1700</v>
      </c>
      <c r="O474" s="9">
        <f t="shared" si="167"/>
        <v>6</v>
      </c>
      <c r="P474" s="9">
        <f t="shared" si="160"/>
        <v>13</v>
      </c>
      <c r="Q474" s="10">
        <f t="shared" si="161"/>
        <v>22</v>
      </c>
      <c r="R474" s="7" t="str">
        <f t="shared" si="162"/>
        <v>Games</v>
      </c>
      <c r="S474" s="7" t="str">
        <f t="shared" si="163"/>
        <v>Barney</v>
      </c>
      <c r="T474" s="7" t="str">
        <f t="shared" si="164"/>
        <v>20171012</v>
      </c>
      <c r="U474" s="7">
        <f t="shared" si="165"/>
        <v>1700</v>
      </c>
      <c r="V474" s="8">
        <f t="shared" si="166"/>
        <v>43020</v>
      </c>
    </row>
    <row r="475" spans="1:22">
      <c r="A475" s="3">
        <f t="shared" si="147"/>
        <v>473</v>
      </c>
      <c r="B475" t="s">
        <v>479</v>
      </c>
      <c r="C475">
        <f t="shared" si="148"/>
        <v>28</v>
      </c>
      <c r="D475" t="str">
        <f t="shared" si="149"/>
        <v xml:space="preserve">////PR:Music_____SP:Barney20171011     $1382    </v>
      </c>
      <c r="E475">
        <f t="shared" si="150"/>
        <v>32</v>
      </c>
      <c r="F475" t="str">
        <f t="shared" si="151"/>
        <v xml:space="preserve">////PR:Music_____SP:Barney20171011     $1382    </v>
      </c>
      <c r="G475" t="str">
        <f t="shared" si="152"/>
        <v xml:space="preserve">PR:Music_____SP:Barney20171011     $1382    </v>
      </c>
      <c r="H475" t="str">
        <f t="shared" si="153"/>
        <v xml:space="preserve">PR:Music     SP:Barney20171011     $1382    </v>
      </c>
      <c r="I475" t="str">
        <f t="shared" si="154"/>
        <v>PR:Music SP:Barney20171011 $1382</v>
      </c>
      <c r="J475">
        <f t="shared" si="155"/>
        <v>32</v>
      </c>
      <c r="K475">
        <f t="shared" si="156"/>
        <v>50</v>
      </c>
      <c r="L475" t="str">
        <f t="shared" si="157"/>
        <v>Music SP:Barney20171011 $1382</v>
      </c>
      <c r="M475" t="str">
        <f t="shared" si="158"/>
        <v>Music Barney20171011 $1382</v>
      </c>
      <c r="N475" s="1" t="str">
        <f t="shared" si="159"/>
        <v>Music Barney 20171011 $1382</v>
      </c>
      <c r="O475" s="9">
        <f t="shared" si="167"/>
        <v>6</v>
      </c>
      <c r="P475" s="9">
        <f t="shared" si="160"/>
        <v>13</v>
      </c>
      <c r="Q475" s="10">
        <f t="shared" si="161"/>
        <v>22</v>
      </c>
      <c r="R475" s="7" t="str">
        <f t="shared" si="162"/>
        <v>Music</v>
      </c>
      <c r="S475" s="7" t="str">
        <f t="shared" si="163"/>
        <v>Barney</v>
      </c>
      <c r="T475" s="7" t="str">
        <f t="shared" si="164"/>
        <v>20171011</v>
      </c>
      <c r="U475" s="7">
        <f t="shared" si="165"/>
        <v>1382</v>
      </c>
      <c r="V475" s="8">
        <f t="shared" si="166"/>
        <v>43019</v>
      </c>
    </row>
    <row r="476" spans="1:22">
      <c r="A476" s="3">
        <f t="shared" si="147"/>
        <v>474</v>
      </c>
      <c r="B476" t="s">
        <v>480</v>
      </c>
      <c r="C476">
        <f t="shared" si="148"/>
        <v>30</v>
      </c>
      <c r="D476" t="str">
        <f t="shared" si="149"/>
        <v xml:space="preserve">/////PR:Books_SP:Barney20171021  $808    </v>
      </c>
      <c r="E476">
        <f t="shared" si="150"/>
        <v>32</v>
      </c>
      <c r="F476" t="str">
        <f t="shared" si="151"/>
        <v xml:space="preserve">/////PR:Books_SP:Barney20171021  $808    </v>
      </c>
      <c r="G476" t="str">
        <f t="shared" si="152"/>
        <v xml:space="preserve">PR:Books_SP:Barney20171021  $808    </v>
      </c>
      <c r="H476" t="str">
        <f t="shared" si="153"/>
        <v xml:space="preserve">PR:Books SP:Barney20171021  $808    </v>
      </c>
      <c r="I476" t="str">
        <f t="shared" si="154"/>
        <v>PR:Books SP:Barney20171021 $808</v>
      </c>
      <c r="J476">
        <f t="shared" si="155"/>
        <v>31</v>
      </c>
      <c r="K476">
        <f t="shared" si="156"/>
        <v>56</v>
      </c>
      <c r="L476" t="str">
        <f t="shared" si="157"/>
        <v>Books SP:Barney20171021 $808</v>
      </c>
      <c r="M476" t="str">
        <f t="shared" si="158"/>
        <v>Books Barney20171021 $808</v>
      </c>
      <c r="N476" s="1" t="str">
        <f t="shared" si="159"/>
        <v>Books Barney 20171021 $808</v>
      </c>
      <c r="O476" s="9">
        <f t="shared" si="167"/>
        <v>6</v>
      </c>
      <c r="P476" s="9">
        <f t="shared" si="160"/>
        <v>13</v>
      </c>
      <c r="Q476" s="10">
        <f t="shared" si="161"/>
        <v>22</v>
      </c>
      <c r="R476" s="7" t="str">
        <f t="shared" si="162"/>
        <v>Books</v>
      </c>
      <c r="S476" s="7" t="str">
        <f t="shared" si="163"/>
        <v>Barney</v>
      </c>
      <c r="T476" s="7" t="str">
        <f t="shared" si="164"/>
        <v>20171021</v>
      </c>
      <c r="U476" s="7">
        <f t="shared" si="165"/>
        <v>808</v>
      </c>
      <c r="V476" s="8">
        <f t="shared" si="166"/>
        <v>43029</v>
      </c>
    </row>
    <row r="477" spans="1:22">
      <c r="A477" s="3">
        <f t="shared" si="147"/>
        <v>475</v>
      </c>
      <c r="B477" t="s">
        <v>481</v>
      </c>
      <c r="C477">
        <f t="shared" si="148"/>
        <v>31</v>
      </c>
      <c r="D477" t="str">
        <f t="shared" si="149"/>
        <v xml:space="preserve">///PR:Music____SP:David20171019     $0     </v>
      </c>
      <c r="E477">
        <f t="shared" si="150"/>
        <v>32</v>
      </c>
      <c r="F477" t="str">
        <f t="shared" si="151"/>
        <v xml:space="preserve">///PR:Music____SP:David20171019     $0     </v>
      </c>
      <c r="G477" t="str">
        <f t="shared" si="152"/>
        <v xml:space="preserve">PR:Music____SP:David20171019     $0     </v>
      </c>
      <c r="H477" t="str">
        <f t="shared" si="153"/>
        <v xml:space="preserve">PR:Music    SP:David20171019     $0     </v>
      </c>
      <c r="I477" t="str">
        <f t="shared" si="154"/>
        <v>PR:Music SP:David20171019 $0</v>
      </c>
      <c r="J477">
        <f t="shared" si="155"/>
        <v>28</v>
      </c>
      <c r="K477">
        <f t="shared" si="156"/>
        <v>48</v>
      </c>
      <c r="L477" t="str">
        <f t="shared" si="157"/>
        <v>Music SP:David20171019 $0</v>
      </c>
      <c r="M477" t="str">
        <f t="shared" si="158"/>
        <v>Music David20171019 $0</v>
      </c>
      <c r="N477" s="1" t="str">
        <f t="shared" si="159"/>
        <v>Music David 20171019 $0</v>
      </c>
      <c r="O477" s="9">
        <f t="shared" si="167"/>
        <v>6</v>
      </c>
      <c r="P477" s="9">
        <f t="shared" si="160"/>
        <v>12</v>
      </c>
      <c r="Q477" s="10">
        <f t="shared" si="161"/>
        <v>21</v>
      </c>
      <c r="R477" s="7" t="str">
        <f t="shared" si="162"/>
        <v>Music</v>
      </c>
      <c r="S477" s="7" t="str">
        <f t="shared" si="163"/>
        <v>David</v>
      </c>
      <c r="T477" s="7" t="str">
        <f t="shared" si="164"/>
        <v>20171019</v>
      </c>
      <c r="U477" s="7">
        <f t="shared" si="165"/>
        <v>0</v>
      </c>
      <c r="V477" s="8">
        <f t="shared" si="166"/>
        <v>43027</v>
      </c>
    </row>
    <row r="478" spans="1:22">
      <c r="A478" s="3">
        <f t="shared" si="147"/>
        <v>476</v>
      </c>
      <c r="B478" t="s">
        <v>482</v>
      </c>
      <c r="C478">
        <f t="shared" si="148"/>
        <v>29</v>
      </c>
      <c r="D478" t="str">
        <f t="shared" si="149"/>
        <v xml:space="preserve">//PR:Music_SP:Carol20171025 $1496  </v>
      </c>
      <c r="E478">
        <f t="shared" si="150"/>
        <v>32</v>
      </c>
      <c r="F478" t="str">
        <f t="shared" si="151"/>
        <v xml:space="preserve">//PR:Music_SP:Carol20171025 $1496  </v>
      </c>
      <c r="G478" t="str">
        <f t="shared" si="152"/>
        <v xml:space="preserve">PR:Music_SP:Carol20171025 $1496  </v>
      </c>
      <c r="H478" t="str">
        <f t="shared" si="153"/>
        <v xml:space="preserve">PR:Music SP:Carol20171025 $1496  </v>
      </c>
      <c r="I478" t="str">
        <f t="shared" si="154"/>
        <v>PR:Music SP:Carol20171025 $1496</v>
      </c>
      <c r="J478">
        <f t="shared" si="155"/>
        <v>31</v>
      </c>
      <c r="K478">
        <f t="shared" si="156"/>
        <v>54</v>
      </c>
      <c r="L478" t="str">
        <f t="shared" si="157"/>
        <v>Music SP:Carol20171025 $1496</v>
      </c>
      <c r="M478" t="str">
        <f t="shared" si="158"/>
        <v>Music Carol20171025 $1496</v>
      </c>
      <c r="N478" s="1" t="str">
        <f t="shared" si="159"/>
        <v>Music Carol 20171025 $1496</v>
      </c>
      <c r="O478" s="9">
        <f t="shared" si="167"/>
        <v>6</v>
      </c>
      <c r="P478" s="9">
        <f t="shared" si="160"/>
        <v>12</v>
      </c>
      <c r="Q478" s="10">
        <f t="shared" si="161"/>
        <v>21</v>
      </c>
      <c r="R478" s="7" t="str">
        <f t="shared" si="162"/>
        <v>Music</v>
      </c>
      <c r="S478" s="7" t="str">
        <f t="shared" si="163"/>
        <v>Carol</v>
      </c>
      <c r="T478" s="7" t="str">
        <f t="shared" si="164"/>
        <v>20171025</v>
      </c>
      <c r="U478" s="7">
        <f t="shared" si="165"/>
        <v>1496</v>
      </c>
      <c r="V478" s="8">
        <f t="shared" si="166"/>
        <v>43033</v>
      </c>
    </row>
    <row r="479" spans="1:22">
      <c r="A479" s="3">
        <f t="shared" si="147"/>
        <v>477</v>
      </c>
      <c r="B479" t="s">
        <v>483</v>
      </c>
      <c r="C479">
        <f t="shared" si="148"/>
        <v>30</v>
      </c>
      <c r="D479" t="str">
        <f t="shared" si="149"/>
        <v xml:space="preserve">/PR:Clothing___SP:Alice20171011 $1375   </v>
      </c>
      <c r="E479">
        <f t="shared" si="150"/>
        <v>32</v>
      </c>
      <c r="F479" t="str">
        <f t="shared" si="151"/>
        <v xml:space="preserve">/PR:Clothing___SP:Alice20171011 $1375   </v>
      </c>
      <c r="G479" t="str">
        <f t="shared" si="152"/>
        <v xml:space="preserve">PR:Clothing___SP:Alice20171011 $1375   </v>
      </c>
      <c r="H479" t="str">
        <f t="shared" si="153"/>
        <v xml:space="preserve">PR:Clothing   SP:Alice20171011 $1375   </v>
      </c>
      <c r="I479" t="str">
        <f t="shared" si="154"/>
        <v>PR:Clothing SP:Alice20171011 $1375</v>
      </c>
      <c r="J479">
        <f t="shared" si="155"/>
        <v>34</v>
      </c>
      <c r="K479">
        <f t="shared" si="156"/>
        <v>53</v>
      </c>
      <c r="L479" t="str">
        <f t="shared" si="157"/>
        <v>Clothing SP:Alice20171011 $1375</v>
      </c>
      <c r="M479" t="str">
        <f t="shared" si="158"/>
        <v>Clothing Alice20171011 $1375</v>
      </c>
      <c r="N479" s="1" t="str">
        <f t="shared" si="159"/>
        <v>Clothing Alice 20171011 $1375</v>
      </c>
      <c r="O479" s="9">
        <f t="shared" si="167"/>
        <v>9</v>
      </c>
      <c r="P479" s="9">
        <f t="shared" si="160"/>
        <v>15</v>
      </c>
      <c r="Q479" s="10">
        <f t="shared" si="161"/>
        <v>24</v>
      </c>
      <c r="R479" s="7" t="str">
        <f t="shared" si="162"/>
        <v>Clothing</v>
      </c>
      <c r="S479" s="7" t="str">
        <f t="shared" si="163"/>
        <v>Alice</v>
      </c>
      <c r="T479" s="7" t="str">
        <f t="shared" si="164"/>
        <v>20171011</v>
      </c>
      <c r="U479" s="7">
        <f t="shared" si="165"/>
        <v>1375</v>
      </c>
      <c r="V479" s="8">
        <f t="shared" si="166"/>
        <v>43019</v>
      </c>
    </row>
    <row r="480" spans="1:22">
      <c r="A480" s="3">
        <f t="shared" si="147"/>
        <v>478</v>
      </c>
      <c r="B480" t="s">
        <v>484</v>
      </c>
      <c r="C480">
        <f t="shared" si="148"/>
        <v>28</v>
      </c>
      <c r="D480" t="str">
        <f t="shared" si="149"/>
        <v xml:space="preserve">/////PR:Books_SP:Alice2017106   $750   </v>
      </c>
      <c r="E480">
        <f t="shared" si="150"/>
        <v>32</v>
      </c>
      <c r="F480" t="str">
        <f t="shared" si="151"/>
        <v xml:space="preserve">/////PR:Books_SP:Alice2017106   $750   </v>
      </c>
      <c r="G480" t="str">
        <f t="shared" si="152"/>
        <v xml:space="preserve">PR:Books_SP:Alice2017106   $750   </v>
      </c>
      <c r="H480" t="str">
        <f t="shared" si="153"/>
        <v xml:space="preserve">PR:Books SP:Alice2017106   $750   </v>
      </c>
      <c r="I480" t="str">
        <f t="shared" si="154"/>
        <v>PR:Books SP:Alice2017106 $750</v>
      </c>
      <c r="J480">
        <f t="shared" si="155"/>
        <v>29</v>
      </c>
      <c r="K480">
        <f t="shared" si="156"/>
        <v>48</v>
      </c>
      <c r="L480" t="str">
        <f t="shared" si="157"/>
        <v>Books SP:Alice2017106 $750</v>
      </c>
      <c r="M480" t="str">
        <f t="shared" si="158"/>
        <v>Books Alice2017106 $750</v>
      </c>
      <c r="N480" s="1" t="str">
        <f t="shared" si="159"/>
        <v>Books Alice 2017106 $750</v>
      </c>
      <c r="O480" s="9">
        <f t="shared" si="167"/>
        <v>6</v>
      </c>
      <c r="P480" s="9">
        <f t="shared" si="160"/>
        <v>12</v>
      </c>
      <c r="Q480" s="10">
        <f t="shared" si="161"/>
        <v>20</v>
      </c>
      <c r="R480" s="7" t="str">
        <f t="shared" si="162"/>
        <v>Books</v>
      </c>
      <c r="S480" s="7" t="str">
        <f t="shared" si="163"/>
        <v>Alice</v>
      </c>
      <c r="T480" s="7" t="str">
        <f t="shared" si="164"/>
        <v>2017106</v>
      </c>
      <c r="U480" s="7">
        <f t="shared" si="165"/>
        <v>750</v>
      </c>
      <c r="V480" s="8">
        <f t="shared" si="166"/>
        <v>43014</v>
      </c>
    </row>
    <row r="481" spans="1:22">
      <c r="A481" s="3">
        <f t="shared" si="147"/>
        <v>479</v>
      </c>
      <c r="B481" t="s">
        <v>485</v>
      </c>
      <c r="C481">
        <f t="shared" si="148"/>
        <v>28</v>
      </c>
      <c r="D481" t="str">
        <f t="shared" si="149"/>
        <v xml:space="preserve">/////PR:Books_____SP:David2017102     $890 </v>
      </c>
      <c r="E481">
        <f t="shared" si="150"/>
        <v>32</v>
      </c>
      <c r="F481" t="str">
        <f t="shared" si="151"/>
        <v xml:space="preserve">/////PR:Books_____SP:David2017102     $890 </v>
      </c>
      <c r="G481" t="str">
        <f t="shared" si="152"/>
        <v xml:space="preserve">PR:Books_____SP:David2017102     $890 </v>
      </c>
      <c r="H481" t="str">
        <f t="shared" si="153"/>
        <v xml:space="preserve">PR:Books     SP:David2017102     $890 </v>
      </c>
      <c r="I481" t="str">
        <f t="shared" si="154"/>
        <v>PR:Books SP:David2017102 $890</v>
      </c>
      <c r="J481">
        <f t="shared" si="155"/>
        <v>29</v>
      </c>
      <c r="K481">
        <f t="shared" si="156"/>
        <v>48</v>
      </c>
      <c r="L481" t="str">
        <f t="shared" si="157"/>
        <v>Books SP:David2017102 $890</v>
      </c>
      <c r="M481" t="str">
        <f t="shared" si="158"/>
        <v>Books David2017102 $890</v>
      </c>
      <c r="N481" s="1" t="str">
        <f t="shared" si="159"/>
        <v>Books David 2017102 $890</v>
      </c>
      <c r="O481" s="9">
        <f t="shared" si="167"/>
        <v>6</v>
      </c>
      <c r="P481" s="9">
        <f t="shared" si="160"/>
        <v>12</v>
      </c>
      <c r="Q481" s="10">
        <f t="shared" si="161"/>
        <v>20</v>
      </c>
      <c r="R481" s="7" t="str">
        <f t="shared" si="162"/>
        <v>Books</v>
      </c>
      <c r="S481" s="7" t="str">
        <f t="shared" si="163"/>
        <v>David</v>
      </c>
      <c r="T481" s="7" t="str">
        <f t="shared" si="164"/>
        <v>2017102</v>
      </c>
      <c r="U481" s="7">
        <f t="shared" si="165"/>
        <v>890</v>
      </c>
      <c r="V481" s="8">
        <f t="shared" si="166"/>
        <v>43010</v>
      </c>
    </row>
    <row r="482" spans="1:22">
      <c r="A482" s="3">
        <f t="shared" si="147"/>
        <v>480</v>
      </c>
      <c r="B482" t="s">
        <v>486</v>
      </c>
      <c r="C482">
        <f t="shared" si="148"/>
        <v>28</v>
      </c>
      <c r="D482" t="str">
        <f t="shared" si="149"/>
        <v xml:space="preserve">/PR:Music_SP:David2017109 $1345 </v>
      </c>
      <c r="E482">
        <f t="shared" si="150"/>
        <v>32</v>
      </c>
      <c r="F482" t="str">
        <f t="shared" si="151"/>
        <v xml:space="preserve">/PR:Music_SP:David2017109 $1345 </v>
      </c>
      <c r="G482" t="str">
        <f t="shared" si="152"/>
        <v xml:space="preserve">PR:Music_SP:David2017109 $1345 </v>
      </c>
      <c r="H482" t="str">
        <f t="shared" si="153"/>
        <v xml:space="preserve">PR:Music SP:David2017109 $1345 </v>
      </c>
      <c r="I482" t="str">
        <f t="shared" si="154"/>
        <v>PR:Music SP:David2017109 $1345</v>
      </c>
      <c r="J482">
        <f t="shared" si="155"/>
        <v>30</v>
      </c>
      <c r="K482">
        <f t="shared" si="156"/>
        <v>53</v>
      </c>
      <c r="L482" t="str">
        <f t="shared" si="157"/>
        <v>Music SP:David2017109 $1345</v>
      </c>
      <c r="M482" t="str">
        <f t="shared" si="158"/>
        <v>Music David2017109 $1345</v>
      </c>
      <c r="N482" s="1" t="str">
        <f t="shared" si="159"/>
        <v>Music David 2017109 $1345</v>
      </c>
      <c r="O482" s="9">
        <f t="shared" si="167"/>
        <v>6</v>
      </c>
      <c r="P482" s="9">
        <f t="shared" si="160"/>
        <v>12</v>
      </c>
      <c r="Q482" s="10">
        <f t="shared" si="161"/>
        <v>20</v>
      </c>
      <c r="R482" s="7" t="str">
        <f t="shared" si="162"/>
        <v>Music</v>
      </c>
      <c r="S482" s="7" t="str">
        <f t="shared" si="163"/>
        <v>David</v>
      </c>
      <c r="T482" s="7" t="str">
        <f t="shared" si="164"/>
        <v>2017109</v>
      </c>
      <c r="U482" s="7">
        <f t="shared" si="165"/>
        <v>1345</v>
      </c>
      <c r="V482" s="8">
        <f t="shared" si="166"/>
        <v>43017</v>
      </c>
    </row>
    <row r="483" spans="1:22">
      <c r="A483" s="3">
        <f t="shared" si="147"/>
        <v>481</v>
      </c>
      <c r="B483" t="s">
        <v>487</v>
      </c>
      <c r="C483">
        <f t="shared" si="148"/>
        <v>29</v>
      </c>
      <c r="D483" t="str">
        <f t="shared" si="149"/>
        <v xml:space="preserve">////PR:Music___SP:Alice20171024   $0    </v>
      </c>
      <c r="E483">
        <f t="shared" si="150"/>
        <v>32</v>
      </c>
      <c r="F483" t="str">
        <f t="shared" si="151"/>
        <v xml:space="preserve">////PR:Music___SP:Alice20171024   $0    </v>
      </c>
      <c r="G483" t="str">
        <f t="shared" si="152"/>
        <v xml:space="preserve">PR:Music___SP:Alice20171024   $0    </v>
      </c>
      <c r="H483" t="str">
        <f t="shared" si="153"/>
        <v xml:space="preserve">PR:Music   SP:Alice20171024   $0    </v>
      </c>
      <c r="I483" t="str">
        <f t="shared" si="154"/>
        <v>PR:Music SP:Alice20171024 $0</v>
      </c>
      <c r="J483">
        <f t="shared" si="155"/>
        <v>28</v>
      </c>
      <c r="K483">
        <f t="shared" si="156"/>
        <v>48</v>
      </c>
      <c r="L483" t="str">
        <f t="shared" si="157"/>
        <v>Music SP:Alice20171024 $0</v>
      </c>
      <c r="M483" t="str">
        <f t="shared" si="158"/>
        <v>Music Alice20171024 $0</v>
      </c>
      <c r="N483" s="1" t="str">
        <f t="shared" si="159"/>
        <v>Music Alice 20171024 $0</v>
      </c>
      <c r="O483" s="9">
        <f t="shared" si="167"/>
        <v>6</v>
      </c>
      <c r="P483" s="9">
        <f t="shared" si="160"/>
        <v>12</v>
      </c>
      <c r="Q483" s="10">
        <f t="shared" si="161"/>
        <v>21</v>
      </c>
      <c r="R483" s="7" t="str">
        <f t="shared" si="162"/>
        <v>Music</v>
      </c>
      <c r="S483" s="7" t="str">
        <f t="shared" si="163"/>
        <v>Alice</v>
      </c>
      <c r="T483" s="7" t="str">
        <f t="shared" si="164"/>
        <v>20171024</v>
      </c>
      <c r="U483" s="7">
        <f t="shared" si="165"/>
        <v>0</v>
      </c>
      <c r="V483" s="8">
        <f t="shared" si="166"/>
        <v>43032</v>
      </c>
    </row>
    <row r="484" spans="1:22">
      <c r="A484" s="3">
        <f t="shared" si="147"/>
        <v>482</v>
      </c>
      <c r="B484" t="s">
        <v>488</v>
      </c>
      <c r="C484">
        <f t="shared" si="148"/>
        <v>29</v>
      </c>
      <c r="D484" t="str">
        <f t="shared" si="149"/>
        <v xml:space="preserve">/PR:Clothing__SP:David20171030 $660 </v>
      </c>
      <c r="E484">
        <f t="shared" si="150"/>
        <v>32</v>
      </c>
      <c r="F484" t="str">
        <f t="shared" si="151"/>
        <v xml:space="preserve">/PR:Clothing__SP:David20171030 $660 </v>
      </c>
      <c r="G484" t="str">
        <f t="shared" si="152"/>
        <v xml:space="preserve">PR:Clothing__SP:David20171030 $660 </v>
      </c>
      <c r="H484" t="str">
        <f t="shared" si="153"/>
        <v xml:space="preserve">PR:Clothing  SP:David20171030 $660 </v>
      </c>
      <c r="I484" t="str">
        <f t="shared" si="154"/>
        <v>PR:Clothing SP:David20171030 $660</v>
      </c>
      <c r="J484">
        <f t="shared" si="155"/>
        <v>33</v>
      </c>
      <c r="K484">
        <f t="shared" si="156"/>
        <v>48</v>
      </c>
      <c r="L484" t="str">
        <f t="shared" si="157"/>
        <v>Clothing SP:David20171030 $660</v>
      </c>
      <c r="M484" t="str">
        <f t="shared" si="158"/>
        <v>Clothing David20171030 $660</v>
      </c>
      <c r="N484" s="1" t="str">
        <f t="shared" si="159"/>
        <v>Clothing David 20171030 $660</v>
      </c>
      <c r="O484" s="9">
        <f t="shared" si="167"/>
        <v>9</v>
      </c>
      <c r="P484" s="9">
        <f t="shared" si="160"/>
        <v>15</v>
      </c>
      <c r="Q484" s="10">
        <f t="shared" si="161"/>
        <v>24</v>
      </c>
      <c r="R484" s="7" t="str">
        <f t="shared" si="162"/>
        <v>Clothing</v>
      </c>
      <c r="S484" s="7" t="str">
        <f t="shared" si="163"/>
        <v>David</v>
      </c>
      <c r="T484" s="7" t="str">
        <f t="shared" si="164"/>
        <v>20171030</v>
      </c>
      <c r="U484" s="7">
        <f t="shared" si="165"/>
        <v>660</v>
      </c>
      <c r="V484" s="8">
        <f t="shared" si="166"/>
        <v>43038</v>
      </c>
    </row>
    <row r="485" spans="1:22">
      <c r="A485" s="3">
        <f t="shared" si="147"/>
        <v>483</v>
      </c>
      <c r="B485" t="s">
        <v>489</v>
      </c>
      <c r="C485">
        <f t="shared" si="148"/>
        <v>31</v>
      </c>
      <c r="D485" t="str">
        <f t="shared" si="149"/>
        <v xml:space="preserve">////PR:Clothing___SP:Barney20171021 $0    </v>
      </c>
      <c r="E485">
        <f t="shared" si="150"/>
        <v>32</v>
      </c>
      <c r="F485" t="str">
        <f t="shared" si="151"/>
        <v xml:space="preserve">////PR:Clothing___SP:Barney20171021 $0    </v>
      </c>
      <c r="G485" t="str">
        <f t="shared" si="152"/>
        <v xml:space="preserve">PR:Clothing___SP:Barney20171021 $0    </v>
      </c>
      <c r="H485" t="str">
        <f t="shared" si="153"/>
        <v xml:space="preserve">PR:Clothing   SP:Barney20171021 $0    </v>
      </c>
      <c r="I485" t="str">
        <f t="shared" si="154"/>
        <v>PR:Clothing SP:Barney20171021 $0</v>
      </c>
      <c r="J485">
        <f t="shared" si="155"/>
        <v>32</v>
      </c>
      <c r="K485">
        <f t="shared" si="156"/>
        <v>48</v>
      </c>
      <c r="L485" t="str">
        <f t="shared" si="157"/>
        <v>Clothing SP:Barney20171021 $0</v>
      </c>
      <c r="M485" t="str">
        <f t="shared" si="158"/>
        <v>Clothing Barney20171021 $0</v>
      </c>
      <c r="N485" s="1" t="str">
        <f t="shared" si="159"/>
        <v>Clothing Barney 20171021 $0</v>
      </c>
      <c r="O485" s="9">
        <f t="shared" si="167"/>
        <v>9</v>
      </c>
      <c r="P485" s="9">
        <f t="shared" si="160"/>
        <v>16</v>
      </c>
      <c r="Q485" s="10">
        <f t="shared" si="161"/>
        <v>25</v>
      </c>
      <c r="R485" s="7" t="str">
        <f t="shared" si="162"/>
        <v>Clothing</v>
      </c>
      <c r="S485" s="7" t="str">
        <f t="shared" si="163"/>
        <v>Barney</v>
      </c>
      <c r="T485" s="7" t="str">
        <f t="shared" si="164"/>
        <v>20171021</v>
      </c>
      <c r="U485" s="7">
        <f t="shared" si="165"/>
        <v>0</v>
      </c>
      <c r="V485" s="8">
        <f t="shared" si="166"/>
        <v>43029</v>
      </c>
    </row>
    <row r="486" spans="1:22">
      <c r="A486" s="3">
        <f t="shared" si="147"/>
        <v>484</v>
      </c>
      <c r="B486" t="s">
        <v>490</v>
      </c>
      <c r="C486">
        <f t="shared" si="148"/>
        <v>30</v>
      </c>
      <c r="D486" t="str">
        <f t="shared" si="149"/>
        <v xml:space="preserve">//PR:Games_____SP:Barney20171020   $2380     </v>
      </c>
      <c r="E486">
        <f t="shared" si="150"/>
        <v>32</v>
      </c>
      <c r="F486" t="str">
        <f t="shared" si="151"/>
        <v xml:space="preserve">//PR:Games_____SP:Barney20171020   $2380     </v>
      </c>
      <c r="G486" t="str">
        <f t="shared" si="152"/>
        <v xml:space="preserve">PR:Games_____SP:Barney20171020   $2380     </v>
      </c>
      <c r="H486" t="str">
        <f t="shared" si="153"/>
        <v xml:space="preserve">PR:Games     SP:Barney20171020   $2380     </v>
      </c>
      <c r="I486" t="str">
        <f t="shared" si="154"/>
        <v>PR:Games SP:Barney20171020 $2380</v>
      </c>
      <c r="J486">
        <f t="shared" si="155"/>
        <v>32</v>
      </c>
      <c r="K486">
        <f t="shared" si="156"/>
        <v>48</v>
      </c>
      <c r="L486" t="str">
        <f t="shared" si="157"/>
        <v>Games SP:Barney20171020 $2380</v>
      </c>
      <c r="M486" t="str">
        <f t="shared" si="158"/>
        <v>Games Barney20171020 $2380</v>
      </c>
      <c r="N486" s="1" t="str">
        <f t="shared" si="159"/>
        <v>Games Barney 20171020 $2380</v>
      </c>
      <c r="O486" s="9">
        <f t="shared" si="167"/>
        <v>6</v>
      </c>
      <c r="P486" s="9">
        <f t="shared" si="160"/>
        <v>13</v>
      </c>
      <c r="Q486" s="10">
        <f t="shared" si="161"/>
        <v>22</v>
      </c>
      <c r="R486" s="7" t="str">
        <f t="shared" si="162"/>
        <v>Games</v>
      </c>
      <c r="S486" s="7" t="str">
        <f t="shared" si="163"/>
        <v>Barney</v>
      </c>
      <c r="T486" s="7" t="str">
        <f t="shared" si="164"/>
        <v>20171020</v>
      </c>
      <c r="U486" s="7">
        <f t="shared" si="165"/>
        <v>2380</v>
      </c>
      <c r="V486" s="8">
        <f t="shared" si="166"/>
        <v>43028</v>
      </c>
    </row>
    <row r="487" spans="1:22">
      <c r="A487" s="3">
        <f t="shared" si="147"/>
        <v>485</v>
      </c>
      <c r="B487" t="s">
        <v>491</v>
      </c>
      <c r="C487">
        <f t="shared" si="148"/>
        <v>28</v>
      </c>
      <c r="D487" t="str">
        <f t="shared" si="149"/>
        <v xml:space="preserve">/////PR:Books____SP:Carol20171025  $515   </v>
      </c>
      <c r="E487">
        <f t="shared" si="150"/>
        <v>32</v>
      </c>
      <c r="F487" t="str">
        <f t="shared" si="151"/>
        <v xml:space="preserve">/////PR:Books____SP:Carol20171025  $515   </v>
      </c>
      <c r="G487" t="str">
        <f t="shared" si="152"/>
        <v xml:space="preserve">PR:Books____SP:Carol20171025  $515   </v>
      </c>
      <c r="H487" t="str">
        <f t="shared" si="153"/>
        <v xml:space="preserve">PR:Books    SP:Carol20171025  $515   </v>
      </c>
      <c r="I487" t="str">
        <f t="shared" si="154"/>
        <v>PR:Books SP:Carol20171025 $515</v>
      </c>
      <c r="J487">
        <f t="shared" si="155"/>
        <v>30</v>
      </c>
      <c r="K487">
        <f t="shared" si="156"/>
        <v>53</v>
      </c>
      <c r="L487" t="str">
        <f t="shared" si="157"/>
        <v>Books SP:Carol20171025 $515</v>
      </c>
      <c r="M487" t="str">
        <f t="shared" si="158"/>
        <v>Books Carol20171025 $515</v>
      </c>
      <c r="N487" s="1" t="str">
        <f t="shared" si="159"/>
        <v>Books Carol 20171025 $515</v>
      </c>
      <c r="O487" s="9">
        <f t="shared" si="167"/>
        <v>6</v>
      </c>
      <c r="P487" s="9">
        <f t="shared" si="160"/>
        <v>12</v>
      </c>
      <c r="Q487" s="10">
        <f t="shared" si="161"/>
        <v>21</v>
      </c>
      <c r="R487" s="7" t="str">
        <f t="shared" si="162"/>
        <v>Books</v>
      </c>
      <c r="S487" s="7" t="str">
        <f t="shared" si="163"/>
        <v>Carol</v>
      </c>
      <c r="T487" s="7" t="str">
        <f t="shared" si="164"/>
        <v>20171025</v>
      </c>
      <c r="U487" s="7">
        <f t="shared" si="165"/>
        <v>515</v>
      </c>
      <c r="V487" s="8">
        <f t="shared" si="166"/>
        <v>43033</v>
      </c>
    </row>
    <row r="488" spans="1:22">
      <c r="A488" s="3">
        <f t="shared" si="147"/>
        <v>486</v>
      </c>
      <c r="B488" t="s">
        <v>492</v>
      </c>
      <c r="C488">
        <f t="shared" si="148"/>
        <v>28</v>
      </c>
      <c r="D488" t="str">
        <f t="shared" si="149"/>
        <v xml:space="preserve">////PR:Clothing__SP:Alice20171017    $650 </v>
      </c>
      <c r="E488">
        <f t="shared" si="150"/>
        <v>32</v>
      </c>
      <c r="F488" t="str">
        <f t="shared" si="151"/>
        <v xml:space="preserve">////PR:Clothing__SP:Alice20171017    $650 </v>
      </c>
      <c r="G488" t="str">
        <f t="shared" si="152"/>
        <v xml:space="preserve">PR:Clothing__SP:Alice20171017    $650 </v>
      </c>
      <c r="H488" t="str">
        <f t="shared" si="153"/>
        <v xml:space="preserve">PR:Clothing  SP:Alice20171017    $650 </v>
      </c>
      <c r="I488" t="str">
        <f t="shared" si="154"/>
        <v>PR:Clothing SP:Alice20171017 $650</v>
      </c>
      <c r="J488">
        <f t="shared" si="155"/>
        <v>33</v>
      </c>
      <c r="K488">
        <f t="shared" si="156"/>
        <v>48</v>
      </c>
      <c r="L488" t="str">
        <f t="shared" si="157"/>
        <v>Clothing SP:Alice20171017 $650</v>
      </c>
      <c r="M488" t="str">
        <f t="shared" si="158"/>
        <v>Clothing Alice20171017 $650</v>
      </c>
      <c r="N488" s="1" t="str">
        <f t="shared" si="159"/>
        <v>Clothing Alice 20171017 $650</v>
      </c>
      <c r="O488" s="9">
        <f t="shared" si="167"/>
        <v>9</v>
      </c>
      <c r="P488" s="9">
        <f t="shared" si="160"/>
        <v>15</v>
      </c>
      <c r="Q488" s="10">
        <f t="shared" si="161"/>
        <v>24</v>
      </c>
      <c r="R488" s="7" t="str">
        <f t="shared" si="162"/>
        <v>Clothing</v>
      </c>
      <c r="S488" s="7" t="str">
        <f t="shared" si="163"/>
        <v>Alice</v>
      </c>
      <c r="T488" s="7" t="str">
        <f t="shared" si="164"/>
        <v>20171017</v>
      </c>
      <c r="U488" s="7">
        <f t="shared" si="165"/>
        <v>650</v>
      </c>
      <c r="V488" s="8">
        <f t="shared" si="166"/>
        <v>43025</v>
      </c>
    </row>
    <row r="489" spans="1:22">
      <c r="A489" s="3">
        <f t="shared" si="147"/>
        <v>487</v>
      </c>
      <c r="B489" t="s">
        <v>493</v>
      </c>
      <c r="C489">
        <f t="shared" si="148"/>
        <v>29</v>
      </c>
      <c r="D489" t="str">
        <f t="shared" si="149"/>
        <v xml:space="preserve">////PR:Books_SP:Barney2017109 $0   </v>
      </c>
      <c r="E489">
        <f t="shared" si="150"/>
        <v>32</v>
      </c>
      <c r="F489" t="str">
        <f t="shared" si="151"/>
        <v xml:space="preserve">////PR:Books_SP:Barney2017109 $0   </v>
      </c>
      <c r="G489" t="str">
        <f t="shared" si="152"/>
        <v xml:space="preserve">PR:Books_SP:Barney2017109 $0   </v>
      </c>
      <c r="H489" t="str">
        <f t="shared" si="153"/>
        <v xml:space="preserve">PR:Books SP:Barney2017109 $0   </v>
      </c>
      <c r="I489" t="str">
        <f t="shared" si="154"/>
        <v>PR:Books SP:Barney2017109 $0</v>
      </c>
      <c r="J489">
        <f t="shared" si="155"/>
        <v>28</v>
      </c>
      <c r="K489">
        <f t="shared" si="156"/>
        <v>48</v>
      </c>
      <c r="L489" t="str">
        <f t="shared" si="157"/>
        <v>Books SP:Barney2017109 $0</v>
      </c>
      <c r="M489" t="str">
        <f t="shared" si="158"/>
        <v>Books Barney2017109 $0</v>
      </c>
      <c r="N489" s="1" t="str">
        <f t="shared" si="159"/>
        <v>Books Barney 2017109 $0</v>
      </c>
      <c r="O489" s="9">
        <f t="shared" si="167"/>
        <v>6</v>
      </c>
      <c r="P489" s="9">
        <f t="shared" si="160"/>
        <v>13</v>
      </c>
      <c r="Q489" s="10">
        <f t="shared" si="161"/>
        <v>21</v>
      </c>
      <c r="R489" s="7" t="str">
        <f t="shared" si="162"/>
        <v>Books</v>
      </c>
      <c r="S489" s="7" t="str">
        <f t="shared" si="163"/>
        <v>Barney</v>
      </c>
      <c r="T489" s="7" t="str">
        <f t="shared" si="164"/>
        <v>2017109</v>
      </c>
      <c r="U489" s="7">
        <f t="shared" si="165"/>
        <v>0</v>
      </c>
      <c r="V489" s="8">
        <f t="shared" si="166"/>
        <v>43017</v>
      </c>
    </row>
    <row r="490" spans="1:22">
      <c r="A490" s="3">
        <f t="shared" si="147"/>
        <v>488</v>
      </c>
      <c r="B490" t="s">
        <v>494</v>
      </c>
      <c r="C490">
        <f t="shared" si="148"/>
        <v>29</v>
      </c>
      <c r="D490" t="str">
        <f t="shared" si="149"/>
        <v xml:space="preserve">///PR:Clothing__SP:Barney2017102  $1988    </v>
      </c>
      <c r="E490">
        <f t="shared" si="150"/>
        <v>32</v>
      </c>
      <c r="F490" t="str">
        <f t="shared" si="151"/>
        <v xml:space="preserve">///PR:Clothing__SP:Barney2017102  $1988    </v>
      </c>
      <c r="G490" t="str">
        <f t="shared" si="152"/>
        <v xml:space="preserve">PR:Clothing__SP:Barney2017102  $1988    </v>
      </c>
      <c r="H490" t="str">
        <f t="shared" si="153"/>
        <v xml:space="preserve">PR:Clothing  SP:Barney2017102  $1988    </v>
      </c>
      <c r="I490" t="str">
        <f t="shared" si="154"/>
        <v>PR:Clothing SP:Barney2017102 $1988</v>
      </c>
      <c r="J490">
        <f t="shared" si="155"/>
        <v>34</v>
      </c>
      <c r="K490">
        <f t="shared" si="156"/>
        <v>56</v>
      </c>
      <c r="L490" t="str">
        <f t="shared" si="157"/>
        <v>Clothing SP:Barney2017102 $1988</v>
      </c>
      <c r="M490" t="str">
        <f t="shared" si="158"/>
        <v>Clothing Barney2017102 $1988</v>
      </c>
      <c r="N490" s="1" t="str">
        <f t="shared" si="159"/>
        <v>Clothing Barney 2017102 $1988</v>
      </c>
      <c r="O490" s="9">
        <f t="shared" si="167"/>
        <v>9</v>
      </c>
      <c r="P490" s="9">
        <f t="shared" si="160"/>
        <v>16</v>
      </c>
      <c r="Q490" s="10">
        <f t="shared" si="161"/>
        <v>24</v>
      </c>
      <c r="R490" s="7" t="str">
        <f t="shared" si="162"/>
        <v>Clothing</v>
      </c>
      <c r="S490" s="7" t="str">
        <f t="shared" si="163"/>
        <v>Barney</v>
      </c>
      <c r="T490" s="7" t="str">
        <f t="shared" si="164"/>
        <v>2017102</v>
      </c>
      <c r="U490" s="7">
        <f t="shared" si="165"/>
        <v>1988</v>
      </c>
      <c r="V490" s="8">
        <f t="shared" si="166"/>
        <v>43010</v>
      </c>
    </row>
    <row r="491" spans="1:22">
      <c r="A491" s="3">
        <f t="shared" si="147"/>
        <v>489</v>
      </c>
      <c r="B491" t="s">
        <v>495</v>
      </c>
      <c r="C491">
        <f t="shared" si="148"/>
        <v>29</v>
      </c>
      <c r="D491" t="str">
        <f t="shared" si="149"/>
        <v xml:space="preserve">/////PR:Music__SP:Carol20171020    $0     </v>
      </c>
      <c r="E491">
        <f t="shared" si="150"/>
        <v>32</v>
      </c>
      <c r="F491" t="str">
        <f t="shared" si="151"/>
        <v xml:space="preserve">/////PR:Music__SP:Carol20171020    $0     </v>
      </c>
      <c r="G491" t="str">
        <f t="shared" si="152"/>
        <v xml:space="preserve">PR:Music__SP:Carol20171020    $0     </v>
      </c>
      <c r="H491" t="str">
        <f t="shared" si="153"/>
        <v xml:space="preserve">PR:Music  SP:Carol20171020    $0     </v>
      </c>
      <c r="I491" t="str">
        <f t="shared" si="154"/>
        <v>PR:Music SP:Carol20171020 $0</v>
      </c>
      <c r="J491">
        <f t="shared" si="155"/>
        <v>28</v>
      </c>
      <c r="K491">
        <f t="shared" si="156"/>
        <v>48</v>
      </c>
      <c r="L491" t="str">
        <f t="shared" si="157"/>
        <v>Music SP:Carol20171020 $0</v>
      </c>
      <c r="M491" t="str">
        <f t="shared" si="158"/>
        <v>Music Carol20171020 $0</v>
      </c>
      <c r="N491" s="1" t="str">
        <f t="shared" si="159"/>
        <v>Music Carol 20171020 $0</v>
      </c>
      <c r="O491" s="9">
        <f t="shared" si="167"/>
        <v>6</v>
      </c>
      <c r="P491" s="9">
        <f t="shared" si="160"/>
        <v>12</v>
      </c>
      <c r="Q491" s="10">
        <f t="shared" si="161"/>
        <v>21</v>
      </c>
      <c r="R491" s="7" t="str">
        <f t="shared" si="162"/>
        <v>Music</v>
      </c>
      <c r="S491" s="7" t="str">
        <f t="shared" si="163"/>
        <v>Carol</v>
      </c>
      <c r="T491" s="7" t="str">
        <f t="shared" si="164"/>
        <v>20171020</v>
      </c>
      <c r="U491" s="7">
        <f t="shared" si="165"/>
        <v>0</v>
      </c>
      <c r="V491" s="8">
        <f t="shared" si="166"/>
        <v>43028</v>
      </c>
    </row>
    <row r="492" spans="1:22">
      <c r="A492" s="3">
        <f t="shared" si="147"/>
        <v>490</v>
      </c>
      <c r="B492" t="s">
        <v>496</v>
      </c>
      <c r="C492">
        <f t="shared" si="148"/>
        <v>31</v>
      </c>
      <c r="D492" t="str">
        <f t="shared" si="149"/>
        <v xml:space="preserve">////PR:Books___SP:David2017108     $501     </v>
      </c>
      <c r="E492">
        <f t="shared" si="150"/>
        <v>32</v>
      </c>
      <c r="F492" t="str">
        <f t="shared" si="151"/>
        <v xml:space="preserve">////PR:Books___SP:David2017108     $501     </v>
      </c>
      <c r="G492" t="str">
        <f t="shared" si="152"/>
        <v xml:space="preserve">PR:Books___SP:David2017108     $501     </v>
      </c>
      <c r="H492" t="str">
        <f t="shared" si="153"/>
        <v xml:space="preserve">PR:Books   SP:David2017108     $501     </v>
      </c>
      <c r="I492" t="str">
        <f t="shared" si="154"/>
        <v>PR:Books SP:David2017108 $501</v>
      </c>
      <c r="J492">
        <f t="shared" si="155"/>
        <v>29</v>
      </c>
      <c r="K492">
        <f t="shared" si="156"/>
        <v>49</v>
      </c>
      <c r="L492" t="str">
        <f t="shared" si="157"/>
        <v>Books SP:David2017108 $501</v>
      </c>
      <c r="M492" t="str">
        <f t="shared" si="158"/>
        <v>Books David2017108 $501</v>
      </c>
      <c r="N492" s="1" t="str">
        <f t="shared" si="159"/>
        <v>Books David 2017108 $501</v>
      </c>
      <c r="O492" s="9">
        <f t="shared" si="167"/>
        <v>6</v>
      </c>
      <c r="P492" s="9">
        <f t="shared" si="160"/>
        <v>12</v>
      </c>
      <c r="Q492" s="10">
        <f t="shared" si="161"/>
        <v>20</v>
      </c>
      <c r="R492" s="7" t="str">
        <f t="shared" si="162"/>
        <v>Books</v>
      </c>
      <c r="S492" s="7" t="str">
        <f t="shared" si="163"/>
        <v>David</v>
      </c>
      <c r="T492" s="7" t="str">
        <f t="shared" si="164"/>
        <v>2017108</v>
      </c>
      <c r="U492" s="7">
        <f t="shared" si="165"/>
        <v>501</v>
      </c>
      <c r="V492" s="8">
        <f t="shared" si="166"/>
        <v>43016</v>
      </c>
    </row>
    <row r="493" spans="1:22">
      <c r="A493" s="3">
        <f t="shared" si="147"/>
        <v>491</v>
      </c>
      <c r="B493" t="s">
        <v>497</v>
      </c>
      <c r="C493">
        <f t="shared" si="148"/>
        <v>29</v>
      </c>
      <c r="D493" t="str">
        <f t="shared" si="149"/>
        <v xml:space="preserve">//PR:Clothing_____SP:Alice2017108  $859     </v>
      </c>
      <c r="E493">
        <f t="shared" si="150"/>
        <v>32</v>
      </c>
      <c r="F493" t="str">
        <f t="shared" si="151"/>
        <v xml:space="preserve">//PR:Clothing_____SP:Alice2017108  $859     </v>
      </c>
      <c r="G493" t="str">
        <f t="shared" si="152"/>
        <v xml:space="preserve">PR:Clothing_____SP:Alice2017108  $859     </v>
      </c>
      <c r="H493" t="str">
        <f t="shared" si="153"/>
        <v xml:space="preserve">PR:Clothing     SP:Alice2017108  $859     </v>
      </c>
      <c r="I493" t="str">
        <f t="shared" si="154"/>
        <v>PR:Clothing SP:Alice2017108 $859</v>
      </c>
      <c r="J493">
        <f t="shared" si="155"/>
        <v>32</v>
      </c>
      <c r="K493">
        <f t="shared" si="156"/>
        <v>57</v>
      </c>
      <c r="L493" t="str">
        <f t="shared" si="157"/>
        <v>Clothing SP:Alice2017108 $859</v>
      </c>
      <c r="M493" t="str">
        <f t="shared" si="158"/>
        <v>Clothing Alice2017108 $859</v>
      </c>
      <c r="N493" s="1" t="str">
        <f t="shared" si="159"/>
        <v>Clothing Alice 2017108 $859</v>
      </c>
      <c r="O493" s="9">
        <f t="shared" si="167"/>
        <v>9</v>
      </c>
      <c r="P493" s="9">
        <f t="shared" si="160"/>
        <v>15</v>
      </c>
      <c r="Q493" s="10">
        <f t="shared" si="161"/>
        <v>23</v>
      </c>
      <c r="R493" s="7" t="str">
        <f t="shared" si="162"/>
        <v>Clothing</v>
      </c>
      <c r="S493" s="7" t="str">
        <f t="shared" si="163"/>
        <v>Alice</v>
      </c>
      <c r="T493" s="7" t="str">
        <f t="shared" si="164"/>
        <v>2017108</v>
      </c>
      <c r="U493" s="7">
        <f t="shared" si="165"/>
        <v>859</v>
      </c>
      <c r="V493" s="8">
        <f t="shared" si="166"/>
        <v>43016</v>
      </c>
    </row>
    <row r="494" spans="1:22">
      <c r="A494" s="3">
        <f t="shared" si="147"/>
        <v>492</v>
      </c>
      <c r="B494" t="s">
        <v>498</v>
      </c>
      <c r="C494">
        <f t="shared" si="148"/>
        <v>29</v>
      </c>
      <c r="D494" t="str">
        <f t="shared" si="149"/>
        <v xml:space="preserve">////PR:Clothing__SP:Barney20171014 $0   </v>
      </c>
      <c r="E494">
        <f t="shared" si="150"/>
        <v>32</v>
      </c>
      <c r="F494" t="str">
        <f t="shared" si="151"/>
        <v xml:space="preserve">////PR:Clothing__SP:Barney20171014 $0   </v>
      </c>
      <c r="G494" t="str">
        <f t="shared" si="152"/>
        <v xml:space="preserve">PR:Clothing__SP:Barney20171014 $0   </v>
      </c>
      <c r="H494" t="str">
        <f t="shared" si="153"/>
        <v xml:space="preserve">PR:Clothing  SP:Barney20171014 $0   </v>
      </c>
      <c r="I494" t="str">
        <f t="shared" si="154"/>
        <v>PR:Clothing SP:Barney20171014 $0</v>
      </c>
      <c r="J494">
        <f t="shared" si="155"/>
        <v>32</v>
      </c>
      <c r="K494">
        <f t="shared" si="156"/>
        <v>48</v>
      </c>
      <c r="L494" t="str">
        <f t="shared" si="157"/>
        <v>Clothing SP:Barney20171014 $0</v>
      </c>
      <c r="M494" t="str">
        <f t="shared" si="158"/>
        <v>Clothing Barney20171014 $0</v>
      </c>
      <c r="N494" s="1" t="str">
        <f t="shared" si="159"/>
        <v>Clothing Barney 20171014 $0</v>
      </c>
      <c r="O494" s="9">
        <f t="shared" si="167"/>
        <v>9</v>
      </c>
      <c r="P494" s="9">
        <f t="shared" si="160"/>
        <v>16</v>
      </c>
      <c r="Q494" s="10">
        <f t="shared" si="161"/>
        <v>25</v>
      </c>
      <c r="R494" s="7" t="str">
        <f t="shared" si="162"/>
        <v>Clothing</v>
      </c>
      <c r="S494" s="7" t="str">
        <f t="shared" si="163"/>
        <v>Barney</v>
      </c>
      <c r="T494" s="7" t="str">
        <f t="shared" si="164"/>
        <v>20171014</v>
      </c>
      <c r="U494" s="7">
        <f t="shared" si="165"/>
        <v>0</v>
      </c>
      <c r="V494" s="8">
        <f t="shared" si="166"/>
        <v>43022</v>
      </c>
    </row>
    <row r="495" spans="1:22">
      <c r="A495" s="3">
        <f t="shared" si="147"/>
        <v>493</v>
      </c>
      <c r="B495" t="s">
        <v>499</v>
      </c>
      <c r="C495">
        <f t="shared" si="148"/>
        <v>30</v>
      </c>
      <c r="D495" t="str">
        <f t="shared" si="149"/>
        <v xml:space="preserve">////PR:Books___SP:Barney20171024  $743  </v>
      </c>
      <c r="E495">
        <f t="shared" si="150"/>
        <v>32</v>
      </c>
      <c r="F495" t="str">
        <f t="shared" si="151"/>
        <v xml:space="preserve">////PR:Books___SP:Barney20171024  $743  </v>
      </c>
      <c r="G495" t="str">
        <f t="shared" si="152"/>
        <v xml:space="preserve">PR:Books___SP:Barney20171024  $743  </v>
      </c>
      <c r="H495" t="str">
        <f t="shared" si="153"/>
        <v xml:space="preserve">PR:Books   SP:Barney20171024  $743  </v>
      </c>
      <c r="I495" t="str">
        <f t="shared" si="154"/>
        <v>PR:Books SP:Barney20171024 $743</v>
      </c>
      <c r="J495">
        <f t="shared" si="155"/>
        <v>31</v>
      </c>
      <c r="K495">
        <f t="shared" si="156"/>
        <v>51</v>
      </c>
      <c r="L495" t="str">
        <f t="shared" si="157"/>
        <v>Books SP:Barney20171024 $743</v>
      </c>
      <c r="M495" t="str">
        <f t="shared" si="158"/>
        <v>Books Barney20171024 $743</v>
      </c>
      <c r="N495" s="1" t="str">
        <f t="shared" si="159"/>
        <v>Books Barney 20171024 $743</v>
      </c>
      <c r="O495" s="9">
        <f t="shared" si="167"/>
        <v>6</v>
      </c>
      <c r="P495" s="9">
        <f t="shared" si="160"/>
        <v>13</v>
      </c>
      <c r="Q495" s="10">
        <f t="shared" si="161"/>
        <v>22</v>
      </c>
      <c r="R495" s="7" t="str">
        <f t="shared" si="162"/>
        <v>Books</v>
      </c>
      <c r="S495" s="7" t="str">
        <f t="shared" si="163"/>
        <v>Barney</v>
      </c>
      <c r="T495" s="7" t="str">
        <f t="shared" si="164"/>
        <v>20171024</v>
      </c>
      <c r="U495" s="7">
        <f t="shared" si="165"/>
        <v>743</v>
      </c>
      <c r="V495" s="8">
        <f t="shared" si="166"/>
        <v>43032</v>
      </c>
    </row>
    <row r="496" spans="1:22">
      <c r="A496" s="3">
        <f t="shared" si="147"/>
        <v>494</v>
      </c>
      <c r="B496" t="s">
        <v>500</v>
      </c>
      <c r="C496">
        <f t="shared" si="148"/>
        <v>30</v>
      </c>
      <c r="D496" t="str">
        <f t="shared" si="149"/>
        <v xml:space="preserve">/////PR:Books_____SP:Alice20171027    $0  </v>
      </c>
      <c r="E496">
        <f t="shared" si="150"/>
        <v>32</v>
      </c>
      <c r="F496" t="str">
        <f t="shared" si="151"/>
        <v xml:space="preserve">/////PR:Books_____SP:Alice20171027    $0  </v>
      </c>
      <c r="G496" t="str">
        <f t="shared" si="152"/>
        <v xml:space="preserve">PR:Books_____SP:Alice20171027    $0  </v>
      </c>
      <c r="H496" t="str">
        <f t="shared" si="153"/>
        <v xml:space="preserve">PR:Books     SP:Alice20171027    $0  </v>
      </c>
      <c r="I496" t="str">
        <f t="shared" si="154"/>
        <v>PR:Books SP:Alice20171027 $0</v>
      </c>
      <c r="J496">
        <f t="shared" si="155"/>
        <v>28</v>
      </c>
      <c r="K496">
        <f t="shared" si="156"/>
        <v>48</v>
      </c>
      <c r="L496" t="str">
        <f t="shared" si="157"/>
        <v>Books SP:Alice20171027 $0</v>
      </c>
      <c r="M496" t="str">
        <f t="shared" si="158"/>
        <v>Books Alice20171027 $0</v>
      </c>
      <c r="N496" s="1" t="str">
        <f t="shared" si="159"/>
        <v>Books Alice 20171027 $0</v>
      </c>
      <c r="O496" s="9">
        <f t="shared" si="167"/>
        <v>6</v>
      </c>
      <c r="P496" s="9">
        <f t="shared" si="160"/>
        <v>12</v>
      </c>
      <c r="Q496" s="10">
        <f t="shared" si="161"/>
        <v>21</v>
      </c>
      <c r="R496" s="7" t="str">
        <f t="shared" si="162"/>
        <v>Books</v>
      </c>
      <c r="S496" s="7" t="str">
        <f t="shared" si="163"/>
        <v>Alice</v>
      </c>
      <c r="T496" s="7" t="str">
        <f t="shared" si="164"/>
        <v>20171027</v>
      </c>
      <c r="U496" s="7">
        <f t="shared" si="165"/>
        <v>0</v>
      </c>
      <c r="V496" s="8">
        <f t="shared" si="166"/>
        <v>43035</v>
      </c>
    </row>
    <row r="497" spans="1:22">
      <c r="A497" s="3">
        <f t="shared" si="147"/>
        <v>495</v>
      </c>
      <c r="B497" t="s">
        <v>501</v>
      </c>
      <c r="C497">
        <f t="shared" si="148"/>
        <v>30</v>
      </c>
      <c r="D497" t="str">
        <f t="shared" si="149"/>
        <v xml:space="preserve">/////PR:Books_____SP:Barney20171020 $0 </v>
      </c>
      <c r="E497">
        <f t="shared" si="150"/>
        <v>32</v>
      </c>
      <c r="F497" t="str">
        <f t="shared" si="151"/>
        <v xml:space="preserve">/////PR:Books_____SP:Barney20171020 $0 </v>
      </c>
      <c r="G497" t="str">
        <f t="shared" si="152"/>
        <v xml:space="preserve">PR:Books_____SP:Barney20171020 $0 </v>
      </c>
      <c r="H497" t="str">
        <f t="shared" si="153"/>
        <v xml:space="preserve">PR:Books     SP:Barney20171020 $0 </v>
      </c>
      <c r="I497" t="str">
        <f t="shared" si="154"/>
        <v>PR:Books SP:Barney20171020 $0</v>
      </c>
      <c r="J497">
        <f t="shared" si="155"/>
        <v>29</v>
      </c>
      <c r="K497">
        <f t="shared" si="156"/>
        <v>48</v>
      </c>
      <c r="L497" t="str">
        <f t="shared" si="157"/>
        <v>Books SP:Barney20171020 $0</v>
      </c>
      <c r="M497" t="str">
        <f t="shared" si="158"/>
        <v>Books Barney20171020 $0</v>
      </c>
      <c r="N497" s="1" t="str">
        <f t="shared" si="159"/>
        <v>Books Barney 20171020 $0</v>
      </c>
      <c r="O497" s="9">
        <f t="shared" si="167"/>
        <v>6</v>
      </c>
      <c r="P497" s="9">
        <f t="shared" si="160"/>
        <v>13</v>
      </c>
      <c r="Q497" s="10">
        <f t="shared" si="161"/>
        <v>22</v>
      </c>
      <c r="R497" s="7" t="str">
        <f t="shared" si="162"/>
        <v>Books</v>
      </c>
      <c r="S497" s="7" t="str">
        <f t="shared" si="163"/>
        <v>Barney</v>
      </c>
      <c r="T497" s="7" t="str">
        <f t="shared" si="164"/>
        <v>20171020</v>
      </c>
      <c r="U497" s="7">
        <f t="shared" si="165"/>
        <v>0</v>
      </c>
      <c r="V497" s="8">
        <f t="shared" si="166"/>
        <v>43028</v>
      </c>
    </row>
    <row r="498" spans="1:22">
      <c r="A498" s="3">
        <f t="shared" si="147"/>
        <v>496</v>
      </c>
      <c r="B498" t="s">
        <v>502</v>
      </c>
      <c r="C498">
        <f t="shared" si="148"/>
        <v>28</v>
      </c>
      <c r="D498" t="str">
        <f t="shared" si="149"/>
        <v xml:space="preserve">/PR:Music__SP:Alice2017106 $1010 </v>
      </c>
      <c r="E498">
        <f t="shared" si="150"/>
        <v>32</v>
      </c>
      <c r="F498" t="str">
        <f t="shared" si="151"/>
        <v xml:space="preserve">/PR:Music__SP:Alice2017106 $1010 </v>
      </c>
      <c r="G498" t="str">
        <f t="shared" si="152"/>
        <v xml:space="preserve">PR:Music__SP:Alice2017106 $1010 </v>
      </c>
      <c r="H498" t="str">
        <f t="shared" si="153"/>
        <v xml:space="preserve">PR:Music  SP:Alice2017106 $1010 </v>
      </c>
      <c r="I498" t="str">
        <f t="shared" si="154"/>
        <v>PR:Music SP:Alice2017106 $1010</v>
      </c>
      <c r="J498">
        <f t="shared" si="155"/>
        <v>30</v>
      </c>
      <c r="K498">
        <f t="shared" si="156"/>
        <v>48</v>
      </c>
      <c r="L498" t="str">
        <f t="shared" si="157"/>
        <v>Music SP:Alice2017106 $1010</v>
      </c>
      <c r="M498" t="str">
        <f t="shared" si="158"/>
        <v>Music Alice2017106 $1010</v>
      </c>
      <c r="N498" s="1" t="str">
        <f t="shared" si="159"/>
        <v>Music Alice 2017106 $1010</v>
      </c>
      <c r="O498" s="9">
        <f t="shared" si="167"/>
        <v>6</v>
      </c>
      <c r="P498" s="9">
        <f t="shared" si="160"/>
        <v>12</v>
      </c>
      <c r="Q498" s="10">
        <f t="shared" si="161"/>
        <v>20</v>
      </c>
      <c r="R498" s="7" t="str">
        <f t="shared" si="162"/>
        <v>Music</v>
      </c>
      <c r="S498" s="7" t="str">
        <f t="shared" si="163"/>
        <v>Alice</v>
      </c>
      <c r="T498" s="7" t="str">
        <f t="shared" si="164"/>
        <v>2017106</v>
      </c>
      <c r="U498" s="7">
        <f t="shared" si="165"/>
        <v>1010</v>
      </c>
      <c r="V498" s="8">
        <f t="shared" si="166"/>
        <v>43014</v>
      </c>
    </row>
    <row r="499" spans="1:22">
      <c r="A499" s="3"/>
    </row>
    <row r="500" spans="1:22">
      <c r="A500" s="3"/>
    </row>
    <row r="501" spans="1:22">
      <c r="A501" s="3"/>
    </row>
    <row r="502" spans="1:22">
      <c r="A502" s="3"/>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M499"/>
  <sheetViews>
    <sheetView showGridLines="0" showRowColHeaders="0" tabSelected="1" zoomScaleNormal="100" workbookViewId="0">
      <pane ySplit="3" topLeftCell="A16" activePane="bottomLeft" state="frozen"/>
      <selection pane="bottomLeft" activeCell="K11" sqref="K11"/>
    </sheetView>
  </sheetViews>
  <sheetFormatPr defaultColWidth="9.109375" defaultRowHeight="14.4"/>
  <cols>
    <col min="1" max="2" width="15.6640625" customWidth="1"/>
    <col min="3" max="3" width="17.21875" customWidth="1"/>
    <col min="4" max="5" width="21.6640625" customWidth="1"/>
    <col min="6" max="6" width="20.6640625" customWidth="1"/>
    <col min="7" max="8" width="21.6640625" customWidth="1"/>
    <col min="9" max="9" width="21.6640625" style="17" customWidth="1"/>
    <col min="10" max="10" width="21.6640625" customWidth="1"/>
    <col min="11" max="11" width="20.6640625" customWidth="1"/>
  </cols>
  <sheetData>
    <row r="1" spans="1:13">
      <c r="K1" s="3"/>
      <c r="L1" s="3"/>
      <c r="M1" s="3"/>
    </row>
    <row r="2" spans="1:13">
      <c r="K2" s="5"/>
      <c r="L2" s="5"/>
      <c r="M2" s="5"/>
    </row>
    <row r="3" spans="1:13" s="17" customFormat="1">
      <c r="A3" s="18" t="s">
        <v>2</v>
      </c>
      <c r="B3" s="15" t="s">
        <v>3</v>
      </c>
      <c r="C3" s="15" t="s">
        <v>5</v>
      </c>
      <c r="D3" s="15" t="s">
        <v>4</v>
      </c>
      <c r="E3" s="16" t="s">
        <v>525</v>
      </c>
      <c r="F3" s="16" t="s">
        <v>526</v>
      </c>
      <c r="G3" s="16" t="s">
        <v>514</v>
      </c>
      <c r="H3" s="80"/>
      <c r="I3" s="23" t="s">
        <v>514</v>
      </c>
      <c r="J3" s="16"/>
      <c r="K3" s="83" t="s">
        <v>515</v>
      </c>
      <c r="L3" s="83"/>
    </row>
    <row r="4" spans="1:13">
      <c r="A4" s="19" t="str">
        <f>'Raw Data'!R14</f>
        <v>Books</v>
      </c>
      <c r="B4" s="6" t="str">
        <f>'Raw Data'!S14</f>
        <v>Alice</v>
      </c>
      <c r="C4" s="20">
        <f>'Raw Data'!U14</f>
        <v>597</v>
      </c>
      <c r="D4" s="21">
        <f>'Raw Data'!V14</f>
        <v>43009</v>
      </c>
      <c r="E4" s="17">
        <f>DAY(D4)</f>
        <v>1</v>
      </c>
      <c r="F4" s="17">
        <f>IF(C4=0,0,1)</f>
        <v>1</v>
      </c>
      <c r="G4" s="22">
        <v>62.1875</v>
      </c>
      <c r="H4" s="13"/>
      <c r="I4" s="81">
        <f ca="1">C4/(INDEX($L$4:$L$7,MATCH(A4,$K$4:$K$7,0))*(1+RANDBETWEEN(-50,50)/100))</f>
        <v>46.279069767441861</v>
      </c>
      <c r="J4" s="13"/>
      <c r="K4" s="82" t="s">
        <v>516</v>
      </c>
      <c r="L4" s="82">
        <v>10</v>
      </c>
    </row>
    <row r="5" spans="1:13">
      <c r="A5" s="19" t="str">
        <f>'Raw Data'!R93</f>
        <v>Clothing</v>
      </c>
      <c r="B5" s="6" t="str">
        <f>'Raw Data'!S93</f>
        <v>Alice</v>
      </c>
      <c r="C5" s="20">
        <f>'Raw Data'!U93</f>
        <v>0</v>
      </c>
      <c r="D5" s="21">
        <f>'Raw Data'!V93</f>
        <v>43009</v>
      </c>
      <c r="E5" s="17">
        <f t="shared" ref="E5:E68" si="0">DAY(D5)</f>
        <v>1</v>
      </c>
      <c r="F5" s="17">
        <f t="shared" ref="F5:F68" si="1">IF(C5=0,0,1)</f>
        <v>0</v>
      </c>
      <c r="G5" s="22">
        <v>0</v>
      </c>
      <c r="H5" s="13"/>
      <c r="I5" s="81">
        <f t="shared" ref="I5:I68" ca="1" si="2">C5/(INDEX($L$4:$L$7,MATCH(A5,$K$4:$K$7,0))*(1+RANDBETWEEN(-50,50)/100))</f>
        <v>0</v>
      </c>
      <c r="J5" s="13"/>
      <c r="K5" s="82" t="s">
        <v>517</v>
      </c>
      <c r="L5" s="82">
        <v>30</v>
      </c>
    </row>
    <row r="6" spans="1:13">
      <c r="A6" s="19" t="str">
        <f>'Raw Data'!R229</f>
        <v>Music</v>
      </c>
      <c r="B6" s="6" t="str">
        <f>'Raw Data'!S229</f>
        <v>Alice</v>
      </c>
      <c r="C6" s="20">
        <f>'Raw Data'!U229</f>
        <v>0</v>
      </c>
      <c r="D6" s="21">
        <f>'Raw Data'!V229</f>
        <v>43009</v>
      </c>
      <c r="E6" s="17">
        <f t="shared" si="0"/>
        <v>1</v>
      </c>
      <c r="F6" s="17">
        <f t="shared" si="1"/>
        <v>0</v>
      </c>
      <c r="G6" s="22">
        <v>0</v>
      </c>
      <c r="H6" s="13"/>
      <c r="I6" s="81">
        <f t="shared" ca="1" si="2"/>
        <v>0</v>
      </c>
      <c r="J6" s="13"/>
      <c r="K6" s="82" t="s">
        <v>518</v>
      </c>
      <c r="L6" s="82">
        <v>5</v>
      </c>
    </row>
    <row r="7" spans="1:13">
      <c r="A7" s="19" t="str">
        <f>'Raw Data'!R425</f>
        <v>Games</v>
      </c>
      <c r="B7" s="6" t="str">
        <f>'Raw Data'!S425</f>
        <v>Alice</v>
      </c>
      <c r="C7" s="20">
        <f>'Raw Data'!U425</f>
        <v>2292</v>
      </c>
      <c r="D7" s="21">
        <f>'Raw Data'!V425</f>
        <v>43009</v>
      </c>
      <c r="E7" s="17">
        <f t="shared" si="0"/>
        <v>1</v>
      </c>
      <c r="F7" s="17">
        <f t="shared" si="1"/>
        <v>1</v>
      </c>
      <c r="G7" s="22">
        <v>63.666666666666664</v>
      </c>
      <c r="H7" s="13"/>
      <c r="I7" s="81">
        <f t="shared" ca="1" si="2"/>
        <v>33.705882352941174</v>
      </c>
      <c r="J7" s="13"/>
      <c r="K7" s="82" t="s">
        <v>519</v>
      </c>
      <c r="L7" s="82">
        <v>50</v>
      </c>
    </row>
    <row r="8" spans="1:13">
      <c r="A8" s="19" t="str">
        <f>'Raw Data'!R154</f>
        <v>Music</v>
      </c>
      <c r="B8" s="6" t="str">
        <f>'Raw Data'!S154</f>
        <v>Barney</v>
      </c>
      <c r="C8" s="20">
        <f>'Raw Data'!U154</f>
        <v>1272</v>
      </c>
      <c r="D8" s="21">
        <f>'Raw Data'!V154</f>
        <v>43009</v>
      </c>
      <c r="E8" s="17">
        <f t="shared" si="0"/>
        <v>1</v>
      </c>
      <c r="F8" s="17">
        <f t="shared" si="1"/>
        <v>1</v>
      </c>
      <c r="G8" s="22">
        <v>267.78947368421052</v>
      </c>
      <c r="H8" s="13"/>
      <c r="I8" s="81">
        <f t="shared" ca="1" si="2"/>
        <v>237.75700934579436</v>
      </c>
      <c r="J8" s="13"/>
    </row>
    <row r="9" spans="1:13">
      <c r="A9" s="19" t="str">
        <f>'Raw Data'!R350</f>
        <v>Clothing</v>
      </c>
      <c r="B9" s="6" t="str">
        <f>'Raw Data'!S350</f>
        <v>Barney</v>
      </c>
      <c r="C9" s="20">
        <f>'Raw Data'!U350</f>
        <v>732</v>
      </c>
      <c r="D9" s="21">
        <f>'Raw Data'!V350</f>
        <v>43009</v>
      </c>
      <c r="E9" s="17">
        <f t="shared" si="0"/>
        <v>1</v>
      </c>
      <c r="F9" s="17">
        <f t="shared" si="1"/>
        <v>1</v>
      </c>
      <c r="G9" s="22">
        <v>24.646464646464647</v>
      </c>
      <c r="H9" s="13"/>
      <c r="I9" s="81">
        <f t="shared" ca="1" si="2"/>
        <v>27.72727272727273</v>
      </c>
      <c r="J9" s="13"/>
    </row>
    <row r="10" spans="1:13">
      <c r="A10" s="19" t="str">
        <f>'Raw Data'!R365</f>
        <v>Books</v>
      </c>
      <c r="B10" s="6" t="str">
        <f>'Raw Data'!S365</f>
        <v>Barney</v>
      </c>
      <c r="C10" s="20">
        <f>'Raw Data'!U365</f>
        <v>686</v>
      </c>
      <c r="D10" s="21">
        <f>'Raw Data'!V365</f>
        <v>43009</v>
      </c>
      <c r="E10" s="17">
        <f t="shared" si="0"/>
        <v>1</v>
      </c>
      <c r="F10" s="17">
        <f t="shared" si="1"/>
        <v>1</v>
      </c>
      <c r="G10" s="22">
        <v>55.77235772357723</v>
      </c>
      <c r="H10" s="13"/>
      <c r="I10" s="81">
        <f t="shared" ca="1" si="2"/>
        <v>62.363636363636367</v>
      </c>
      <c r="J10" s="13"/>
    </row>
    <row r="11" spans="1:13">
      <c r="A11" s="19" t="str">
        <f>'Raw Data'!R382</f>
        <v>Games</v>
      </c>
      <c r="B11" s="6" t="str">
        <f>'Raw Data'!S382</f>
        <v>Barney</v>
      </c>
      <c r="C11" s="20">
        <f>'Raw Data'!U382</f>
        <v>1477</v>
      </c>
      <c r="D11" s="21">
        <f>'Raw Data'!V382</f>
        <v>43009</v>
      </c>
      <c r="E11" s="17">
        <f t="shared" si="0"/>
        <v>1</v>
      </c>
      <c r="F11" s="17">
        <f t="shared" si="1"/>
        <v>1</v>
      </c>
      <c r="G11" s="22">
        <v>32.46153846153846</v>
      </c>
      <c r="H11" s="13"/>
      <c r="I11" s="81">
        <f t="shared" ca="1" si="2"/>
        <v>54.703703703703702</v>
      </c>
      <c r="J11" s="13"/>
    </row>
    <row r="12" spans="1:13">
      <c r="A12" s="19" t="str">
        <f>'Raw Data'!R157</f>
        <v>Games</v>
      </c>
      <c r="B12" s="6" t="str">
        <f>'Raw Data'!S157</f>
        <v>Carol</v>
      </c>
      <c r="C12" s="20">
        <f>'Raw Data'!U157</f>
        <v>1451</v>
      </c>
      <c r="D12" s="21">
        <f>'Raw Data'!V157</f>
        <v>43009</v>
      </c>
      <c r="E12" s="17">
        <f t="shared" si="0"/>
        <v>1</v>
      </c>
      <c r="F12" s="17">
        <f t="shared" si="1"/>
        <v>1</v>
      </c>
      <c r="G12" s="22">
        <v>53.74074074074074</v>
      </c>
      <c r="H12" s="13"/>
      <c r="I12" s="81">
        <f t="shared" ca="1" si="2"/>
        <v>21.496296296296297</v>
      </c>
      <c r="J12" s="13"/>
    </row>
    <row r="13" spans="1:13">
      <c r="A13" s="19" t="str">
        <f>'Raw Data'!R159</f>
        <v>Books</v>
      </c>
      <c r="B13" s="6" t="str">
        <f>'Raw Data'!S159</f>
        <v>Carol</v>
      </c>
      <c r="C13" s="20">
        <f>'Raw Data'!U159</f>
        <v>670</v>
      </c>
      <c r="D13" s="21">
        <f>'Raw Data'!V159</f>
        <v>43009</v>
      </c>
      <c r="E13" s="17">
        <f t="shared" si="0"/>
        <v>1</v>
      </c>
      <c r="F13" s="17">
        <f t="shared" si="1"/>
        <v>1</v>
      </c>
      <c r="G13" s="22">
        <v>46.206896551724135</v>
      </c>
      <c r="H13" s="13"/>
      <c r="I13" s="81">
        <f t="shared" ca="1" si="2"/>
        <v>80.722891566265076</v>
      </c>
      <c r="J13" s="13"/>
    </row>
    <row r="14" spans="1:13">
      <c r="A14" s="19" t="str">
        <f>'Raw Data'!R262</f>
        <v>Music</v>
      </c>
      <c r="B14" s="6" t="str">
        <f>'Raw Data'!S262</f>
        <v>Carol</v>
      </c>
      <c r="C14" s="20">
        <f>'Raw Data'!U262</f>
        <v>902</v>
      </c>
      <c r="D14" s="21">
        <f>'Raw Data'!V262</f>
        <v>43009</v>
      </c>
      <c r="E14" s="17">
        <f t="shared" si="0"/>
        <v>1</v>
      </c>
      <c r="F14" s="17">
        <f t="shared" si="1"/>
        <v>1</v>
      </c>
      <c r="G14" s="22">
        <v>156.86956521739131</v>
      </c>
      <c r="H14" s="13"/>
      <c r="I14" s="81">
        <f t="shared" ca="1" si="2"/>
        <v>187.91666666666669</v>
      </c>
      <c r="J14" s="13"/>
    </row>
    <row r="15" spans="1:13">
      <c r="A15" s="19" t="str">
        <f>'Raw Data'!R403</f>
        <v>Clothing</v>
      </c>
      <c r="B15" s="6" t="str">
        <f>'Raw Data'!S403</f>
        <v>Carol</v>
      </c>
      <c r="C15" s="20">
        <f>'Raw Data'!U403</f>
        <v>988</v>
      </c>
      <c r="D15" s="21">
        <f>'Raw Data'!V403</f>
        <v>43009</v>
      </c>
      <c r="E15" s="17">
        <f t="shared" si="0"/>
        <v>1</v>
      </c>
      <c r="F15" s="17">
        <f t="shared" si="1"/>
        <v>1</v>
      </c>
      <c r="G15" s="22">
        <v>41.166666666666664</v>
      </c>
      <c r="H15" s="13"/>
      <c r="I15" s="81">
        <f t="shared" ca="1" si="2"/>
        <v>28.148148148148152</v>
      </c>
      <c r="J15" s="13"/>
    </row>
    <row r="16" spans="1:13">
      <c r="A16" s="19" t="str">
        <f>'Raw Data'!R338</f>
        <v>Clothing</v>
      </c>
      <c r="B16" s="6" t="str">
        <f>'Raw Data'!S338</f>
        <v>David</v>
      </c>
      <c r="C16" s="20">
        <f>'Raw Data'!U338</f>
        <v>610</v>
      </c>
      <c r="D16" s="21">
        <f>'Raw Data'!V338</f>
        <v>43009</v>
      </c>
      <c r="E16" s="17">
        <f t="shared" si="0"/>
        <v>1</v>
      </c>
      <c r="F16" s="17">
        <f t="shared" si="1"/>
        <v>1</v>
      </c>
      <c r="G16" s="22">
        <v>16.137566137566139</v>
      </c>
      <c r="H16" s="13"/>
      <c r="I16" s="81">
        <f t="shared" ca="1" si="2"/>
        <v>27.477477477477478</v>
      </c>
      <c r="J16" s="13"/>
    </row>
    <row r="17" spans="1:10">
      <c r="A17" s="19" t="str">
        <f>'Raw Data'!R392</f>
        <v>Games</v>
      </c>
      <c r="B17" s="6" t="str">
        <f>'Raw Data'!S392</f>
        <v>David</v>
      </c>
      <c r="C17" s="20">
        <f>'Raw Data'!U392</f>
        <v>1810</v>
      </c>
      <c r="D17" s="21">
        <f>'Raw Data'!V392</f>
        <v>43009</v>
      </c>
      <c r="E17" s="17">
        <f t="shared" si="0"/>
        <v>1</v>
      </c>
      <c r="F17" s="17">
        <f t="shared" si="1"/>
        <v>1</v>
      </c>
      <c r="G17" s="22">
        <v>47.631578947368418</v>
      </c>
      <c r="H17" s="13"/>
      <c r="I17" s="81">
        <f t="shared" ca="1" si="2"/>
        <v>62.41379310344827</v>
      </c>
      <c r="J17" s="13"/>
    </row>
    <row r="18" spans="1:10">
      <c r="A18" s="19" t="str">
        <f>'Raw Data'!R432</f>
        <v>Music</v>
      </c>
      <c r="B18" s="6" t="str">
        <f>'Raw Data'!S432</f>
        <v>David</v>
      </c>
      <c r="C18" s="20">
        <f>'Raw Data'!U432</f>
        <v>1396</v>
      </c>
      <c r="D18" s="21">
        <f>'Raw Data'!V432</f>
        <v>43009</v>
      </c>
      <c r="E18" s="17">
        <f t="shared" si="0"/>
        <v>1</v>
      </c>
      <c r="F18" s="17">
        <f t="shared" si="1"/>
        <v>1</v>
      </c>
      <c r="G18" s="22">
        <v>205.29411764705887</v>
      </c>
      <c r="H18" s="13"/>
      <c r="I18" s="81">
        <f t="shared" ca="1" si="2"/>
        <v>332.38095238095235</v>
      </c>
      <c r="J18" s="13"/>
    </row>
    <row r="19" spans="1:10">
      <c r="A19" s="19" t="str">
        <f>'Raw Data'!R466</f>
        <v>Books</v>
      </c>
      <c r="B19" s="6" t="str">
        <f>'Raw Data'!S466</f>
        <v>David</v>
      </c>
      <c r="C19" s="20">
        <f>'Raw Data'!U466</f>
        <v>0</v>
      </c>
      <c r="D19" s="21">
        <f>'Raw Data'!V466</f>
        <v>43009</v>
      </c>
      <c r="E19" s="17">
        <f t="shared" si="0"/>
        <v>1</v>
      </c>
      <c r="F19" s="17">
        <f t="shared" si="1"/>
        <v>0</v>
      </c>
      <c r="G19" s="22">
        <v>0</v>
      </c>
      <c r="H19" s="13"/>
      <c r="I19" s="81">
        <f t="shared" ca="1" si="2"/>
        <v>0</v>
      </c>
      <c r="J19" s="13"/>
    </row>
    <row r="20" spans="1:10">
      <c r="A20" s="19" t="str">
        <f>'Raw Data'!R173</f>
        <v>Clothing</v>
      </c>
      <c r="B20" s="6" t="str">
        <f>'Raw Data'!S173</f>
        <v>Alice</v>
      </c>
      <c r="C20" s="20">
        <f>'Raw Data'!U173</f>
        <v>1657</v>
      </c>
      <c r="D20" s="21">
        <f>'Raw Data'!V173</f>
        <v>43010</v>
      </c>
      <c r="E20" s="17">
        <f t="shared" si="0"/>
        <v>2</v>
      </c>
      <c r="F20" s="17">
        <f t="shared" si="1"/>
        <v>1</v>
      </c>
      <c r="G20" s="22">
        <v>42.162849872773535</v>
      </c>
      <c r="H20" s="13"/>
      <c r="I20" s="81">
        <f t="shared" ca="1" si="2"/>
        <v>98.63095238095238</v>
      </c>
      <c r="J20" s="13"/>
    </row>
    <row r="21" spans="1:10">
      <c r="A21" s="19" t="str">
        <f>'Raw Data'!R226</f>
        <v>Music</v>
      </c>
      <c r="B21" s="6" t="str">
        <f>'Raw Data'!S226</f>
        <v>Alice</v>
      </c>
      <c r="C21" s="20">
        <f>'Raw Data'!U226</f>
        <v>975</v>
      </c>
      <c r="D21" s="21">
        <f>'Raw Data'!V226</f>
        <v>43010</v>
      </c>
      <c r="E21" s="17">
        <f t="shared" si="0"/>
        <v>2</v>
      </c>
      <c r="F21" s="17">
        <f t="shared" si="1"/>
        <v>1</v>
      </c>
      <c r="G21" s="22">
        <v>224.13793103448279</v>
      </c>
      <c r="H21" s="13"/>
      <c r="I21" s="81">
        <f t="shared" ca="1" si="2"/>
        <v>314.51612903225805</v>
      </c>
      <c r="J21" s="13"/>
    </row>
    <row r="22" spans="1:10">
      <c r="A22" s="19" t="str">
        <f>'Raw Data'!R427</f>
        <v>Books</v>
      </c>
      <c r="B22" s="6" t="str">
        <f>'Raw Data'!S427</f>
        <v>Alice</v>
      </c>
      <c r="C22" s="20">
        <f>'Raw Data'!U427</f>
        <v>547</v>
      </c>
      <c r="D22" s="21">
        <f>'Raw Data'!V427</f>
        <v>43010</v>
      </c>
      <c r="E22" s="17">
        <f t="shared" si="0"/>
        <v>2</v>
      </c>
      <c r="F22" s="17">
        <f t="shared" si="1"/>
        <v>1</v>
      </c>
      <c r="G22" s="22">
        <v>53.627450980392162</v>
      </c>
      <c r="H22" s="13"/>
      <c r="I22" s="81">
        <f t="shared" ca="1" si="2"/>
        <v>39.352517985611506</v>
      </c>
      <c r="J22" s="13"/>
    </row>
    <row r="23" spans="1:10">
      <c r="A23" s="19" t="str">
        <f>'Raw Data'!R471</f>
        <v>Games</v>
      </c>
      <c r="B23" s="6" t="str">
        <f>'Raw Data'!S471</f>
        <v>Alice</v>
      </c>
      <c r="C23" s="20">
        <f>'Raw Data'!U471</f>
        <v>0</v>
      </c>
      <c r="D23" s="21">
        <f>'Raw Data'!V471</f>
        <v>43010</v>
      </c>
      <c r="E23" s="17">
        <f t="shared" si="0"/>
        <v>2</v>
      </c>
      <c r="F23" s="17">
        <f t="shared" si="1"/>
        <v>0</v>
      </c>
      <c r="G23" s="22">
        <v>0</v>
      </c>
      <c r="H23" s="13"/>
      <c r="I23" s="81">
        <f t="shared" ca="1" si="2"/>
        <v>0</v>
      </c>
      <c r="J23" s="13"/>
    </row>
    <row r="24" spans="1:10">
      <c r="A24" s="19" t="str">
        <f>'Raw Data'!R88</f>
        <v>Music</v>
      </c>
      <c r="B24" s="6" t="str">
        <f>'Raw Data'!S88</f>
        <v>Barney</v>
      </c>
      <c r="C24" s="20">
        <f>'Raw Data'!U88</f>
        <v>927</v>
      </c>
      <c r="D24" s="21">
        <f>'Raw Data'!V88</f>
        <v>43010</v>
      </c>
      <c r="E24" s="17">
        <f t="shared" si="0"/>
        <v>2</v>
      </c>
      <c r="F24" s="17">
        <f t="shared" si="1"/>
        <v>1</v>
      </c>
      <c r="G24" s="22">
        <v>126.12244897959184</v>
      </c>
      <c r="H24" s="13"/>
      <c r="I24" s="81">
        <f t="shared" ca="1" si="2"/>
        <v>187.27272727272725</v>
      </c>
      <c r="J24" s="13"/>
    </row>
    <row r="25" spans="1:10">
      <c r="A25" s="19" t="str">
        <f>'Raw Data'!R200</f>
        <v>Games</v>
      </c>
      <c r="B25" s="6" t="str">
        <f>'Raw Data'!S200</f>
        <v>Barney</v>
      </c>
      <c r="C25" s="20">
        <f>'Raw Data'!U200</f>
        <v>2368</v>
      </c>
      <c r="D25" s="21">
        <f>'Raw Data'!V200</f>
        <v>43010</v>
      </c>
      <c r="E25" s="17">
        <f t="shared" si="0"/>
        <v>2</v>
      </c>
      <c r="F25" s="17">
        <f t="shared" si="1"/>
        <v>1</v>
      </c>
      <c r="G25" s="22">
        <v>78.933333333333337</v>
      </c>
      <c r="H25" s="13"/>
      <c r="I25" s="81">
        <f t="shared" ca="1" si="2"/>
        <v>51.478260869565219</v>
      </c>
      <c r="J25" s="13"/>
    </row>
    <row r="26" spans="1:10">
      <c r="A26" s="19" t="str">
        <f>'Raw Data'!R263</f>
        <v>Books</v>
      </c>
      <c r="B26" s="6" t="str">
        <f>'Raw Data'!S263</f>
        <v>Barney</v>
      </c>
      <c r="C26" s="20">
        <f>'Raw Data'!U263</f>
        <v>885</v>
      </c>
      <c r="D26" s="21">
        <f>'Raw Data'!V263</f>
        <v>43010</v>
      </c>
      <c r="E26" s="17">
        <f t="shared" si="0"/>
        <v>2</v>
      </c>
      <c r="F26" s="17">
        <f t="shared" si="1"/>
        <v>1</v>
      </c>
      <c r="G26" s="22">
        <v>73.140495867768593</v>
      </c>
      <c r="H26" s="13"/>
      <c r="I26" s="81">
        <f t="shared" ca="1" si="2"/>
        <v>128.2608695652174</v>
      </c>
      <c r="J26" s="13"/>
    </row>
    <row r="27" spans="1:10">
      <c r="A27" s="19" t="str">
        <f>'Raw Data'!R490</f>
        <v>Clothing</v>
      </c>
      <c r="B27" s="6" t="str">
        <f>'Raw Data'!S490</f>
        <v>Barney</v>
      </c>
      <c r="C27" s="20">
        <f>'Raw Data'!U490</f>
        <v>1988</v>
      </c>
      <c r="D27" s="21">
        <f>'Raw Data'!V490</f>
        <v>43010</v>
      </c>
      <c r="E27" s="17">
        <f t="shared" si="0"/>
        <v>2</v>
      </c>
      <c r="F27" s="17">
        <f t="shared" si="1"/>
        <v>1</v>
      </c>
      <c r="G27" s="22">
        <v>55.68627450980393</v>
      </c>
      <c r="H27" s="13"/>
      <c r="I27" s="81">
        <f t="shared" ca="1" si="2"/>
        <v>50.58524173027989</v>
      </c>
      <c r="J27" s="13"/>
    </row>
    <row r="28" spans="1:10">
      <c r="A28" s="19" t="str">
        <f>'Raw Data'!R30</f>
        <v>Books</v>
      </c>
      <c r="B28" s="6" t="str">
        <f>'Raw Data'!S30</f>
        <v>Carol</v>
      </c>
      <c r="C28" s="20">
        <f>'Raw Data'!U30</f>
        <v>0</v>
      </c>
      <c r="D28" s="21">
        <f>'Raw Data'!V30</f>
        <v>43010</v>
      </c>
      <c r="E28" s="17">
        <f t="shared" si="0"/>
        <v>2</v>
      </c>
      <c r="F28" s="17">
        <f t="shared" si="1"/>
        <v>0</v>
      </c>
      <c r="G28" s="22">
        <v>0</v>
      </c>
      <c r="H28" s="13"/>
      <c r="I28" s="81">
        <f t="shared" ca="1" si="2"/>
        <v>0</v>
      </c>
      <c r="J28" s="13"/>
    </row>
    <row r="29" spans="1:10">
      <c r="A29" s="19" t="str">
        <f>'Raw Data'!R138</f>
        <v>Clothing</v>
      </c>
      <c r="B29" s="6" t="str">
        <f>'Raw Data'!S138</f>
        <v>Carol</v>
      </c>
      <c r="C29" s="20">
        <f>'Raw Data'!U138</f>
        <v>0</v>
      </c>
      <c r="D29" s="21">
        <f>'Raw Data'!V138</f>
        <v>43010</v>
      </c>
      <c r="E29" s="17">
        <f t="shared" si="0"/>
        <v>2</v>
      </c>
      <c r="F29" s="17">
        <f t="shared" si="1"/>
        <v>0</v>
      </c>
      <c r="G29" s="22">
        <v>0</v>
      </c>
      <c r="H29" s="13"/>
      <c r="I29" s="81">
        <f t="shared" ca="1" si="2"/>
        <v>0</v>
      </c>
      <c r="J29" s="13"/>
    </row>
    <row r="30" spans="1:10">
      <c r="A30" s="19" t="str">
        <f>'Raw Data'!R395</f>
        <v>Games</v>
      </c>
      <c r="B30" s="6" t="str">
        <f>'Raw Data'!S395</f>
        <v>Carol</v>
      </c>
      <c r="C30" s="20">
        <f>'Raw Data'!U395</f>
        <v>827</v>
      </c>
      <c r="D30" s="21">
        <f>'Raw Data'!V395</f>
        <v>43010</v>
      </c>
      <c r="E30" s="17">
        <f t="shared" si="0"/>
        <v>2</v>
      </c>
      <c r="F30" s="17">
        <f t="shared" si="1"/>
        <v>1</v>
      </c>
      <c r="G30" s="22">
        <v>28.517241379310342</v>
      </c>
      <c r="H30" s="13"/>
      <c r="I30" s="81">
        <f t="shared" ca="1" si="2"/>
        <v>12.625954198473282</v>
      </c>
      <c r="J30" s="13"/>
    </row>
    <row r="31" spans="1:10">
      <c r="A31" s="19" t="str">
        <f>'Raw Data'!R429</f>
        <v>Music</v>
      </c>
      <c r="B31" s="6" t="str">
        <f>'Raw Data'!S429</f>
        <v>Carol</v>
      </c>
      <c r="C31" s="20">
        <f>'Raw Data'!U429</f>
        <v>1007</v>
      </c>
      <c r="D31" s="21">
        <f>'Raw Data'!V429</f>
        <v>43010</v>
      </c>
      <c r="E31" s="17">
        <f t="shared" si="0"/>
        <v>2</v>
      </c>
      <c r="F31" s="17">
        <f t="shared" si="1"/>
        <v>1</v>
      </c>
      <c r="G31" s="22">
        <v>287.71428571428572</v>
      </c>
      <c r="H31" s="13"/>
      <c r="I31" s="81">
        <f t="shared" ca="1" si="2"/>
        <v>188.22429906542055</v>
      </c>
      <c r="J31" s="13"/>
    </row>
    <row r="32" spans="1:10">
      <c r="A32" s="19" t="str">
        <f>'Raw Data'!R41</f>
        <v>Games</v>
      </c>
      <c r="B32" s="6" t="str">
        <f>'Raw Data'!S41</f>
        <v>David</v>
      </c>
      <c r="C32" s="20">
        <f>'Raw Data'!U41</f>
        <v>2153</v>
      </c>
      <c r="D32" s="21">
        <f>'Raw Data'!V41</f>
        <v>43010</v>
      </c>
      <c r="E32" s="17">
        <f t="shared" si="0"/>
        <v>2</v>
      </c>
      <c r="F32" s="17">
        <f t="shared" si="1"/>
        <v>1</v>
      </c>
      <c r="G32" s="22">
        <v>34.725806451612904</v>
      </c>
      <c r="H32" s="13"/>
      <c r="I32" s="81">
        <f t="shared" ca="1" si="2"/>
        <v>41.805825242718448</v>
      </c>
      <c r="J32" s="13"/>
    </row>
    <row r="33" spans="1:10">
      <c r="A33" s="19" t="str">
        <f>'Raw Data'!R270</f>
        <v>Clothing</v>
      </c>
      <c r="B33" s="6" t="str">
        <f>'Raw Data'!S270</f>
        <v>David</v>
      </c>
      <c r="C33" s="20">
        <f>'Raw Data'!U270</f>
        <v>0</v>
      </c>
      <c r="D33" s="21">
        <f>'Raw Data'!V270</f>
        <v>43010</v>
      </c>
      <c r="E33" s="17">
        <f t="shared" si="0"/>
        <v>2</v>
      </c>
      <c r="F33" s="17">
        <f t="shared" si="1"/>
        <v>0</v>
      </c>
      <c r="G33" s="22">
        <v>0</v>
      </c>
      <c r="H33" s="13"/>
      <c r="I33" s="81">
        <f t="shared" ca="1" si="2"/>
        <v>0</v>
      </c>
      <c r="J33" s="13"/>
    </row>
    <row r="34" spans="1:10">
      <c r="A34" s="19" t="str">
        <f>'Raw Data'!R273</f>
        <v>Music</v>
      </c>
      <c r="B34" s="6" t="str">
        <f>'Raw Data'!S273</f>
        <v>David</v>
      </c>
      <c r="C34" s="20">
        <f>'Raw Data'!U273</f>
        <v>1315</v>
      </c>
      <c r="D34" s="21">
        <f>'Raw Data'!V273</f>
        <v>43010</v>
      </c>
      <c r="E34" s="17">
        <f t="shared" si="0"/>
        <v>2</v>
      </c>
      <c r="F34" s="17">
        <f t="shared" si="1"/>
        <v>1</v>
      </c>
      <c r="G34" s="22">
        <v>217.35537190082644</v>
      </c>
      <c r="H34" s="13"/>
      <c r="I34" s="81">
        <f t="shared" ca="1" si="2"/>
        <v>309.41176470588238</v>
      </c>
      <c r="J34" s="13"/>
    </row>
    <row r="35" spans="1:10">
      <c r="A35" s="19" t="str">
        <f>'Raw Data'!R481</f>
        <v>Books</v>
      </c>
      <c r="B35" s="6" t="str">
        <f>'Raw Data'!S481</f>
        <v>David</v>
      </c>
      <c r="C35" s="20">
        <f>'Raw Data'!U481</f>
        <v>890</v>
      </c>
      <c r="D35" s="21">
        <f>'Raw Data'!V481</f>
        <v>43010</v>
      </c>
      <c r="E35" s="17">
        <f t="shared" si="0"/>
        <v>2</v>
      </c>
      <c r="F35" s="17">
        <f t="shared" si="1"/>
        <v>1</v>
      </c>
      <c r="G35" s="22">
        <v>153.44827586206895</v>
      </c>
      <c r="H35" s="13"/>
      <c r="I35" s="81">
        <f t="shared" ca="1" si="2"/>
        <v>59.333333333333336</v>
      </c>
      <c r="J35" s="13"/>
    </row>
    <row r="36" spans="1:10">
      <c r="A36" s="19" t="str">
        <f>'Raw Data'!R117</f>
        <v>Books</v>
      </c>
      <c r="B36" s="6" t="str">
        <f>'Raw Data'!S117</f>
        <v>Alice</v>
      </c>
      <c r="C36" s="20">
        <f>'Raw Data'!U117</f>
        <v>0</v>
      </c>
      <c r="D36" s="21">
        <f>'Raw Data'!V117</f>
        <v>43011</v>
      </c>
      <c r="E36" s="17">
        <f t="shared" si="0"/>
        <v>3</v>
      </c>
      <c r="F36" s="17">
        <f t="shared" si="1"/>
        <v>0</v>
      </c>
      <c r="G36" s="22">
        <v>0</v>
      </c>
      <c r="H36" s="13"/>
      <c r="I36" s="81">
        <f t="shared" ca="1" si="2"/>
        <v>0</v>
      </c>
      <c r="J36" s="13"/>
    </row>
    <row r="37" spans="1:10">
      <c r="A37" s="19" t="str">
        <f>'Raw Data'!R186</f>
        <v>Clothing</v>
      </c>
      <c r="B37" s="6" t="str">
        <f>'Raw Data'!S186</f>
        <v>Alice</v>
      </c>
      <c r="C37" s="20">
        <f>'Raw Data'!U186</f>
        <v>1121</v>
      </c>
      <c r="D37" s="21">
        <f>'Raw Data'!V186</f>
        <v>43011</v>
      </c>
      <c r="E37" s="17">
        <f t="shared" si="0"/>
        <v>3</v>
      </c>
      <c r="F37" s="17">
        <f t="shared" si="1"/>
        <v>1</v>
      </c>
      <c r="G37" s="22">
        <v>27.274939172749392</v>
      </c>
      <c r="H37" s="13"/>
      <c r="I37" s="81">
        <f t="shared" ca="1" si="2"/>
        <v>39.333333333333336</v>
      </c>
      <c r="J37" s="13"/>
    </row>
    <row r="38" spans="1:10">
      <c r="A38" s="19" t="str">
        <f>'Raw Data'!R225</f>
        <v>Music</v>
      </c>
      <c r="B38" s="6" t="str">
        <f>'Raw Data'!S225</f>
        <v>Alice</v>
      </c>
      <c r="C38" s="20">
        <f>'Raw Data'!U225</f>
        <v>0</v>
      </c>
      <c r="D38" s="21">
        <f>'Raw Data'!V225</f>
        <v>43011</v>
      </c>
      <c r="E38" s="17">
        <f t="shared" si="0"/>
        <v>3</v>
      </c>
      <c r="F38" s="17">
        <f t="shared" si="1"/>
        <v>0</v>
      </c>
      <c r="G38" s="22">
        <v>0</v>
      </c>
      <c r="H38" s="13"/>
      <c r="I38" s="81">
        <f t="shared" ca="1" si="2"/>
        <v>0</v>
      </c>
      <c r="J38" s="13"/>
    </row>
    <row r="39" spans="1:10">
      <c r="A39" s="19" t="str">
        <f>'Raw Data'!R375</f>
        <v>Games</v>
      </c>
      <c r="B39" s="6" t="str">
        <f>'Raw Data'!S375</f>
        <v>Alice</v>
      </c>
      <c r="C39" s="20">
        <f>'Raw Data'!U375</f>
        <v>0</v>
      </c>
      <c r="D39" s="21">
        <f>'Raw Data'!V375</f>
        <v>43011</v>
      </c>
      <c r="E39" s="17">
        <f t="shared" si="0"/>
        <v>3</v>
      </c>
      <c r="F39" s="17">
        <f t="shared" si="1"/>
        <v>0</v>
      </c>
      <c r="G39" s="22">
        <v>0</v>
      </c>
      <c r="H39" s="13"/>
      <c r="I39" s="81">
        <f t="shared" ca="1" si="2"/>
        <v>0</v>
      </c>
      <c r="J39" s="13"/>
    </row>
    <row r="40" spans="1:10">
      <c r="A40" s="19" t="str">
        <f>'Raw Data'!R123</f>
        <v>Music</v>
      </c>
      <c r="B40" s="6" t="str">
        <f>'Raw Data'!S123</f>
        <v>Barney</v>
      </c>
      <c r="C40" s="20">
        <f>'Raw Data'!U123</f>
        <v>1170</v>
      </c>
      <c r="D40" s="21">
        <f>'Raw Data'!V123</f>
        <v>43011</v>
      </c>
      <c r="E40" s="17">
        <f t="shared" si="0"/>
        <v>3</v>
      </c>
      <c r="F40" s="17">
        <f t="shared" si="1"/>
        <v>1</v>
      </c>
      <c r="G40" s="22">
        <v>160.27397260273972</v>
      </c>
      <c r="H40" s="13"/>
      <c r="I40" s="81">
        <f t="shared" ca="1" si="2"/>
        <v>170.80291970802918</v>
      </c>
      <c r="J40" s="13"/>
    </row>
    <row r="41" spans="1:10">
      <c r="A41" s="19" t="str">
        <f>'Raw Data'!R175</f>
        <v>Clothing</v>
      </c>
      <c r="B41" s="6" t="str">
        <f>'Raw Data'!S175</f>
        <v>Barney</v>
      </c>
      <c r="C41" s="20">
        <f>'Raw Data'!U175</f>
        <v>0</v>
      </c>
      <c r="D41" s="21">
        <f>'Raw Data'!V175</f>
        <v>43011</v>
      </c>
      <c r="E41" s="17">
        <f t="shared" si="0"/>
        <v>3</v>
      </c>
      <c r="F41" s="17">
        <f t="shared" si="1"/>
        <v>0</v>
      </c>
      <c r="G41" s="22">
        <v>0</v>
      </c>
      <c r="H41" s="13"/>
      <c r="I41" s="81">
        <f t="shared" ca="1" si="2"/>
        <v>0</v>
      </c>
      <c r="J41" s="13"/>
    </row>
    <row r="42" spans="1:10">
      <c r="A42" s="19" t="str">
        <f>'Raw Data'!R292</f>
        <v>Books</v>
      </c>
      <c r="B42" s="6" t="str">
        <f>'Raw Data'!S292</f>
        <v>Barney</v>
      </c>
      <c r="C42" s="20">
        <f>'Raw Data'!U292</f>
        <v>0</v>
      </c>
      <c r="D42" s="21">
        <f>'Raw Data'!V292</f>
        <v>43011</v>
      </c>
      <c r="E42" s="17">
        <f t="shared" si="0"/>
        <v>3</v>
      </c>
      <c r="F42" s="17">
        <f t="shared" si="1"/>
        <v>0</v>
      </c>
      <c r="G42" s="22">
        <v>0</v>
      </c>
      <c r="H42" s="13"/>
      <c r="I42" s="81">
        <f t="shared" ca="1" si="2"/>
        <v>0</v>
      </c>
      <c r="J42" s="13"/>
    </row>
    <row r="43" spans="1:10">
      <c r="A43" s="19" t="str">
        <f>'Raw Data'!R343</f>
        <v>Games</v>
      </c>
      <c r="B43" s="6" t="str">
        <f>'Raw Data'!S343</f>
        <v>Barney</v>
      </c>
      <c r="C43" s="20">
        <f>'Raw Data'!U343</f>
        <v>1957</v>
      </c>
      <c r="D43" s="21">
        <f>'Raw Data'!V343</f>
        <v>43011</v>
      </c>
      <c r="E43" s="17">
        <f t="shared" si="0"/>
        <v>3</v>
      </c>
      <c r="F43" s="17">
        <f t="shared" si="1"/>
        <v>1</v>
      </c>
      <c r="G43" s="22">
        <v>48.320987654320987</v>
      </c>
      <c r="H43" s="13"/>
      <c r="I43" s="81">
        <f t="shared" ca="1" si="2"/>
        <v>38</v>
      </c>
      <c r="J43" s="13"/>
    </row>
    <row r="44" spans="1:10">
      <c r="A44" s="19" t="str">
        <f>'Raw Data'!R19</f>
        <v>Books</v>
      </c>
      <c r="B44" s="6" t="str">
        <f>'Raw Data'!S19</f>
        <v>Carol</v>
      </c>
      <c r="C44" s="20">
        <f>'Raw Data'!U19</f>
        <v>721</v>
      </c>
      <c r="D44" s="21">
        <f>'Raw Data'!V19</f>
        <v>43011</v>
      </c>
      <c r="E44" s="17">
        <f t="shared" si="0"/>
        <v>3</v>
      </c>
      <c r="F44" s="17">
        <f t="shared" si="1"/>
        <v>1</v>
      </c>
      <c r="G44" s="22">
        <v>65.545454545454547</v>
      </c>
      <c r="H44" s="13"/>
      <c r="I44" s="81">
        <f t="shared" ca="1" si="2"/>
        <v>54.621212121212118</v>
      </c>
      <c r="J44" s="13"/>
    </row>
    <row r="45" spans="1:10">
      <c r="A45" s="19" t="str">
        <f>'Raw Data'!R120</f>
        <v>Music</v>
      </c>
      <c r="B45" s="6" t="str">
        <f>'Raw Data'!S120</f>
        <v>Carol</v>
      </c>
      <c r="C45" s="20">
        <f>'Raw Data'!U120</f>
        <v>1061</v>
      </c>
      <c r="D45" s="21">
        <f>'Raw Data'!V120</f>
        <v>43011</v>
      </c>
      <c r="E45" s="17">
        <f t="shared" si="0"/>
        <v>3</v>
      </c>
      <c r="F45" s="17">
        <f t="shared" si="1"/>
        <v>1</v>
      </c>
      <c r="G45" s="22">
        <v>208.03921568627453</v>
      </c>
      <c r="H45" s="13"/>
      <c r="I45" s="81">
        <f t="shared" ca="1" si="2"/>
        <v>275.58441558441558</v>
      </c>
      <c r="J45" s="13"/>
    </row>
    <row r="46" spans="1:10">
      <c r="A46" s="19" t="str">
        <f>'Raw Data'!R131</f>
        <v>Games</v>
      </c>
      <c r="B46" s="6" t="str">
        <f>'Raw Data'!S131</f>
        <v>Carol</v>
      </c>
      <c r="C46" s="20">
        <f>'Raw Data'!U131</f>
        <v>2228</v>
      </c>
      <c r="D46" s="21">
        <f>'Raw Data'!V131</f>
        <v>43011</v>
      </c>
      <c r="E46" s="17">
        <f t="shared" si="0"/>
        <v>3</v>
      </c>
      <c r="F46" s="17">
        <f t="shared" si="1"/>
        <v>1</v>
      </c>
      <c r="G46" s="22">
        <v>38.413793103448278</v>
      </c>
      <c r="H46" s="13"/>
      <c r="I46" s="81">
        <f t="shared" ca="1" si="2"/>
        <v>34.8125</v>
      </c>
      <c r="J46" s="13"/>
    </row>
    <row r="47" spans="1:10">
      <c r="A47" s="19" t="str">
        <f>'Raw Data'!R355</f>
        <v>Clothing</v>
      </c>
      <c r="B47" s="6" t="str">
        <f>'Raw Data'!S355</f>
        <v>Carol</v>
      </c>
      <c r="C47" s="20">
        <f>'Raw Data'!U355</f>
        <v>1069</v>
      </c>
      <c r="D47" s="21">
        <f>'Raw Data'!V355</f>
        <v>43011</v>
      </c>
      <c r="E47" s="17">
        <f t="shared" si="0"/>
        <v>3</v>
      </c>
      <c r="F47" s="17">
        <f t="shared" si="1"/>
        <v>1</v>
      </c>
      <c r="G47" s="22">
        <v>29.694444444444443</v>
      </c>
      <c r="H47" s="13"/>
      <c r="I47" s="81">
        <f t="shared" ca="1" si="2"/>
        <v>33.616352201257861</v>
      </c>
      <c r="J47" s="13"/>
    </row>
    <row r="48" spans="1:10">
      <c r="A48" s="19" t="str">
        <f>'Raw Data'!R134</f>
        <v>Games</v>
      </c>
      <c r="B48" s="6" t="str">
        <f>'Raw Data'!S134</f>
        <v>David</v>
      </c>
      <c r="C48" s="20">
        <f>'Raw Data'!U134</f>
        <v>944</v>
      </c>
      <c r="D48" s="21">
        <f>'Raw Data'!V134</f>
        <v>43011</v>
      </c>
      <c r="E48" s="17">
        <f t="shared" si="0"/>
        <v>3</v>
      </c>
      <c r="F48" s="17">
        <f t="shared" si="1"/>
        <v>1</v>
      </c>
      <c r="G48" s="22">
        <v>13.882352941176471</v>
      </c>
      <c r="H48" s="13"/>
      <c r="I48" s="81">
        <f t="shared" ca="1" si="2"/>
        <v>18.153846153846153</v>
      </c>
      <c r="J48" s="13"/>
    </row>
    <row r="49" spans="1:10">
      <c r="A49" s="19" t="str">
        <f>'Raw Data'!R153</f>
        <v>Books</v>
      </c>
      <c r="B49" s="6" t="str">
        <f>'Raw Data'!S153</f>
        <v>David</v>
      </c>
      <c r="C49" s="20">
        <f>'Raw Data'!U153</f>
        <v>765</v>
      </c>
      <c r="D49" s="21">
        <f>'Raw Data'!V153</f>
        <v>43011</v>
      </c>
      <c r="E49" s="17">
        <f t="shared" si="0"/>
        <v>3</v>
      </c>
      <c r="F49" s="17">
        <f t="shared" si="1"/>
        <v>1</v>
      </c>
      <c r="G49" s="22">
        <v>62.195121951219505</v>
      </c>
      <c r="H49" s="13"/>
      <c r="I49" s="81">
        <f t="shared" ca="1" si="2"/>
        <v>79.6875</v>
      </c>
      <c r="J49" s="13"/>
    </row>
    <row r="50" spans="1:10">
      <c r="A50" s="19" t="str">
        <f>'Raw Data'!R216</f>
        <v>Music</v>
      </c>
      <c r="B50" s="6" t="str">
        <f>'Raw Data'!S216</f>
        <v>David</v>
      </c>
      <c r="C50" s="20">
        <f>'Raw Data'!U216</f>
        <v>0</v>
      </c>
      <c r="D50" s="21">
        <f>'Raw Data'!V216</f>
        <v>43011</v>
      </c>
      <c r="E50" s="17">
        <f t="shared" si="0"/>
        <v>3</v>
      </c>
      <c r="F50" s="17">
        <f t="shared" si="1"/>
        <v>0</v>
      </c>
      <c r="G50" s="22">
        <v>0</v>
      </c>
      <c r="H50" s="13"/>
      <c r="I50" s="81">
        <f t="shared" ca="1" si="2"/>
        <v>0</v>
      </c>
      <c r="J50" s="13"/>
    </row>
    <row r="51" spans="1:10">
      <c r="A51" s="19" t="str">
        <f>'Raw Data'!R428</f>
        <v>Clothing</v>
      </c>
      <c r="B51" s="6" t="str">
        <f>'Raw Data'!S428</f>
        <v>David</v>
      </c>
      <c r="C51" s="20">
        <f>'Raw Data'!U428</f>
        <v>1671</v>
      </c>
      <c r="D51" s="21">
        <f>'Raw Data'!V428</f>
        <v>43011</v>
      </c>
      <c r="E51" s="17">
        <f t="shared" si="0"/>
        <v>3</v>
      </c>
      <c r="F51" s="17">
        <f t="shared" si="1"/>
        <v>1</v>
      </c>
      <c r="G51" s="22">
        <v>70.506329113924039</v>
      </c>
      <c r="H51" s="13"/>
      <c r="I51" s="81">
        <f t="shared" ca="1" si="2"/>
        <v>69.625</v>
      </c>
      <c r="J51" s="13"/>
    </row>
    <row r="52" spans="1:10">
      <c r="A52" s="19" t="str">
        <f>'Raw Data'!R141</f>
        <v>Music</v>
      </c>
      <c r="B52" s="6" t="str">
        <f>'Raw Data'!S141</f>
        <v>Alice</v>
      </c>
      <c r="C52" s="20">
        <f>'Raw Data'!U141</f>
        <v>1461</v>
      </c>
      <c r="D52" s="21">
        <f>'Raw Data'!V141</f>
        <v>43012</v>
      </c>
      <c r="E52" s="17">
        <f t="shared" si="0"/>
        <v>4</v>
      </c>
      <c r="F52" s="17">
        <f t="shared" si="1"/>
        <v>1</v>
      </c>
      <c r="G52" s="22">
        <v>365.25</v>
      </c>
      <c r="H52" s="13"/>
      <c r="I52" s="81">
        <f t="shared" ca="1" si="2"/>
        <v>365.25</v>
      </c>
      <c r="J52" s="13"/>
    </row>
    <row r="53" spans="1:10">
      <c r="A53" s="19" t="str">
        <f>'Raw Data'!R288</f>
        <v>Clothing</v>
      </c>
      <c r="B53" s="6" t="str">
        <f>'Raw Data'!S288</f>
        <v>Alice</v>
      </c>
      <c r="C53" s="20">
        <f>'Raw Data'!U288</f>
        <v>1616</v>
      </c>
      <c r="D53" s="21">
        <f>'Raw Data'!V288</f>
        <v>43012</v>
      </c>
      <c r="E53" s="17">
        <f t="shared" si="0"/>
        <v>4</v>
      </c>
      <c r="F53" s="17">
        <f t="shared" si="1"/>
        <v>1</v>
      </c>
      <c r="G53" s="22">
        <v>67.333333333333329</v>
      </c>
      <c r="H53" s="13"/>
      <c r="I53" s="81">
        <f t="shared" ca="1" si="2"/>
        <v>39.033816425120776</v>
      </c>
      <c r="J53" s="13"/>
    </row>
    <row r="54" spans="1:10">
      <c r="A54" s="19" t="str">
        <f>'Raw Data'!R400</f>
        <v>Books</v>
      </c>
      <c r="B54" s="6" t="str">
        <f>'Raw Data'!S400</f>
        <v>Alice</v>
      </c>
      <c r="C54" s="20">
        <f>'Raw Data'!U400</f>
        <v>716</v>
      </c>
      <c r="D54" s="21">
        <f>'Raw Data'!V400</f>
        <v>43012</v>
      </c>
      <c r="E54" s="17">
        <f t="shared" si="0"/>
        <v>4</v>
      </c>
      <c r="F54" s="17">
        <f t="shared" si="1"/>
        <v>1</v>
      </c>
      <c r="G54" s="22">
        <v>47.733333333333334</v>
      </c>
      <c r="H54" s="13"/>
      <c r="I54" s="81">
        <f t="shared" ca="1" si="2"/>
        <v>61.196581196581199</v>
      </c>
      <c r="J54" s="13"/>
    </row>
    <row r="55" spans="1:10">
      <c r="A55" s="19" t="str">
        <f>'Raw Data'!R440</f>
        <v>Games</v>
      </c>
      <c r="B55" s="6" t="str">
        <f>'Raw Data'!S440</f>
        <v>Alice</v>
      </c>
      <c r="C55" s="20">
        <f>'Raw Data'!U440</f>
        <v>2364</v>
      </c>
      <c r="D55" s="21">
        <f>'Raw Data'!V440</f>
        <v>43012</v>
      </c>
      <c r="E55" s="17">
        <f t="shared" si="0"/>
        <v>4</v>
      </c>
      <c r="F55" s="17">
        <f t="shared" si="1"/>
        <v>1</v>
      </c>
      <c r="G55" s="22">
        <v>33.531914893617021</v>
      </c>
      <c r="H55" s="13"/>
      <c r="I55" s="81">
        <f t="shared" ca="1" si="2"/>
        <v>64.767123287671239</v>
      </c>
      <c r="J55" s="13"/>
    </row>
    <row r="56" spans="1:10">
      <c r="A56" s="19" t="str">
        <f>'Raw Data'!R128</f>
        <v>Books</v>
      </c>
      <c r="B56" s="6" t="str">
        <f>'Raw Data'!S128</f>
        <v>Barney</v>
      </c>
      <c r="C56" s="20">
        <f>'Raw Data'!U128</f>
        <v>818</v>
      </c>
      <c r="D56" s="21">
        <f>'Raw Data'!V128</f>
        <v>43012</v>
      </c>
      <c r="E56" s="17">
        <f t="shared" si="0"/>
        <v>4</v>
      </c>
      <c r="F56" s="17">
        <f t="shared" si="1"/>
        <v>1</v>
      </c>
      <c r="G56" s="22">
        <v>84.329896907216508</v>
      </c>
      <c r="H56" s="13"/>
      <c r="I56" s="81">
        <f t="shared" ca="1" si="2"/>
        <v>71.754385964912274</v>
      </c>
      <c r="J56" s="13"/>
    </row>
    <row r="57" spans="1:10">
      <c r="A57" s="19" t="str">
        <f>'Raw Data'!R167</f>
        <v>Music</v>
      </c>
      <c r="B57" s="6" t="str">
        <f>'Raw Data'!S167</f>
        <v>Barney</v>
      </c>
      <c r="C57" s="20">
        <f>'Raw Data'!U167</f>
        <v>1242</v>
      </c>
      <c r="D57" s="21">
        <f>'Raw Data'!V167</f>
        <v>43012</v>
      </c>
      <c r="E57" s="17">
        <f t="shared" si="0"/>
        <v>4</v>
      </c>
      <c r="F57" s="17">
        <f t="shared" si="1"/>
        <v>1</v>
      </c>
      <c r="G57" s="22">
        <v>195.59055118110237</v>
      </c>
      <c r="H57" s="13"/>
      <c r="I57" s="81">
        <f t="shared" ca="1" si="2"/>
        <v>285.51724137931035</v>
      </c>
      <c r="J57" s="13"/>
    </row>
    <row r="58" spans="1:10">
      <c r="A58" s="19" t="str">
        <f>'Raw Data'!R189</f>
        <v>Games</v>
      </c>
      <c r="B58" s="6" t="str">
        <f>'Raw Data'!S189</f>
        <v>Barney</v>
      </c>
      <c r="C58" s="20">
        <f>'Raw Data'!U189</f>
        <v>0</v>
      </c>
      <c r="D58" s="21">
        <f>'Raw Data'!V189</f>
        <v>43012</v>
      </c>
      <c r="E58" s="17">
        <f t="shared" si="0"/>
        <v>4</v>
      </c>
      <c r="F58" s="17">
        <f t="shared" si="1"/>
        <v>0</v>
      </c>
      <c r="G58" s="22">
        <v>0</v>
      </c>
      <c r="H58" s="13"/>
      <c r="I58" s="81">
        <f t="shared" ca="1" si="2"/>
        <v>0</v>
      </c>
      <c r="J58" s="13"/>
    </row>
    <row r="59" spans="1:10">
      <c r="A59" s="19" t="str">
        <f>'Raw Data'!R271</f>
        <v>Clothing</v>
      </c>
      <c r="B59" s="6" t="str">
        <f>'Raw Data'!S271</f>
        <v>Barney</v>
      </c>
      <c r="C59" s="20">
        <f>'Raw Data'!U271</f>
        <v>1992</v>
      </c>
      <c r="D59" s="21">
        <f>'Raw Data'!V271</f>
        <v>43012</v>
      </c>
      <c r="E59" s="17">
        <f t="shared" si="0"/>
        <v>4</v>
      </c>
      <c r="F59" s="17">
        <f t="shared" si="1"/>
        <v>1</v>
      </c>
      <c r="G59" s="22">
        <v>59.285714285714285</v>
      </c>
      <c r="H59" s="13"/>
      <c r="I59" s="81">
        <f t="shared" ca="1" si="2"/>
        <v>51.472868217054263</v>
      </c>
      <c r="J59" s="13"/>
    </row>
    <row r="60" spans="1:10">
      <c r="A60" s="19" t="str">
        <f>'Raw Data'!R31</f>
        <v>Books</v>
      </c>
      <c r="B60" s="6" t="str">
        <f>'Raw Data'!S31</f>
        <v>Carol</v>
      </c>
      <c r="C60" s="20">
        <f>'Raw Data'!U31</f>
        <v>718</v>
      </c>
      <c r="D60" s="21">
        <f>'Raw Data'!V31</f>
        <v>43012</v>
      </c>
      <c r="E60" s="17">
        <f t="shared" si="0"/>
        <v>4</v>
      </c>
      <c r="F60" s="17">
        <f t="shared" si="1"/>
        <v>1</v>
      </c>
      <c r="G60" s="22">
        <v>52.028985507246382</v>
      </c>
      <c r="H60" s="13"/>
      <c r="I60" s="81">
        <f t="shared" ca="1" si="2"/>
        <v>93.246753246753244</v>
      </c>
      <c r="J60" s="13"/>
    </row>
    <row r="61" spans="1:10">
      <c r="A61" s="19" t="str">
        <f>'Raw Data'!R79</f>
        <v>Clothing</v>
      </c>
      <c r="B61" s="6" t="str">
        <f>'Raw Data'!S79</f>
        <v>Carol</v>
      </c>
      <c r="C61" s="20">
        <f>'Raw Data'!U79</f>
        <v>819</v>
      </c>
      <c r="D61" s="21">
        <f>'Raw Data'!V79</f>
        <v>43012</v>
      </c>
      <c r="E61" s="17">
        <f t="shared" si="0"/>
        <v>4</v>
      </c>
      <c r="F61" s="17">
        <f t="shared" si="1"/>
        <v>1</v>
      </c>
      <c r="G61" s="22">
        <v>37.397260273972606</v>
      </c>
      <c r="H61" s="13"/>
      <c r="I61" s="81">
        <f t="shared" ca="1" si="2"/>
        <v>19.09090909090909</v>
      </c>
      <c r="J61" s="13"/>
    </row>
    <row r="62" spans="1:10">
      <c r="A62" s="19" t="str">
        <f>'Raw Data'!R394</f>
        <v>Music</v>
      </c>
      <c r="B62" s="6" t="str">
        <f>'Raw Data'!S394</f>
        <v>Carol</v>
      </c>
      <c r="C62" s="20">
        <f>'Raw Data'!U394</f>
        <v>1025</v>
      </c>
      <c r="D62" s="21">
        <f>'Raw Data'!V394</f>
        <v>43012</v>
      </c>
      <c r="E62" s="17">
        <f t="shared" si="0"/>
        <v>4</v>
      </c>
      <c r="F62" s="17">
        <f t="shared" si="1"/>
        <v>1</v>
      </c>
      <c r="G62" s="22">
        <v>178.2608695652174</v>
      </c>
      <c r="H62" s="13"/>
      <c r="I62" s="81">
        <f t="shared" ca="1" si="2"/>
        <v>138.51351351351352</v>
      </c>
      <c r="J62" s="13"/>
    </row>
    <row r="63" spans="1:10">
      <c r="A63" s="19" t="str">
        <f>'Raw Data'!R422</f>
        <v>Games</v>
      </c>
      <c r="B63" s="6" t="str">
        <f>'Raw Data'!S422</f>
        <v>Carol</v>
      </c>
      <c r="C63" s="20">
        <f>'Raw Data'!U422</f>
        <v>0</v>
      </c>
      <c r="D63" s="21">
        <f>'Raw Data'!V422</f>
        <v>43012</v>
      </c>
      <c r="E63" s="17">
        <f t="shared" si="0"/>
        <v>4</v>
      </c>
      <c r="F63" s="17">
        <f t="shared" si="1"/>
        <v>0</v>
      </c>
      <c r="G63" s="22">
        <v>0</v>
      </c>
      <c r="H63" s="13"/>
      <c r="I63" s="81">
        <f t="shared" ca="1" si="2"/>
        <v>0</v>
      </c>
      <c r="J63" s="13"/>
    </row>
    <row r="64" spans="1:10">
      <c r="A64" s="19" t="str">
        <f>'Raw Data'!R25</f>
        <v>Clothing</v>
      </c>
      <c r="B64" s="6" t="str">
        <f>'Raw Data'!S25</f>
        <v>David</v>
      </c>
      <c r="C64" s="20">
        <f>'Raw Data'!U25</f>
        <v>1574</v>
      </c>
      <c r="D64" s="21">
        <f>'Raw Data'!V25</f>
        <v>43012</v>
      </c>
      <c r="E64" s="17">
        <f t="shared" si="0"/>
        <v>4</v>
      </c>
      <c r="F64" s="17">
        <f t="shared" si="1"/>
        <v>1</v>
      </c>
      <c r="G64" s="22">
        <v>45.623188405797102</v>
      </c>
      <c r="H64" s="13"/>
      <c r="I64" s="81">
        <f t="shared" ca="1" si="2"/>
        <v>39.747474747474747</v>
      </c>
      <c r="J64" s="13"/>
    </row>
    <row r="65" spans="1:10">
      <c r="A65" s="19" t="str">
        <f>'Raw Data'!R129</f>
        <v>Games</v>
      </c>
      <c r="B65" s="6" t="str">
        <f>'Raw Data'!S129</f>
        <v>David</v>
      </c>
      <c r="C65" s="20">
        <f>'Raw Data'!U129</f>
        <v>0</v>
      </c>
      <c r="D65" s="21">
        <f>'Raw Data'!V129</f>
        <v>43012</v>
      </c>
      <c r="E65" s="17">
        <f t="shared" si="0"/>
        <v>4</v>
      </c>
      <c r="F65" s="17">
        <f t="shared" si="1"/>
        <v>0</v>
      </c>
      <c r="G65" s="22">
        <v>0</v>
      </c>
      <c r="H65" s="13"/>
      <c r="I65" s="81">
        <f t="shared" ca="1" si="2"/>
        <v>0</v>
      </c>
      <c r="J65" s="13"/>
    </row>
    <row r="66" spans="1:10">
      <c r="A66" s="19" t="str">
        <f>'Raw Data'!R160</f>
        <v>Books</v>
      </c>
      <c r="B66" s="6" t="str">
        <f>'Raw Data'!S160</f>
        <v>David</v>
      </c>
      <c r="C66" s="20">
        <f>'Raw Data'!U160</f>
        <v>729</v>
      </c>
      <c r="D66" s="21">
        <f>'Raw Data'!V160</f>
        <v>43012</v>
      </c>
      <c r="E66" s="17">
        <f t="shared" si="0"/>
        <v>4</v>
      </c>
      <c r="F66" s="17">
        <f t="shared" si="1"/>
        <v>1</v>
      </c>
      <c r="G66" s="22">
        <v>117.58064516129032</v>
      </c>
      <c r="H66" s="13"/>
      <c r="I66" s="81">
        <f t="shared" ca="1" si="2"/>
        <v>62.844827586206897</v>
      </c>
      <c r="J66" s="13"/>
    </row>
    <row r="67" spans="1:10">
      <c r="A67" s="19" t="str">
        <f>'Raw Data'!R313</f>
        <v>Music</v>
      </c>
      <c r="B67" s="6" t="str">
        <f>'Raw Data'!S313</f>
        <v>David</v>
      </c>
      <c r="C67" s="20">
        <f>'Raw Data'!U313</f>
        <v>0</v>
      </c>
      <c r="D67" s="21">
        <f>'Raw Data'!V313</f>
        <v>43012</v>
      </c>
      <c r="E67" s="17">
        <f t="shared" si="0"/>
        <v>4</v>
      </c>
      <c r="F67" s="17">
        <f t="shared" si="1"/>
        <v>0</v>
      </c>
      <c r="G67" s="22">
        <v>0</v>
      </c>
      <c r="H67" s="13"/>
      <c r="I67" s="81">
        <f t="shared" ca="1" si="2"/>
        <v>0</v>
      </c>
      <c r="J67" s="13"/>
    </row>
    <row r="68" spans="1:10">
      <c r="A68" s="19" t="str">
        <f>'Raw Data'!R53</f>
        <v>Clothing</v>
      </c>
      <c r="B68" s="6" t="str">
        <f>'Raw Data'!S53</f>
        <v>Alice</v>
      </c>
      <c r="C68" s="20">
        <f>'Raw Data'!U53</f>
        <v>1991</v>
      </c>
      <c r="D68" s="21">
        <f>'Raw Data'!V53</f>
        <v>43013</v>
      </c>
      <c r="E68" s="17">
        <f t="shared" si="0"/>
        <v>5</v>
      </c>
      <c r="F68" s="17">
        <f t="shared" si="1"/>
        <v>1</v>
      </c>
      <c r="G68" s="22">
        <v>51.447028423772608</v>
      </c>
      <c r="H68" s="13"/>
      <c r="I68" s="81">
        <f t="shared" ca="1" si="2"/>
        <v>70.60283687943263</v>
      </c>
      <c r="J68" s="13"/>
    </row>
    <row r="69" spans="1:10">
      <c r="A69" s="19" t="str">
        <f>'Raw Data'!R156</f>
        <v>Music</v>
      </c>
      <c r="B69" s="6" t="str">
        <f>'Raw Data'!S156</f>
        <v>Alice</v>
      </c>
      <c r="C69" s="20">
        <f>'Raw Data'!U156</f>
        <v>1047</v>
      </c>
      <c r="D69" s="21">
        <f>'Raw Data'!V156</f>
        <v>43013</v>
      </c>
      <c r="E69" s="17">
        <f t="shared" ref="E69:E132" si="3">DAY(D69)</f>
        <v>5</v>
      </c>
      <c r="F69" s="17">
        <f t="shared" ref="F69:F132" si="4">IF(C69=0,0,1)</f>
        <v>1</v>
      </c>
      <c r="G69" s="22">
        <v>218.125</v>
      </c>
      <c r="H69" s="13"/>
      <c r="I69" s="81">
        <f t="shared" ref="I69:I132" ca="1" si="5">C69/(INDEX($L$4:$L$7,MATCH(A69,$K$4:$K$7,0))*(1+RANDBETWEEN(-50,50)/100))</f>
        <v>303.47826086956525</v>
      </c>
      <c r="J69" s="13"/>
    </row>
    <row r="70" spans="1:10">
      <c r="A70" s="19" t="str">
        <f>'Raw Data'!R334</f>
        <v>Books</v>
      </c>
      <c r="B70" s="6" t="str">
        <f>'Raw Data'!S334</f>
        <v>Alice</v>
      </c>
      <c r="C70" s="20">
        <f>'Raw Data'!U334</f>
        <v>508</v>
      </c>
      <c r="D70" s="21">
        <f>'Raw Data'!V334</f>
        <v>43013</v>
      </c>
      <c r="E70" s="17">
        <f t="shared" si="3"/>
        <v>5</v>
      </c>
      <c r="F70" s="17">
        <f t="shared" si="4"/>
        <v>1</v>
      </c>
      <c r="G70" s="22">
        <v>46.18181818181818</v>
      </c>
      <c r="H70" s="13"/>
      <c r="I70" s="81">
        <f t="shared" ca="1" si="5"/>
        <v>37.910447761194028</v>
      </c>
      <c r="J70" s="13"/>
    </row>
    <row r="71" spans="1:10">
      <c r="A71" s="19" t="str">
        <f>'Raw Data'!R459</f>
        <v>Games</v>
      </c>
      <c r="B71" s="6" t="str">
        <f>'Raw Data'!S459</f>
        <v>Alice</v>
      </c>
      <c r="C71" s="20">
        <f>'Raw Data'!U459</f>
        <v>2369</v>
      </c>
      <c r="D71" s="21">
        <f>'Raw Data'!V459</f>
        <v>43013</v>
      </c>
      <c r="E71" s="17">
        <f t="shared" si="3"/>
        <v>5</v>
      </c>
      <c r="F71" s="17">
        <f t="shared" si="4"/>
        <v>1</v>
      </c>
      <c r="G71" s="22">
        <v>64.027027027027032</v>
      </c>
      <c r="H71" s="13"/>
      <c r="I71" s="81">
        <f t="shared" ca="1" si="5"/>
        <v>39.483333333333334</v>
      </c>
      <c r="J71" s="13"/>
    </row>
    <row r="72" spans="1:10">
      <c r="A72" s="19" t="str">
        <f>'Raw Data'!R107</f>
        <v>Music</v>
      </c>
      <c r="B72" s="6" t="str">
        <f>'Raw Data'!S107</f>
        <v>Barney</v>
      </c>
      <c r="C72" s="20">
        <f>'Raw Data'!U107</f>
        <v>1492</v>
      </c>
      <c r="D72" s="21">
        <f>'Raw Data'!V107</f>
        <v>43013</v>
      </c>
      <c r="E72" s="17">
        <f t="shared" si="3"/>
        <v>5</v>
      </c>
      <c r="F72" s="17">
        <f t="shared" si="4"/>
        <v>1</v>
      </c>
      <c r="G72" s="22">
        <v>252.88135593220341</v>
      </c>
      <c r="H72" s="13"/>
      <c r="I72" s="81">
        <f t="shared" ca="1" si="5"/>
        <v>252.88135593220341</v>
      </c>
      <c r="J72" s="13"/>
    </row>
    <row r="73" spans="1:10">
      <c r="A73" s="19" t="str">
        <f>'Raw Data'!R196</f>
        <v>Books</v>
      </c>
      <c r="B73" s="6" t="str">
        <f>'Raw Data'!S196</f>
        <v>Barney</v>
      </c>
      <c r="C73" s="20">
        <f>'Raw Data'!U196</f>
        <v>844</v>
      </c>
      <c r="D73" s="21">
        <f>'Raw Data'!V196</f>
        <v>43013</v>
      </c>
      <c r="E73" s="17">
        <f t="shared" si="3"/>
        <v>5</v>
      </c>
      <c r="F73" s="17">
        <f t="shared" si="4"/>
        <v>1</v>
      </c>
      <c r="G73" s="22">
        <v>129.84615384615384</v>
      </c>
      <c r="H73" s="13"/>
      <c r="I73" s="81">
        <f t="shared" ca="1" si="5"/>
        <v>73.391304347826093</v>
      </c>
      <c r="J73" s="13"/>
    </row>
    <row r="74" spans="1:10">
      <c r="A74" s="19" t="str">
        <f>'Raw Data'!R250</f>
        <v>Games</v>
      </c>
      <c r="B74" s="6" t="str">
        <f>'Raw Data'!S250</f>
        <v>Barney</v>
      </c>
      <c r="C74" s="20">
        <f>'Raw Data'!U250</f>
        <v>0</v>
      </c>
      <c r="D74" s="21">
        <f>'Raw Data'!V250</f>
        <v>43013</v>
      </c>
      <c r="E74" s="17">
        <f t="shared" si="3"/>
        <v>5</v>
      </c>
      <c r="F74" s="17">
        <f t="shared" si="4"/>
        <v>0</v>
      </c>
      <c r="G74" s="22">
        <v>0</v>
      </c>
      <c r="H74" s="13"/>
      <c r="I74" s="81">
        <f t="shared" ca="1" si="5"/>
        <v>0</v>
      </c>
      <c r="J74" s="13"/>
    </row>
    <row r="75" spans="1:10">
      <c r="A75" s="19" t="str">
        <f>'Raw Data'!R309</f>
        <v>Clothing</v>
      </c>
      <c r="B75" s="6" t="str">
        <f>'Raw Data'!S309</f>
        <v>Barney</v>
      </c>
      <c r="C75" s="20">
        <f>'Raw Data'!U309</f>
        <v>999</v>
      </c>
      <c r="D75" s="21">
        <f>'Raw Data'!V309</f>
        <v>43013</v>
      </c>
      <c r="E75" s="17">
        <f t="shared" si="3"/>
        <v>5</v>
      </c>
      <c r="F75" s="17">
        <f t="shared" si="4"/>
        <v>1</v>
      </c>
      <c r="G75" s="22">
        <v>24.850746268656714</v>
      </c>
      <c r="H75" s="13"/>
      <c r="I75" s="81">
        <f t="shared" ca="1" si="5"/>
        <v>25.813953488372093</v>
      </c>
      <c r="J75" s="13"/>
    </row>
    <row r="76" spans="1:10">
      <c r="A76" s="19" t="str">
        <f>'Raw Data'!R204</f>
        <v>Clothing</v>
      </c>
      <c r="B76" s="6" t="str">
        <f>'Raw Data'!S204</f>
        <v>Carol</v>
      </c>
      <c r="C76" s="20">
        <f>'Raw Data'!U204</f>
        <v>0</v>
      </c>
      <c r="D76" s="21">
        <f>'Raw Data'!V204</f>
        <v>43013</v>
      </c>
      <c r="E76" s="17">
        <f t="shared" si="3"/>
        <v>5</v>
      </c>
      <c r="F76" s="17">
        <f t="shared" si="4"/>
        <v>0</v>
      </c>
      <c r="G76" s="22">
        <v>0</v>
      </c>
      <c r="H76" s="13"/>
      <c r="I76" s="81">
        <f t="shared" ca="1" si="5"/>
        <v>0</v>
      </c>
      <c r="J76" s="13"/>
    </row>
    <row r="77" spans="1:10">
      <c r="A77" s="19" t="str">
        <f>'Raw Data'!R268</f>
        <v>Games</v>
      </c>
      <c r="B77" s="6" t="str">
        <f>'Raw Data'!S268</f>
        <v>Carol</v>
      </c>
      <c r="C77" s="20">
        <f>'Raw Data'!U268</f>
        <v>2347</v>
      </c>
      <c r="D77" s="21">
        <f>'Raw Data'!V268</f>
        <v>43013</v>
      </c>
      <c r="E77" s="17">
        <f t="shared" si="3"/>
        <v>5</v>
      </c>
      <c r="F77" s="17">
        <f t="shared" si="4"/>
        <v>1</v>
      </c>
      <c r="G77" s="22">
        <v>44.283018867924525</v>
      </c>
      <c r="H77" s="13"/>
      <c r="I77" s="81">
        <f t="shared" ca="1" si="5"/>
        <v>41.539823008849559</v>
      </c>
      <c r="J77" s="13"/>
    </row>
    <row r="78" spans="1:10">
      <c r="A78" s="19" t="str">
        <f>'Raw Data'!R321</f>
        <v>Music</v>
      </c>
      <c r="B78" s="6" t="str">
        <f>'Raw Data'!S321</f>
        <v>Carol</v>
      </c>
      <c r="C78" s="20">
        <f>'Raw Data'!U321</f>
        <v>1428</v>
      </c>
      <c r="D78" s="21">
        <f>'Raw Data'!V321</f>
        <v>43013</v>
      </c>
      <c r="E78" s="17">
        <f t="shared" si="3"/>
        <v>5</v>
      </c>
      <c r="F78" s="17">
        <f t="shared" si="4"/>
        <v>1</v>
      </c>
      <c r="G78" s="22">
        <v>274.61538461538458</v>
      </c>
      <c r="H78" s="13"/>
      <c r="I78" s="81">
        <f t="shared" ca="1" si="5"/>
        <v>259.63636363636363</v>
      </c>
      <c r="J78" s="13"/>
    </row>
    <row r="79" spans="1:10">
      <c r="A79" s="19" t="str">
        <f>'Raw Data'!R352</f>
        <v>Books</v>
      </c>
      <c r="B79" s="6" t="str">
        <f>'Raw Data'!S352</f>
        <v>Carol</v>
      </c>
      <c r="C79" s="20">
        <f>'Raw Data'!U352</f>
        <v>619</v>
      </c>
      <c r="D79" s="21">
        <f>'Raw Data'!V352</f>
        <v>43013</v>
      </c>
      <c r="E79" s="17">
        <f t="shared" si="3"/>
        <v>5</v>
      </c>
      <c r="F79" s="17">
        <f t="shared" si="4"/>
        <v>1</v>
      </c>
      <c r="G79" s="22">
        <v>68.021978021978029</v>
      </c>
      <c r="H79" s="13"/>
      <c r="I79" s="81">
        <f t="shared" ca="1" si="5"/>
        <v>84.794520547945211</v>
      </c>
      <c r="J79" s="13"/>
    </row>
    <row r="80" spans="1:10">
      <c r="A80" s="19" t="str">
        <f>'Raw Data'!R177</f>
        <v>Music</v>
      </c>
      <c r="B80" s="6" t="str">
        <f>'Raw Data'!S177</f>
        <v>David</v>
      </c>
      <c r="C80" s="20">
        <f>'Raw Data'!U177</f>
        <v>1136</v>
      </c>
      <c r="D80" s="21">
        <f>'Raw Data'!V177</f>
        <v>43013</v>
      </c>
      <c r="E80" s="17">
        <f t="shared" si="3"/>
        <v>5</v>
      </c>
      <c r="F80" s="17">
        <f t="shared" si="4"/>
        <v>1</v>
      </c>
      <c r="G80" s="22">
        <v>160</v>
      </c>
      <c r="H80" s="13"/>
      <c r="I80" s="81">
        <f t="shared" ca="1" si="5"/>
        <v>413.09090909090907</v>
      </c>
      <c r="J80" s="13"/>
    </row>
    <row r="81" spans="1:10">
      <c r="A81" s="19" t="str">
        <f>'Raw Data'!R333</f>
        <v>Clothing</v>
      </c>
      <c r="B81" s="6" t="str">
        <f>'Raw Data'!S333</f>
        <v>David</v>
      </c>
      <c r="C81" s="20">
        <f>'Raw Data'!U333</f>
        <v>0</v>
      </c>
      <c r="D81" s="21">
        <f>'Raw Data'!V333</f>
        <v>43013</v>
      </c>
      <c r="E81" s="17">
        <f t="shared" si="3"/>
        <v>5</v>
      </c>
      <c r="F81" s="17">
        <f t="shared" si="4"/>
        <v>0</v>
      </c>
      <c r="G81" s="22">
        <v>0</v>
      </c>
      <c r="H81" s="13"/>
      <c r="I81" s="81">
        <f t="shared" ca="1" si="5"/>
        <v>0</v>
      </c>
      <c r="J81" s="13"/>
    </row>
    <row r="82" spans="1:10">
      <c r="A82" s="19" t="str">
        <f>'Raw Data'!R363</f>
        <v>Games</v>
      </c>
      <c r="B82" s="6" t="str">
        <f>'Raw Data'!S363</f>
        <v>David</v>
      </c>
      <c r="C82" s="20">
        <f>'Raw Data'!U363</f>
        <v>1878</v>
      </c>
      <c r="D82" s="21">
        <f>'Raw Data'!V363</f>
        <v>43013</v>
      </c>
      <c r="E82" s="17">
        <f t="shared" si="3"/>
        <v>5</v>
      </c>
      <c r="F82" s="17">
        <f t="shared" si="4"/>
        <v>1</v>
      </c>
      <c r="G82" s="22">
        <v>28.892307692307693</v>
      </c>
      <c r="H82" s="13"/>
      <c r="I82" s="81">
        <f t="shared" ca="1" si="5"/>
        <v>28.892307692307693</v>
      </c>
      <c r="J82" s="13"/>
    </row>
    <row r="83" spans="1:10">
      <c r="A83" s="19" t="str">
        <f>'Raw Data'!R416</f>
        <v>Books</v>
      </c>
      <c r="B83" s="6" t="str">
        <f>'Raw Data'!S416</f>
        <v>David</v>
      </c>
      <c r="C83" s="20">
        <f>'Raw Data'!U416</f>
        <v>540</v>
      </c>
      <c r="D83" s="21">
        <f>'Raw Data'!V416</f>
        <v>43013</v>
      </c>
      <c r="E83" s="17">
        <f t="shared" si="3"/>
        <v>5</v>
      </c>
      <c r="F83" s="17">
        <f t="shared" si="4"/>
        <v>1</v>
      </c>
      <c r="G83" s="22">
        <v>41.53846153846154</v>
      </c>
      <c r="H83" s="13"/>
      <c r="I83" s="81">
        <f t="shared" ca="1" si="5"/>
        <v>45.378151260504204</v>
      </c>
      <c r="J83" s="13"/>
    </row>
    <row r="84" spans="1:10">
      <c r="A84" s="19" t="str">
        <f>'Raw Data'!R191</f>
        <v>Games</v>
      </c>
      <c r="B84" s="6" t="str">
        <f>'Raw Data'!S191</f>
        <v>Alice</v>
      </c>
      <c r="C84" s="20">
        <f>'Raw Data'!U191</f>
        <v>2406</v>
      </c>
      <c r="D84" s="21">
        <f>'Raw Data'!V191</f>
        <v>43014</v>
      </c>
      <c r="E84" s="17">
        <f t="shared" si="3"/>
        <v>6</v>
      </c>
      <c r="F84" s="17">
        <f t="shared" si="4"/>
        <v>1</v>
      </c>
      <c r="G84" s="22">
        <v>41.843478260869567</v>
      </c>
      <c r="H84" s="13"/>
      <c r="I84" s="81">
        <f t="shared" ca="1" si="5"/>
        <v>65.027027027027032</v>
      </c>
      <c r="J84" s="13"/>
    </row>
    <row r="85" spans="1:10">
      <c r="A85" s="19" t="str">
        <f>'Raw Data'!R329</f>
        <v>Clothing</v>
      </c>
      <c r="B85" s="6" t="str">
        <f>'Raw Data'!S329</f>
        <v>Alice</v>
      </c>
      <c r="C85" s="20">
        <f>'Raw Data'!U329</f>
        <v>680</v>
      </c>
      <c r="D85" s="21">
        <f>'Raw Data'!V329</f>
        <v>43014</v>
      </c>
      <c r="E85" s="17">
        <f t="shared" si="3"/>
        <v>6</v>
      </c>
      <c r="F85" s="17">
        <f t="shared" si="4"/>
        <v>1</v>
      </c>
      <c r="G85" s="22">
        <v>38.41807909604519</v>
      </c>
      <c r="H85" s="13"/>
      <c r="I85" s="81">
        <f t="shared" ca="1" si="5"/>
        <v>34.343434343434346</v>
      </c>
      <c r="J85" s="13"/>
    </row>
    <row r="86" spans="1:10">
      <c r="A86" s="19" t="str">
        <f>'Raw Data'!R480</f>
        <v>Books</v>
      </c>
      <c r="B86" s="6" t="str">
        <f>'Raw Data'!S480</f>
        <v>Alice</v>
      </c>
      <c r="C86" s="20">
        <f>'Raw Data'!U480</f>
        <v>750</v>
      </c>
      <c r="D86" s="21">
        <f>'Raw Data'!V480</f>
        <v>43014</v>
      </c>
      <c r="E86" s="17">
        <f t="shared" si="3"/>
        <v>6</v>
      </c>
      <c r="F86" s="17">
        <f t="shared" si="4"/>
        <v>1</v>
      </c>
      <c r="G86" s="22">
        <v>131.57894736842104</v>
      </c>
      <c r="H86" s="13"/>
      <c r="I86" s="81">
        <f t="shared" ca="1" si="5"/>
        <v>56.390977443609017</v>
      </c>
      <c r="J86" s="13"/>
    </row>
    <row r="87" spans="1:10">
      <c r="A87" s="19" t="str">
        <f>'Raw Data'!R498</f>
        <v>Music</v>
      </c>
      <c r="B87" s="6" t="str">
        <f>'Raw Data'!S498</f>
        <v>Alice</v>
      </c>
      <c r="C87" s="20">
        <f>'Raw Data'!U498</f>
        <v>1010</v>
      </c>
      <c r="D87" s="21">
        <f>'Raw Data'!V498</f>
        <v>43014</v>
      </c>
      <c r="E87" s="17">
        <f t="shared" si="3"/>
        <v>6</v>
      </c>
      <c r="F87" s="17">
        <f t="shared" si="4"/>
        <v>1</v>
      </c>
      <c r="G87" s="22">
        <v>177.19298245614033</v>
      </c>
      <c r="H87" s="13"/>
      <c r="I87" s="81">
        <f t="shared" ca="1" si="5"/>
        <v>221.97802197802199</v>
      </c>
      <c r="J87" s="13"/>
    </row>
    <row r="88" spans="1:10">
      <c r="A88" s="19" t="str">
        <f>'Raw Data'!R114</f>
        <v>Clothing</v>
      </c>
      <c r="B88" s="6" t="str">
        <f>'Raw Data'!S114</f>
        <v>Barney</v>
      </c>
      <c r="C88" s="20">
        <f>'Raw Data'!U114</f>
        <v>883</v>
      </c>
      <c r="D88" s="21">
        <f>'Raw Data'!V114</f>
        <v>43014</v>
      </c>
      <c r="E88" s="17">
        <f t="shared" si="3"/>
        <v>6</v>
      </c>
      <c r="F88" s="17">
        <f t="shared" si="4"/>
        <v>1</v>
      </c>
      <c r="G88" s="22">
        <v>45.989583333333336</v>
      </c>
      <c r="H88" s="13"/>
      <c r="I88" s="81">
        <f t="shared" ca="1" si="5"/>
        <v>27.003058103975533</v>
      </c>
      <c r="J88" s="13"/>
    </row>
    <row r="89" spans="1:10">
      <c r="A89" s="19" t="str">
        <f>'Raw Data'!R171</f>
        <v>Books</v>
      </c>
      <c r="B89" s="6" t="str">
        <f>'Raw Data'!S171</f>
        <v>Barney</v>
      </c>
      <c r="C89" s="20">
        <f>'Raw Data'!U171</f>
        <v>0</v>
      </c>
      <c r="D89" s="21">
        <f>'Raw Data'!V171</f>
        <v>43014</v>
      </c>
      <c r="E89" s="17">
        <f t="shared" si="3"/>
        <v>6</v>
      </c>
      <c r="F89" s="17">
        <f t="shared" si="4"/>
        <v>0</v>
      </c>
      <c r="G89" s="22">
        <v>0</v>
      </c>
      <c r="H89" s="13"/>
      <c r="I89" s="81">
        <f t="shared" ca="1" si="5"/>
        <v>0</v>
      </c>
      <c r="J89" s="13"/>
    </row>
    <row r="90" spans="1:10">
      <c r="A90" s="19" t="str">
        <f>'Raw Data'!R283</f>
        <v>Games</v>
      </c>
      <c r="B90" s="6" t="str">
        <f>'Raw Data'!S283</f>
        <v>Barney</v>
      </c>
      <c r="C90" s="20">
        <f>'Raw Data'!U283</f>
        <v>0</v>
      </c>
      <c r="D90" s="21">
        <f>'Raw Data'!V283</f>
        <v>43014</v>
      </c>
      <c r="E90" s="17">
        <f t="shared" si="3"/>
        <v>6</v>
      </c>
      <c r="F90" s="17">
        <f t="shared" si="4"/>
        <v>0</v>
      </c>
      <c r="G90" s="22">
        <v>0</v>
      </c>
      <c r="H90" s="13"/>
      <c r="I90" s="81">
        <f t="shared" ca="1" si="5"/>
        <v>0</v>
      </c>
      <c r="J90" s="13"/>
    </row>
    <row r="91" spans="1:10">
      <c r="A91" s="19" t="str">
        <f>'Raw Data'!R417</f>
        <v>Music</v>
      </c>
      <c r="B91" s="6" t="str">
        <f>'Raw Data'!S417</f>
        <v>Barney</v>
      </c>
      <c r="C91" s="20">
        <f>'Raw Data'!U417</f>
        <v>973</v>
      </c>
      <c r="D91" s="21">
        <f>'Raw Data'!V417</f>
        <v>43014</v>
      </c>
      <c r="E91" s="17">
        <f t="shared" si="3"/>
        <v>6</v>
      </c>
      <c r="F91" s="17">
        <f t="shared" si="4"/>
        <v>1</v>
      </c>
      <c r="G91" s="22">
        <v>282.02898550724638</v>
      </c>
      <c r="H91" s="13"/>
      <c r="I91" s="81">
        <f t="shared" ca="1" si="5"/>
        <v>138.01418439716312</v>
      </c>
      <c r="J91" s="13"/>
    </row>
    <row r="92" spans="1:10">
      <c r="A92" s="19" t="str">
        <f>'Raw Data'!R242</f>
        <v>Music</v>
      </c>
      <c r="B92" s="6" t="str">
        <f>'Raw Data'!S242</f>
        <v>Carol</v>
      </c>
      <c r="C92" s="20">
        <f>'Raw Data'!U242</f>
        <v>1256</v>
      </c>
      <c r="D92" s="21">
        <f>'Raw Data'!V242</f>
        <v>43014</v>
      </c>
      <c r="E92" s="17">
        <f t="shared" si="3"/>
        <v>6</v>
      </c>
      <c r="F92" s="17">
        <f t="shared" si="4"/>
        <v>1</v>
      </c>
      <c r="G92" s="22">
        <v>191.75572519083968</v>
      </c>
      <c r="H92" s="13"/>
      <c r="I92" s="81">
        <f t="shared" ca="1" si="5"/>
        <v>326.23376623376623</v>
      </c>
      <c r="J92" s="13"/>
    </row>
    <row r="93" spans="1:10">
      <c r="A93" s="19" t="str">
        <f>'Raw Data'!R245</f>
        <v>Books</v>
      </c>
      <c r="B93" s="6" t="str">
        <f>'Raw Data'!S245</f>
        <v>Carol</v>
      </c>
      <c r="C93" s="20">
        <f>'Raw Data'!U245</f>
        <v>0</v>
      </c>
      <c r="D93" s="21">
        <f>'Raw Data'!V245</f>
        <v>43014</v>
      </c>
      <c r="E93" s="17">
        <f t="shared" si="3"/>
        <v>6</v>
      </c>
      <c r="F93" s="17">
        <f t="shared" si="4"/>
        <v>0</v>
      </c>
      <c r="G93" s="22">
        <v>0</v>
      </c>
      <c r="H93" s="13"/>
      <c r="I93" s="81">
        <f t="shared" ca="1" si="5"/>
        <v>0</v>
      </c>
      <c r="J93" s="13"/>
    </row>
    <row r="94" spans="1:10">
      <c r="A94" s="19" t="str">
        <f>'Raw Data'!R348</f>
        <v>Clothing</v>
      </c>
      <c r="B94" s="6" t="str">
        <f>'Raw Data'!S348</f>
        <v>Carol</v>
      </c>
      <c r="C94" s="20">
        <f>'Raw Data'!U348</f>
        <v>0</v>
      </c>
      <c r="D94" s="21">
        <f>'Raw Data'!V348</f>
        <v>43014</v>
      </c>
      <c r="E94" s="17">
        <f t="shared" si="3"/>
        <v>6</v>
      </c>
      <c r="F94" s="17">
        <f t="shared" si="4"/>
        <v>0</v>
      </c>
      <c r="G94" s="22">
        <v>0</v>
      </c>
      <c r="H94" s="13"/>
      <c r="I94" s="81">
        <f t="shared" ca="1" si="5"/>
        <v>0</v>
      </c>
      <c r="J94" s="13"/>
    </row>
    <row r="95" spans="1:10">
      <c r="A95" s="19" t="str">
        <f>'Raw Data'!R362</f>
        <v>Games</v>
      </c>
      <c r="B95" s="6" t="str">
        <f>'Raw Data'!S362</f>
        <v>Carol</v>
      </c>
      <c r="C95" s="20">
        <f>'Raw Data'!U362</f>
        <v>1733</v>
      </c>
      <c r="D95" s="21">
        <f>'Raw Data'!V362</f>
        <v>43014</v>
      </c>
      <c r="E95" s="17">
        <f t="shared" si="3"/>
        <v>6</v>
      </c>
      <c r="F95" s="17">
        <f t="shared" si="4"/>
        <v>1</v>
      </c>
      <c r="G95" s="22">
        <v>30.946428571428566</v>
      </c>
      <c r="H95" s="13"/>
      <c r="I95" s="81">
        <f t="shared" ca="1" si="5"/>
        <v>59.758620689655167</v>
      </c>
      <c r="J95" s="13"/>
    </row>
    <row r="96" spans="1:10">
      <c r="A96" s="19" t="str">
        <f>'Raw Data'!R228</f>
        <v>Music</v>
      </c>
      <c r="B96" s="6" t="str">
        <f>'Raw Data'!S228</f>
        <v>David</v>
      </c>
      <c r="C96" s="20">
        <f>'Raw Data'!U228</f>
        <v>0</v>
      </c>
      <c r="D96" s="21">
        <f>'Raw Data'!V228</f>
        <v>43014</v>
      </c>
      <c r="E96" s="17">
        <f t="shared" si="3"/>
        <v>6</v>
      </c>
      <c r="F96" s="17">
        <f t="shared" si="4"/>
        <v>0</v>
      </c>
      <c r="G96" s="22">
        <v>0</v>
      </c>
      <c r="H96" s="13"/>
      <c r="I96" s="81">
        <f t="shared" ca="1" si="5"/>
        <v>0</v>
      </c>
      <c r="J96" s="13"/>
    </row>
    <row r="97" spans="1:10">
      <c r="A97" s="19" t="str">
        <f>'Raw Data'!R280</f>
        <v>Games</v>
      </c>
      <c r="B97" s="6" t="str">
        <f>'Raw Data'!S280</f>
        <v>David</v>
      </c>
      <c r="C97" s="20">
        <f>'Raw Data'!U280</f>
        <v>1248</v>
      </c>
      <c r="D97" s="21">
        <f>'Raw Data'!V280</f>
        <v>43014</v>
      </c>
      <c r="E97" s="17">
        <f t="shared" si="3"/>
        <v>6</v>
      </c>
      <c r="F97" s="17">
        <f t="shared" si="4"/>
        <v>1</v>
      </c>
      <c r="G97" s="22">
        <v>48.941176470588232</v>
      </c>
      <c r="H97" s="13"/>
      <c r="I97" s="81">
        <f t="shared" ca="1" si="5"/>
        <v>17.577464788732396</v>
      </c>
      <c r="J97" s="13"/>
    </row>
    <row r="98" spans="1:10">
      <c r="A98" s="19" t="str">
        <f>'Raw Data'!R281</f>
        <v>Clothing</v>
      </c>
      <c r="B98" s="6" t="str">
        <f>'Raw Data'!S281</f>
        <v>David</v>
      </c>
      <c r="C98" s="20">
        <f>'Raw Data'!U281</f>
        <v>1106</v>
      </c>
      <c r="D98" s="21">
        <f>'Raw Data'!V281</f>
        <v>43014</v>
      </c>
      <c r="E98" s="17">
        <f t="shared" si="3"/>
        <v>6</v>
      </c>
      <c r="F98" s="17">
        <f t="shared" si="4"/>
        <v>1</v>
      </c>
      <c r="G98" s="22">
        <v>54.215686274509807</v>
      </c>
      <c r="H98" s="13"/>
      <c r="I98" s="81">
        <f t="shared" ca="1" si="5"/>
        <v>42.375478927203062</v>
      </c>
      <c r="J98" s="13"/>
    </row>
    <row r="99" spans="1:10">
      <c r="A99" s="19" t="str">
        <f>'Raw Data'!R296</f>
        <v>Books</v>
      </c>
      <c r="B99" s="6" t="str">
        <f>'Raw Data'!S296</f>
        <v>David</v>
      </c>
      <c r="C99" s="20">
        <f>'Raw Data'!U296</f>
        <v>523</v>
      </c>
      <c r="D99" s="21">
        <f>'Raw Data'!V296</f>
        <v>43014</v>
      </c>
      <c r="E99" s="17">
        <f t="shared" si="3"/>
        <v>6</v>
      </c>
      <c r="F99" s="17">
        <f t="shared" si="4"/>
        <v>1</v>
      </c>
      <c r="G99" s="22">
        <v>37.898550724637687</v>
      </c>
      <c r="H99" s="13"/>
      <c r="I99" s="81">
        <f t="shared" ca="1" si="5"/>
        <v>66.202531645569621</v>
      </c>
      <c r="J99" s="13"/>
    </row>
    <row r="100" spans="1:10">
      <c r="A100" s="19" t="str">
        <f>'Raw Data'!R199</f>
        <v>Music</v>
      </c>
      <c r="B100" s="6" t="str">
        <f>'Raw Data'!S199</f>
        <v>Alice</v>
      </c>
      <c r="C100" s="20">
        <f>'Raw Data'!U199</f>
        <v>924</v>
      </c>
      <c r="D100" s="21">
        <f>'Raw Data'!V199</f>
        <v>43015</v>
      </c>
      <c r="E100" s="17">
        <f t="shared" si="3"/>
        <v>7</v>
      </c>
      <c r="F100" s="17">
        <f t="shared" si="4"/>
        <v>1</v>
      </c>
      <c r="G100" s="22">
        <v>141.06870229007632</v>
      </c>
      <c r="H100" s="13"/>
      <c r="I100" s="81">
        <f t="shared" ca="1" si="5"/>
        <v>214.88372093023256</v>
      </c>
      <c r="J100" s="13"/>
    </row>
    <row r="101" spans="1:10">
      <c r="A101" s="19" t="str">
        <f>'Raw Data'!R236</f>
        <v>Clothing</v>
      </c>
      <c r="B101" s="6" t="str">
        <f>'Raw Data'!S236</f>
        <v>Alice</v>
      </c>
      <c r="C101" s="20">
        <f>'Raw Data'!U236</f>
        <v>1182</v>
      </c>
      <c r="D101" s="21">
        <f>'Raw Data'!V236</f>
        <v>43015</v>
      </c>
      <c r="E101" s="17">
        <f t="shared" si="3"/>
        <v>7</v>
      </c>
      <c r="F101" s="17">
        <f t="shared" si="4"/>
        <v>1</v>
      </c>
      <c r="G101" s="22">
        <v>38.627450980392155</v>
      </c>
      <c r="H101" s="13"/>
      <c r="I101" s="81">
        <f t="shared" ca="1" si="5"/>
        <v>43.777777777777779</v>
      </c>
      <c r="J101" s="13"/>
    </row>
    <row r="102" spans="1:10">
      <c r="A102" s="19" t="str">
        <f>'Raw Data'!R391</f>
        <v>Games</v>
      </c>
      <c r="B102" s="6" t="str">
        <f>'Raw Data'!S391</f>
        <v>Alice</v>
      </c>
      <c r="C102" s="20">
        <f>'Raw Data'!U391</f>
        <v>0</v>
      </c>
      <c r="D102" s="21">
        <f>'Raw Data'!V391</f>
        <v>43015</v>
      </c>
      <c r="E102" s="17">
        <f t="shared" si="3"/>
        <v>7</v>
      </c>
      <c r="F102" s="17">
        <f t="shared" si="4"/>
        <v>0</v>
      </c>
      <c r="G102" s="22">
        <v>0</v>
      </c>
      <c r="H102" s="13"/>
      <c r="I102" s="81">
        <f t="shared" ca="1" si="5"/>
        <v>0</v>
      </c>
      <c r="J102" s="13"/>
    </row>
    <row r="103" spans="1:10">
      <c r="A103" s="19" t="str">
        <f>'Raw Data'!R469</f>
        <v>Books</v>
      </c>
      <c r="B103" s="6" t="str">
        <f>'Raw Data'!S469</f>
        <v>Alice</v>
      </c>
      <c r="C103" s="20">
        <f>'Raw Data'!U469</f>
        <v>0</v>
      </c>
      <c r="D103" s="21">
        <f>'Raw Data'!V469</f>
        <v>43015</v>
      </c>
      <c r="E103" s="17">
        <f t="shared" si="3"/>
        <v>7</v>
      </c>
      <c r="F103" s="17">
        <f t="shared" si="4"/>
        <v>0</v>
      </c>
      <c r="G103" s="22">
        <v>0</v>
      </c>
      <c r="H103" s="13"/>
      <c r="I103" s="81">
        <f t="shared" ca="1" si="5"/>
        <v>0</v>
      </c>
      <c r="J103" s="13"/>
    </row>
    <row r="104" spans="1:10">
      <c r="A104" s="19" t="str">
        <f>'Raw Data'!R89</f>
        <v>Clothing</v>
      </c>
      <c r="B104" s="6" t="str">
        <f>'Raw Data'!S89</f>
        <v>Barney</v>
      </c>
      <c r="C104" s="20">
        <f>'Raw Data'!U89</f>
        <v>1419</v>
      </c>
      <c r="D104" s="21">
        <f>'Raw Data'!V89</f>
        <v>43015</v>
      </c>
      <c r="E104" s="17">
        <f t="shared" si="3"/>
        <v>7</v>
      </c>
      <c r="F104" s="17">
        <f t="shared" si="4"/>
        <v>1</v>
      </c>
      <c r="G104" s="22">
        <v>45.480769230769226</v>
      </c>
      <c r="H104" s="13"/>
      <c r="I104" s="81">
        <f t="shared" ca="1" si="5"/>
        <v>42.232142857142854</v>
      </c>
      <c r="J104" s="13"/>
    </row>
    <row r="105" spans="1:10">
      <c r="A105" s="19" t="str">
        <f>'Raw Data'!R106</f>
        <v>Games</v>
      </c>
      <c r="B105" s="6" t="str">
        <f>'Raw Data'!S106</f>
        <v>Barney</v>
      </c>
      <c r="C105" s="20">
        <f>'Raw Data'!U106</f>
        <v>1117</v>
      </c>
      <c r="D105" s="21">
        <f>'Raw Data'!V106</f>
        <v>43015</v>
      </c>
      <c r="E105" s="17">
        <f t="shared" si="3"/>
        <v>7</v>
      </c>
      <c r="F105" s="17">
        <f t="shared" si="4"/>
        <v>1</v>
      </c>
      <c r="G105" s="22">
        <v>29.786666666666665</v>
      </c>
      <c r="H105" s="13"/>
      <c r="I105" s="81">
        <f t="shared" ca="1" si="5"/>
        <v>20.685185185185187</v>
      </c>
      <c r="J105" s="13"/>
    </row>
    <row r="106" spans="1:10">
      <c r="A106" s="19" t="str">
        <f>'Raw Data'!R221</f>
        <v>Music</v>
      </c>
      <c r="B106" s="6" t="str">
        <f>'Raw Data'!S221</f>
        <v>Barney</v>
      </c>
      <c r="C106" s="20">
        <f>'Raw Data'!U221</f>
        <v>984</v>
      </c>
      <c r="D106" s="21">
        <f>'Raw Data'!V221</f>
        <v>43015</v>
      </c>
      <c r="E106" s="17">
        <f t="shared" si="3"/>
        <v>7</v>
      </c>
      <c r="F106" s="17">
        <f t="shared" si="4"/>
        <v>1</v>
      </c>
      <c r="G106" s="22">
        <v>385.88235294117652</v>
      </c>
      <c r="H106" s="13"/>
      <c r="I106" s="81">
        <f t="shared" ca="1" si="5"/>
        <v>165.37815126050421</v>
      </c>
      <c r="J106" s="13"/>
    </row>
    <row r="107" spans="1:10">
      <c r="A107" s="19" t="str">
        <f>'Raw Data'!R336</f>
        <v>Books</v>
      </c>
      <c r="B107" s="6" t="str">
        <f>'Raw Data'!S336</f>
        <v>Barney</v>
      </c>
      <c r="C107" s="20">
        <f>'Raw Data'!U336</f>
        <v>765</v>
      </c>
      <c r="D107" s="21">
        <f>'Raw Data'!V336</f>
        <v>43015</v>
      </c>
      <c r="E107" s="17">
        <f t="shared" si="3"/>
        <v>7</v>
      </c>
      <c r="F107" s="17">
        <f t="shared" si="4"/>
        <v>1</v>
      </c>
      <c r="G107" s="22">
        <v>131.89655172413791</v>
      </c>
      <c r="H107" s="13"/>
      <c r="I107" s="81">
        <f t="shared" ca="1" si="5"/>
        <v>71.495327102803728</v>
      </c>
      <c r="J107" s="13"/>
    </row>
    <row r="108" spans="1:10">
      <c r="A108" s="19" t="str">
        <f>'Raw Data'!R69</f>
        <v>Games</v>
      </c>
      <c r="B108" s="6" t="str">
        <f>'Raw Data'!S69</f>
        <v>Carol</v>
      </c>
      <c r="C108" s="20">
        <f>'Raw Data'!U69</f>
        <v>0</v>
      </c>
      <c r="D108" s="21">
        <f>'Raw Data'!V69</f>
        <v>43015</v>
      </c>
      <c r="E108" s="17">
        <f t="shared" si="3"/>
        <v>7</v>
      </c>
      <c r="F108" s="17">
        <f t="shared" si="4"/>
        <v>0</v>
      </c>
      <c r="G108" s="22">
        <v>0</v>
      </c>
      <c r="H108" s="13"/>
      <c r="I108" s="81">
        <f t="shared" ca="1" si="5"/>
        <v>0</v>
      </c>
      <c r="J108" s="13"/>
    </row>
    <row r="109" spans="1:10">
      <c r="A109" s="19" t="str">
        <f>'Raw Data'!R277</f>
        <v>Clothing</v>
      </c>
      <c r="B109" s="6" t="str">
        <f>'Raw Data'!S277</f>
        <v>Carol</v>
      </c>
      <c r="C109" s="20">
        <f>'Raw Data'!U277</f>
        <v>1535</v>
      </c>
      <c r="D109" s="21">
        <f>'Raw Data'!V277</f>
        <v>43015</v>
      </c>
      <c r="E109" s="17">
        <f t="shared" si="3"/>
        <v>7</v>
      </c>
      <c r="F109" s="17">
        <f t="shared" si="4"/>
        <v>1</v>
      </c>
      <c r="G109" s="22">
        <v>34.340044742729305</v>
      </c>
      <c r="H109" s="13"/>
      <c r="I109" s="81">
        <f t="shared" ca="1" si="5"/>
        <v>61.646586345381529</v>
      </c>
      <c r="J109" s="13"/>
    </row>
    <row r="110" spans="1:10">
      <c r="A110" s="19" t="str">
        <f>'Raw Data'!R437</f>
        <v>Music</v>
      </c>
      <c r="B110" s="6" t="str">
        <f>'Raw Data'!S437</f>
        <v>Carol</v>
      </c>
      <c r="C110" s="20">
        <f>'Raw Data'!U437</f>
        <v>0</v>
      </c>
      <c r="D110" s="21">
        <f>'Raw Data'!V437</f>
        <v>43015</v>
      </c>
      <c r="E110" s="17">
        <f t="shared" si="3"/>
        <v>7</v>
      </c>
      <c r="F110" s="17">
        <f t="shared" si="4"/>
        <v>0</v>
      </c>
      <c r="G110" s="22">
        <v>0</v>
      </c>
      <c r="H110" s="13"/>
      <c r="I110" s="81">
        <f t="shared" ca="1" si="5"/>
        <v>0</v>
      </c>
      <c r="J110" s="13"/>
    </row>
    <row r="111" spans="1:10">
      <c r="A111" s="19" t="str">
        <f>'Raw Data'!R446</f>
        <v>Books</v>
      </c>
      <c r="B111" s="6" t="str">
        <f>'Raw Data'!S446</f>
        <v>Carol</v>
      </c>
      <c r="C111" s="20">
        <f>'Raw Data'!U446</f>
        <v>0</v>
      </c>
      <c r="D111" s="21">
        <f>'Raw Data'!V446</f>
        <v>43015</v>
      </c>
      <c r="E111" s="17">
        <f t="shared" si="3"/>
        <v>7</v>
      </c>
      <c r="F111" s="17">
        <f t="shared" si="4"/>
        <v>0</v>
      </c>
      <c r="G111" s="22">
        <v>0</v>
      </c>
      <c r="H111" s="13"/>
      <c r="I111" s="81">
        <f t="shared" ca="1" si="5"/>
        <v>0</v>
      </c>
      <c r="J111" s="13"/>
    </row>
    <row r="112" spans="1:10">
      <c r="A112" s="19" t="str">
        <f>'Raw Data'!R35</f>
        <v>Games</v>
      </c>
      <c r="B112" s="6" t="str">
        <f>'Raw Data'!S35</f>
        <v>David</v>
      </c>
      <c r="C112" s="20">
        <f>'Raw Data'!U35</f>
        <v>1489</v>
      </c>
      <c r="D112" s="21">
        <f>'Raw Data'!V35</f>
        <v>43015</v>
      </c>
      <c r="E112" s="17">
        <f t="shared" si="3"/>
        <v>7</v>
      </c>
      <c r="F112" s="17">
        <f t="shared" si="4"/>
        <v>1</v>
      </c>
      <c r="G112" s="22">
        <v>22.732824427480917</v>
      </c>
      <c r="H112" s="13"/>
      <c r="I112" s="81">
        <f t="shared" ca="1" si="5"/>
        <v>55.148148148148145</v>
      </c>
      <c r="J112" s="13"/>
    </row>
    <row r="113" spans="1:10">
      <c r="A113" s="19" t="str">
        <f>'Raw Data'!R68</f>
        <v>Clothing</v>
      </c>
      <c r="B113" s="6" t="str">
        <f>'Raw Data'!S68</f>
        <v>David</v>
      </c>
      <c r="C113" s="20">
        <f>'Raw Data'!U68</f>
        <v>1564</v>
      </c>
      <c r="D113" s="21">
        <f>'Raw Data'!V68</f>
        <v>43015</v>
      </c>
      <c r="E113" s="17">
        <f t="shared" si="3"/>
        <v>7</v>
      </c>
      <c r="F113" s="17">
        <f t="shared" si="4"/>
        <v>1</v>
      </c>
      <c r="G113" s="22">
        <v>45.333333333333336</v>
      </c>
      <c r="H113" s="13"/>
      <c r="I113" s="81">
        <f t="shared" ca="1" si="5"/>
        <v>62.063492063492063</v>
      </c>
      <c r="J113" s="13"/>
    </row>
    <row r="114" spans="1:10">
      <c r="A114" s="19" t="str">
        <f>'Raw Data'!R155</f>
        <v>Music</v>
      </c>
      <c r="B114" s="6" t="str">
        <f>'Raw Data'!S155</f>
        <v>David</v>
      </c>
      <c r="C114" s="20">
        <f>'Raw Data'!U155</f>
        <v>1424</v>
      </c>
      <c r="D114" s="21">
        <f>'Raw Data'!V155</f>
        <v>43015</v>
      </c>
      <c r="E114" s="17">
        <f t="shared" si="3"/>
        <v>7</v>
      </c>
      <c r="F114" s="17">
        <f t="shared" si="4"/>
        <v>1</v>
      </c>
      <c r="G114" s="22">
        <v>266.1682242990654</v>
      </c>
      <c r="H114" s="13"/>
      <c r="I114" s="81">
        <f t="shared" ca="1" si="5"/>
        <v>258.90909090909093</v>
      </c>
      <c r="J114" s="13"/>
    </row>
    <row r="115" spans="1:10">
      <c r="A115" s="19" t="str">
        <f>'Raw Data'!R328</f>
        <v>Books</v>
      </c>
      <c r="B115" s="6" t="str">
        <f>'Raw Data'!S328</f>
        <v>David</v>
      </c>
      <c r="C115" s="20">
        <f>'Raw Data'!U328</f>
        <v>978</v>
      </c>
      <c r="D115" s="21">
        <f>'Raw Data'!V328</f>
        <v>43015</v>
      </c>
      <c r="E115" s="17">
        <f t="shared" si="3"/>
        <v>7</v>
      </c>
      <c r="F115" s="17">
        <f t="shared" si="4"/>
        <v>1</v>
      </c>
      <c r="G115" s="22">
        <v>67.916666666666671</v>
      </c>
      <c r="H115" s="13"/>
      <c r="I115" s="81">
        <f t="shared" ca="1" si="5"/>
        <v>101.875</v>
      </c>
      <c r="J115" s="13"/>
    </row>
    <row r="116" spans="1:10">
      <c r="A116" s="19" t="str">
        <f>'Raw Data'!R147</f>
        <v>Books</v>
      </c>
      <c r="B116" s="6" t="str">
        <f>'Raw Data'!S147</f>
        <v>Alice</v>
      </c>
      <c r="C116" s="20">
        <f>'Raw Data'!U147</f>
        <v>763</v>
      </c>
      <c r="D116" s="21">
        <f>'Raw Data'!V147</f>
        <v>43016</v>
      </c>
      <c r="E116" s="17">
        <f t="shared" si="3"/>
        <v>8</v>
      </c>
      <c r="F116" s="17">
        <f t="shared" si="4"/>
        <v>1</v>
      </c>
      <c r="G116" s="22">
        <v>63.583333333333336</v>
      </c>
      <c r="H116" s="13"/>
      <c r="I116" s="81">
        <f t="shared" ca="1" si="5"/>
        <v>72.666666666666671</v>
      </c>
      <c r="J116" s="13"/>
    </row>
    <row r="117" spans="1:10">
      <c r="A117" s="19" t="str">
        <f>'Raw Data'!R372</f>
        <v>Music</v>
      </c>
      <c r="B117" s="6" t="str">
        <f>'Raw Data'!S372</f>
        <v>Alice</v>
      </c>
      <c r="C117" s="20">
        <f>'Raw Data'!U372</f>
        <v>0</v>
      </c>
      <c r="D117" s="21">
        <f>'Raw Data'!V372</f>
        <v>43016</v>
      </c>
      <c r="E117" s="17">
        <f t="shared" si="3"/>
        <v>8</v>
      </c>
      <c r="F117" s="17">
        <f t="shared" si="4"/>
        <v>0</v>
      </c>
      <c r="G117" s="22">
        <v>0</v>
      </c>
      <c r="H117" s="13"/>
      <c r="I117" s="81">
        <f t="shared" ca="1" si="5"/>
        <v>0</v>
      </c>
      <c r="J117" s="13"/>
    </row>
    <row r="118" spans="1:10">
      <c r="A118" s="19" t="str">
        <f>'Raw Data'!R452</f>
        <v>Games</v>
      </c>
      <c r="B118" s="6" t="str">
        <f>'Raw Data'!S452</f>
        <v>Alice</v>
      </c>
      <c r="C118" s="20">
        <f>'Raw Data'!U452</f>
        <v>1218</v>
      </c>
      <c r="D118" s="21">
        <f>'Raw Data'!V452</f>
        <v>43016</v>
      </c>
      <c r="E118" s="17">
        <f t="shared" si="3"/>
        <v>8</v>
      </c>
      <c r="F118" s="17">
        <f t="shared" si="4"/>
        <v>1</v>
      </c>
      <c r="G118" s="22">
        <v>18.044444444444444</v>
      </c>
      <c r="H118" s="13"/>
      <c r="I118" s="81">
        <f t="shared" ca="1" si="5"/>
        <v>46.846153846153847</v>
      </c>
      <c r="J118" s="13"/>
    </row>
    <row r="119" spans="1:10">
      <c r="A119" s="19" t="str">
        <f>'Raw Data'!R493</f>
        <v>Clothing</v>
      </c>
      <c r="B119" s="6" t="str">
        <f>'Raw Data'!S493</f>
        <v>Alice</v>
      </c>
      <c r="C119" s="20">
        <f>'Raw Data'!U493</f>
        <v>859</v>
      </c>
      <c r="D119" s="21">
        <f>'Raw Data'!V493</f>
        <v>43016</v>
      </c>
      <c r="E119" s="17">
        <f t="shared" si="3"/>
        <v>8</v>
      </c>
      <c r="F119" s="17">
        <f t="shared" si="4"/>
        <v>1</v>
      </c>
      <c r="G119" s="22">
        <v>26.269113149847094</v>
      </c>
      <c r="H119" s="13"/>
      <c r="I119" s="81">
        <f t="shared" ca="1" si="5"/>
        <v>35.791666666666664</v>
      </c>
      <c r="J119" s="13"/>
    </row>
    <row r="120" spans="1:10">
      <c r="A120" s="19" t="str">
        <f>'Raw Data'!R26</f>
        <v>Music</v>
      </c>
      <c r="B120" s="6" t="str">
        <f>'Raw Data'!S26</f>
        <v>Barney</v>
      </c>
      <c r="C120" s="20">
        <f>'Raw Data'!U26</f>
        <v>0</v>
      </c>
      <c r="D120" s="21">
        <f>'Raw Data'!V26</f>
        <v>43016</v>
      </c>
      <c r="E120" s="17">
        <f t="shared" si="3"/>
        <v>8</v>
      </c>
      <c r="F120" s="17">
        <f t="shared" si="4"/>
        <v>0</v>
      </c>
      <c r="G120" s="22">
        <v>0</v>
      </c>
      <c r="H120" s="13"/>
      <c r="I120" s="81">
        <f t="shared" ca="1" si="5"/>
        <v>0</v>
      </c>
      <c r="J120" s="13"/>
    </row>
    <row r="121" spans="1:10">
      <c r="A121" s="19" t="str">
        <f>'Raw Data'!R224</f>
        <v>Clothing</v>
      </c>
      <c r="B121" s="6" t="str">
        <f>'Raw Data'!S224</f>
        <v>Barney</v>
      </c>
      <c r="C121" s="20">
        <f>'Raw Data'!U224</f>
        <v>718</v>
      </c>
      <c r="D121" s="21">
        <f>'Raw Data'!V224</f>
        <v>43016</v>
      </c>
      <c r="E121" s="17">
        <f t="shared" si="3"/>
        <v>8</v>
      </c>
      <c r="F121" s="17">
        <f t="shared" si="4"/>
        <v>1</v>
      </c>
      <c r="G121" s="22">
        <v>24.930555555555557</v>
      </c>
      <c r="H121" s="13"/>
      <c r="I121" s="81">
        <f t="shared" ca="1" si="5"/>
        <v>21.757575757575758</v>
      </c>
      <c r="J121" s="13"/>
    </row>
    <row r="122" spans="1:10">
      <c r="A122" s="19" t="str">
        <f>'Raw Data'!R345</f>
        <v>Games</v>
      </c>
      <c r="B122" s="6" t="str">
        <f>'Raw Data'!S345</f>
        <v>Barney</v>
      </c>
      <c r="C122" s="20">
        <f>'Raw Data'!U345</f>
        <v>1478</v>
      </c>
      <c r="D122" s="21">
        <f>'Raw Data'!V345</f>
        <v>43016</v>
      </c>
      <c r="E122" s="17">
        <f t="shared" si="3"/>
        <v>8</v>
      </c>
      <c r="F122" s="17">
        <f t="shared" si="4"/>
        <v>1</v>
      </c>
      <c r="G122" s="22">
        <v>44.787878787878796</v>
      </c>
      <c r="H122" s="13"/>
      <c r="I122" s="81">
        <f t="shared" ca="1" si="5"/>
        <v>37.417721518987342</v>
      </c>
      <c r="J122" s="13"/>
    </row>
    <row r="123" spans="1:10">
      <c r="A123" s="19" t="str">
        <f>'Raw Data'!R460</f>
        <v>Books</v>
      </c>
      <c r="B123" s="6" t="str">
        <f>'Raw Data'!S460</f>
        <v>Barney</v>
      </c>
      <c r="C123" s="20">
        <f>'Raw Data'!U460</f>
        <v>981</v>
      </c>
      <c r="D123" s="21">
        <f>'Raw Data'!V460</f>
        <v>43016</v>
      </c>
      <c r="E123" s="17">
        <f t="shared" si="3"/>
        <v>8</v>
      </c>
      <c r="F123" s="17">
        <f t="shared" si="4"/>
        <v>1</v>
      </c>
      <c r="G123" s="22">
        <v>160.81967213114754</v>
      </c>
      <c r="H123" s="13"/>
      <c r="I123" s="81">
        <f t="shared" ca="1" si="5"/>
        <v>104.36170212765958</v>
      </c>
      <c r="J123" s="13"/>
    </row>
    <row r="124" spans="1:10">
      <c r="A124" s="19" t="str">
        <f>'Raw Data'!R64</f>
        <v>Books</v>
      </c>
      <c r="B124" s="6" t="str">
        <f>'Raw Data'!S64</f>
        <v>Carol</v>
      </c>
      <c r="C124" s="20">
        <f>'Raw Data'!U64</f>
        <v>591</v>
      </c>
      <c r="D124" s="21">
        <f>'Raw Data'!V64</f>
        <v>43016</v>
      </c>
      <c r="E124" s="17">
        <f t="shared" si="3"/>
        <v>8</v>
      </c>
      <c r="F124" s="17">
        <f t="shared" si="4"/>
        <v>1</v>
      </c>
      <c r="G124" s="22">
        <v>49.663865546218496</v>
      </c>
      <c r="H124" s="13"/>
      <c r="I124" s="81">
        <f t="shared" ca="1" si="5"/>
        <v>45.114503816793885</v>
      </c>
      <c r="J124" s="13"/>
    </row>
    <row r="125" spans="1:10">
      <c r="A125" s="19" t="str">
        <f>'Raw Data'!R103</f>
        <v>Clothing</v>
      </c>
      <c r="B125" s="6" t="str">
        <f>'Raw Data'!S103</f>
        <v>Carol</v>
      </c>
      <c r="C125" s="20">
        <f>'Raw Data'!U103</f>
        <v>772</v>
      </c>
      <c r="D125" s="21">
        <f>'Raw Data'!V103</f>
        <v>43016</v>
      </c>
      <c r="E125" s="17">
        <f t="shared" si="3"/>
        <v>8</v>
      </c>
      <c r="F125" s="17">
        <f t="shared" si="4"/>
        <v>1</v>
      </c>
      <c r="G125" s="22">
        <v>36.244131455399064</v>
      </c>
      <c r="H125" s="13"/>
      <c r="I125" s="81">
        <f t="shared" ca="1" si="5"/>
        <v>18.122065727699532</v>
      </c>
      <c r="J125" s="13"/>
    </row>
    <row r="126" spans="1:10">
      <c r="A126" s="19" t="str">
        <f>'Raw Data'!R206</f>
        <v>Music</v>
      </c>
      <c r="B126" s="6" t="str">
        <f>'Raw Data'!S206</f>
        <v>Carol</v>
      </c>
      <c r="C126" s="20">
        <f>'Raw Data'!U206</f>
        <v>1003</v>
      </c>
      <c r="D126" s="21">
        <f>'Raw Data'!V206</f>
        <v>43016</v>
      </c>
      <c r="E126" s="17">
        <f t="shared" si="3"/>
        <v>8</v>
      </c>
      <c r="F126" s="17">
        <f t="shared" si="4"/>
        <v>1</v>
      </c>
      <c r="G126" s="22">
        <v>206.80412371134022</v>
      </c>
      <c r="H126" s="13"/>
      <c r="I126" s="81">
        <f t="shared" ca="1" si="5"/>
        <v>192.88461538461539</v>
      </c>
      <c r="J126" s="13"/>
    </row>
    <row r="127" spans="1:10">
      <c r="A127" s="19" t="str">
        <f>'Raw Data'!R424</f>
        <v>Games</v>
      </c>
      <c r="B127" s="6" t="str">
        <f>'Raw Data'!S424</f>
        <v>Carol</v>
      </c>
      <c r="C127" s="20">
        <f>'Raw Data'!U424</f>
        <v>2008</v>
      </c>
      <c r="D127" s="21">
        <f>'Raw Data'!V424</f>
        <v>43016</v>
      </c>
      <c r="E127" s="17">
        <f t="shared" si="3"/>
        <v>8</v>
      </c>
      <c r="F127" s="17">
        <f t="shared" si="4"/>
        <v>1</v>
      </c>
      <c r="G127" s="22">
        <v>56.563380281690144</v>
      </c>
      <c r="H127" s="13"/>
      <c r="I127" s="81">
        <f t="shared" ca="1" si="5"/>
        <v>56.563380281690144</v>
      </c>
      <c r="J127" s="13"/>
    </row>
    <row r="128" spans="1:10">
      <c r="A128" s="19" t="str">
        <f>'Raw Data'!R62</f>
        <v>Music</v>
      </c>
      <c r="B128" s="6" t="str">
        <f>'Raw Data'!S62</f>
        <v>David</v>
      </c>
      <c r="C128" s="20">
        <f>'Raw Data'!U62</f>
        <v>1355</v>
      </c>
      <c r="D128" s="21">
        <f>'Raw Data'!V62</f>
        <v>43016</v>
      </c>
      <c r="E128" s="17">
        <f t="shared" si="3"/>
        <v>8</v>
      </c>
      <c r="F128" s="17">
        <f t="shared" si="4"/>
        <v>1</v>
      </c>
      <c r="G128" s="22">
        <v>398.52941176470597</v>
      </c>
      <c r="H128" s="13"/>
      <c r="I128" s="81">
        <f t="shared" ca="1" si="5"/>
        <v>199.26470588235298</v>
      </c>
      <c r="J128" s="13"/>
    </row>
    <row r="129" spans="1:10">
      <c r="A129" s="19" t="str">
        <f>'Raw Data'!R122</f>
        <v>Games</v>
      </c>
      <c r="B129" s="6" t="str">
        <f>'Raw Data'!S122</f>
        <v>David</v>
      </c>
      <c r="C129" s="20">
        <f>'Raw Data'!U122</f>
        <v>2271</v>
      </c>
      <c r="D129" s="21">
        <f>'Raw Data'!V122</f>
        <v>43016</v>
      </c>
      <c r="E129" s="17">
        <f t="shared" si="3"/>
        <v>8</v>
      </c>
      <c r="F129" s="17">
        <f t="shared" si="4"/>
        <v>1</v>
      </c>
      <c r="G129" s="22">
        <v>87.34615384615384</v>
      </c>
      <c r="H129" s="13"/>
      <c r="I129" s="81">
        <f t="shared" ca="1" si="5"/>
        <v>75.7</v>
      </c>
      <c r="J129" s="13"/>
    </row>
    <row r="130" spans="1:10">
      <c r="A130" s="19" t="str">
        <f>'Raw Data'!R188</f>
        <v>Clothing</v>
      </c>
      <c r="B130" s="6" t="str">
        <f>'Raw Data'!S188</f>
        <v>David</v>
      </c>
      <c r="C130" s="20">
        <f>'Raw Data'!U188</f>
        <v>1631</v>
      </c>
      <c r="D130" s="21">
        <f>'Raw Data'!V188</f>
        <v>43016</v>
      </c>
      <c r="E130" s="17">
        <f t="shared" si="3"/>
        <v>8</v>
      </c>
      <c r="F130" s="17">
        <f t="shared" si="4"/>
        <v>1</v>
      </c>
      <c r="G130" s="22">
        <v>39.975490196078432</v>
      </c>
      <c r="H130" s="13"/>
      <c r="I130" s="81">
        <f t="shared" ca="1" si="5"/>
        <v>36.244444444444447</v>
      </c>
      <c r="J130" s="13"/>
    </row>
    <row r="131" spans="1:10">
      <c r="A131" s="19" t="str">
        <f>'Raw Data'!R492</f>
        <v>Books</v>
      </c>
      <c r="B131" s="6" t="str">
        <f>'Raw Data'!S492</f>
        <v>David</v>
      </c>
      <c r="C131" s="20">
        <f>'Raw Data'!U492</f>
        <v>501</v>
      </c>
      <c r="D131" s="21">
        <f>'Raw Data'!V492</f>
        <v>43016</v>
      </c>
      <c r="E131" s="17">
        <f t="shared" si="3"/>
        <v>8</v>
      </c>
      <c r="F131" s="17">
        <f t="shared" si="4"/>
        <v>1</v>
      </c>
      <c r="G131" s="22">
        <v>72.608695652173921</v>
      </c>
      <c r="H131" s="13"/>
      <c r="I131" s="81">
        <f t="shared" ca="1" si="5"/>
        <v>100.2</v>
      </c>
      <c r="J131" s="13"/>
    </row>
    <row r="132" spans="1:10">
      <c r="A132" s="19" t="str">
        <f>'Raw Data'!R179</f>
        <v>Books</v>
      </c>
      <c r="B132" s="6" t="str">
        <f>'Raw Data'!S179</f>
        <v>Alice</v>
      </c>
      <c r="C132" s="20">
        <f>'Raw Data'!U179</f>
        <v>640</v>
      </c>
      <c r="D132" s="21">
        <f>'Raw Data'!V179</f>
        <v>43017</v>
      </c>
      <c r="E132" s="17">
        <f t="shared" si="3"/>
        <v>9</v>
      </c>
      <c r="F132" s="17">
        <f t="shared" si="4"/>
        <v>1</v>
      </c>
      <c r="G132" s="22">
        <v>91.428571428571431</v>
      </c>
      <c r="H132" s="13"/>
      <c r="I132" s="81">
        <f t="shared" ca="1" si="5"/>
        <v>88.8888888888889</v>
      </c>
      <c r="J132" s="13"/>
    </row>
    <row r="133" spans="1:10">
      <c r="A133" s="19" t="str">
        <f>'Raw Data'!R232</f>
        <v>Music</v>
      </c>
      <c r="B133" s="6" t="str">
        <f>'Raw Data'!S232</f>
        <v>Alice</v>
      </c>
      <c r="C133" s="20">
        <f>'Raw Data'!U232</f>
        <v>1347</v>
      </c>
      <c r="D133" s="21">
        <f>'Raw Data'!V232</f>
        <v>43017</v>
      </c>
      <c r="E133" s="17">
        <f t="shared" ref="E133:E196" si="6">DAY(D133)</f>
        <v>9</v>
      </c>
      <c r="F133" s="17">
        <f t="shared" ref="F133:F196" si="7">IF(C133=0,0,1)</f>
        <v>1</v>
      </c>
      <c r="G133" s="22">
        <v>180.80536912751677</v>
      </c>
      <c r="H133" s="13"/>
      <c r="I133" s="81">
        <f t="shared" ref="I133:I196" ca="1" si="8">C133/(INDEX($L$4:$L$7,MATCH(A133,$K$4:$K$7,0))*(1+RANDBETWEEN(-50,50)/100))</f>
        <v>489.81818181818181</v>
      </c>
      <c r="J133" s="13"/>
    </row>
    <row r="134" spans="1:10">
      <c r="A134" s="19" t="str">
        <f>'Raw Data'!R346</f>
        <v>Games</v>
      </c>
      <c r="B134" s="6" t="str">
        <f>'Raw Data'!S346</f>
        <v>Alice</v>
      </c>
      <c r="C134" s="20">
        <f>'Raw Data'!U346</f>
        <v>0</v>
      </c>
      <c r="D134" s="21">
        <f>'Raw Data'!V346</f>
        <v>43017</v>
      </c>
      <c r="E134" s="17">
        <f t="shared" si="6"/>
        <v>9</v>
      </c>
      <c r="F134" s="17">
        <f t="shared" si="7"/>
        <v>0</v>
      </c>
      <c r="G134" s="22">
        <v>0</v>
      </c>
      <c r="H134" s="13"/>
      <c r="I134" s="81">
        <f t="shared" ca="1" si="8"/>
        <v>0</v>
      </c>
      <c r="J134" s="13"/>
    </row>
    <row r="135" spans="1:10">
      <c r="A135" s="19" t="str">
        <f>'Raw Data'!R455</f>
        <v>Clothing</v>
      </c>
      <c r="B135" s="6" t="str">
        <f>'Raw Data'!S455</f>
        <v>Alice</v>
      </c>
      <c r="C135" s="20">
        <f>'Raw Data'!U455</f>
        <v>989</v>
      </c>
      <c r="D135" s="21">
        <f>'Raw Data'!V455</f>
        <v>43017</v>
      </c>
      <c r="E135" s="17">
        <f t="shared" si="6"/>
        <v>9</v>
      </c>
      <c r="F135" s="17">
        <f t="shared" si="7"/>
        <v>1</v>
      </c>
      <c r="G135" s="22">
        <v>34.340277777777779</v>
      </c>
      <c r="H135" s="13"/>
      <c r="I135" s="81">
        <f t="shared" ca="1" si="8"/>
        <v>52.328042328042329</v>
      </c>
      <c r="J135" s="13"/>
    </row>
    <row r="136" spans="1:10">
      <c r="A136" s="19" t="str">
        <f>'Raw Data'!R45</f>
        <v>Clothing</v>
      </c>
      <c r="B136" s="6" t="str">
        <f>'Raw Data'!S45</f>
        <v>Barney</v>
      </c>
      <c r="C136" s="20">
        <f>'Raw Data'!U45</f>
        <v>1944</v>
      </c>
      <c r="D136" s="21">
        <f>'Raw Data'!V45</f>
        <v>43017</v>
      </c>
      <c r="E136" s="17">
        <f t="shared" si="6"/>
        <v>9</v>
      </c>
      <c r="F136" s="17">
        <f t="shared" si="7"/>
        <v>1</v>
      </c>
      <c r="G136" s="22">
        <v>68.21052631578948</v>
      </c>
      <c r="H136" s="13"/>
      <c r="I136" s="81">
        <f t="shared" ca="1" si="8"/>
        <v>74.482758620689651</v>
      </c>
      <c r="J136" s="13"/>
    </row>
    <row r="137" spans="1:10">
      <c r="A137" s="19" t="str">
        <f>'Raw Data'!R49</f>
        <v>Music</v>
      </c>
      <c r="B137" s="6" t="str">
        <f>'Raw Data'!S49</f>
        <v>Barney</v>
      </c>
      <c r="C137" s="20">
        <f>'Raw Data'!U49</f>
        <v>0</v>
      </c>
      <c r="D137" s="21">
        <f>'Raw Data'!V49</f>
        <v>43017</v>
      </c>
      <c r="E137" s="17">
        <f t="shared" si="6"/>
        <v>9</v>
      </c>
      <c r="F137" s="17">
        <f t="shared" si="7"/>
        <v>0</v>
      </c>
      <c r="G137" s="22">
        <v>0</v>
      </c>
      <c r="H137" s="13"/>
      <c r="I137" s="81">
        <f t="shared" ca="1" si="8"/>
        <v>0</v>
      </c>
      <c r="J137" s="13"/>
    </row>
    <row r="138" spans="1:10">
      <c r="A138" s="19" t="str">
        <f>'Raw Data'!R92</f>
        <v>Games</v>
      </c>
      <c r="B138" s="6" t="str">
        <f>'Raw Data'!S92</f>
        <v>Barney</v>
      </c>
      <c r="C138" s="20">
        <f>'Raw Data'!U92</f>
        <v>0</v>
      </c>
      <c r="D138" s="21">
        <f>'Raw Data'!V92</f>
        <v>43017</v>
      </c>
      <c r="E138" s="17">
        <f t="shared" si="6"/>
        <v>9</v>
      </c>
      <c r="F138" s="17">
        <f t="shared" si="7"/>
        <v>0</v>
      </c>
      <c r="G138" s="22">
        <v>0</v>
      </c>
      <c r="H138" s="13"/>
      <c r="I138" s="81">
        <f t="shared" ca="1" si="8"/>
        <v>0</v>
      </c>
      <c r="J138" s="13"/>
    </row>
    <row r="139" spans="1:10">
      <c r="A139" s="19" t="str">
        <f>'Raw Data'!R489</f>
        <v>Books</v>
      </c>
      <c r="B139" s="6" t="str">
        <f>'Raw Data'!S489</f>
        <v>Barney</v>
      </c>
      <c r="C139" s="20">
        <f>'Raw Data'!U489</f>
        <v>0</v>
      </c>
      <c r="D139" s="21">
        <f>'Raw Data'!V489</f>
        <v>43017</v>
      </c>
      <c r="E139" s="17">
        <f t="shared" si="6"/>
        <v>9</v>
      </c>
      <c r="F139" s="17">
        <f t="shared" si="7"/>
        <v>0</v>
      </c>
      <c r="G139" s="22">
        <v>0</v>
      </c>
      <c r="H139" s="13"/>
      <c r="I139" s="81">
        <f t="shared" ca="1" si="8"/>
        <v>0</v>
      </c>
      <c r="J139" s="13"/>
    </row>
    <row r="140" spans="1:10">
      <c r="A140" s="19" t="str">
        <f>'Raw Data'!R75</f>
        <v>Games</v>
      </c>
      <c r="B140" s="6" t="str">
        <f>'Raw Data'!S75</f>
        <v>Carol</v>
      </c>
      <c r="C140" s="20">
        <f>'Raw Data'!U75</f>
        <v>893</v>
      </c>
      <c r="D140" s="21">
        <f>'Raw Data'!V75</f>
        <v>43017</v>
      </c>
      <c r="E140" s="17">
        <f t="shared" si="6"/>
        <v>9</v>
      </c>
      <c r="F140" s="17">
        <f t="shared" si="7"/>
        <v>1</v>
      </c>
      <c r="G140" s="22">
        <v>14.760330578512397</v>
      </c>
      <c r="H140" s="13"/>
      <c r="I140" s="81">
        <f t="shared" ca="1" si="8"/>
        <v>15.805309734513276</v>
      </c>
      <c r="J140" s="13"/>
    </row>
    <row r="141" spans="1:10">
      <c r="A141" s="19" t="str">
        <f>'Raw Data'!R133</f>
        <v>Books</v>
      </c>
      <c r="B141" s="6" t="str">
        <f>'Raw Data'!S133</f>
        <v>Carol</v>
      </c>
      <c r="C141" s="20">
        <f>'Raw Data'!U133</f>
        <v>970</v>
      </c>
      <c r="D141" s="21">
        <f>'Raw Data'!V133</f>
        <v>43017</v>
      </c>
      <c r="E141" s="17">
        <f t="shared" si="6"/>
        <v>9</v>
      </c>
      <c r="F141" s="17">
        <f t="shared" si="7"/>
        <v>1</v>
      </c>
      <c r="G141" s="22">
        <v>105.43478260869564</v>
      </c>
      <c r="H141" s="13"/>
      <c r="I141" s="81">
        <f t="shared" ca="1" si="8"/>
        <v>161.66666666666666</v>
      </c>
      <c r="J141" s="13"/>
    </row>
    <row r="142" spans="1:10">
      <c r="A142" s="19" t="str">
        <f>'Raw Data'!R246</f>
        <v>Clothing</v>
      </c>
      <c r="B142" s="6" t="str">
        <f>'Raw Data'!S246</f>
        <v>Carol</v>
      </c>
      <c r="C142" s="20">
        <f>'Raw Data'!U246</f>
        <v>987</v>
      </c>
      <c r="D142" s="21">
        <f>'Raw Data'!V246</f>
        <v>43017</v>
      </c>
      <c r="E142" s="17">
        <f t="shared" si="6"/>
        <v>9</v>
      </c>
      <c r="F142" s="17">
        <f t="shared" si="7"/>
        <v>1</v>
      </c>
      <c r="G142" s="22">
        <v>33.232323232323232</v>
      </c>
      <c r="H142" s="13"/>
      <c r="I142" s="81">
        <f t="shared" ca="1" si="8"/>
        <v>59.81818181818182</v>
      </c>
      <c r="J142" s="13"/>
    </row>
    <row r="143" spans="1:10">
      <c r="A143" s="19" t="str">
        <f>'Raw Data'!R380</f>
        <v>Music</v>
      </c>
      <c r="B143" s="6" t="str">
        <f>'Raw Data'!S380</f>
        <v>Carol</v>
      </c>
      <c r="C143" s="20">
        <f>'Raw Data'!U380</f>
        <v>1368</v>
      </c>
      <c r="D143" s="21">
        <f>'Raw Data'!V380</f>
        <v>43017</v>
      </c>
      <c r="E143" s="17">
        <f t="shared" si="6"/>
        <v>9</v>
      </c>
      <c r="F143" s="17">
        <f t="shared" si="7"/>
        <v>1</v>
      </c>
      <c r="G143" s="22">
        <v>195.42857142857142</v>
      </c>
      <c r="H143" s="13"/>
      <c r="I143" s="81">
        <f t="shared" ca="1" si="8"/>
        <v>210.46153846153845</v>
      </c>
      <c r="J143" s="13"/>
    </row>
    <row r="144" spans="1:10">
      <c r="A144" s="19" t="str">
        <f>'Raw Data'!R23</f>
        <v>Books</v>
      </c>
      <c r="B144" s="6" t="str">
        <f>'Raw Data'!S23</f>
        <v>David</v>
      </c>
      <c r="C144" s="20">
        <f>'Raw Data'!U23</f>
        <v>866</v>
      </c>
      <c r="D144" s="21">
        <f>'Raw Data'!V23</f>
        <v>43017</v>
      </c>
      <c r="E144" s="17">
        <f t="shared" si="6"/>
        <v>9</v>
      </c>
      <c r="F144" s="17">
        <f t="shared" si="7"/>
        <v>1</v>
      </c>
      <c r="G144" s="22">
        <v>64.148148148148152</v>
      </c>
      <c r="H144" s="13"/>
      <c r="I144" s="81">
        <f t="shared" ca="1" si="8"/>
        <v>139.67741935483872</v>
      </c>
      <c r="J144" s="13"/>
    </row>
    <row r="145" spans="1:10">
      <c r="A145" s="19" t="str">
        <f>'Raw Data'!R342</f>
        <v>Games</v>
      </c>
      <c r="B145" s="6" t="str">
        <f>'Raw Data'!S342</f>
        <v>David</v>
      </c>
      <c r="C145" s="20">
        <f>'Raw Data'!U342</f>
        <v>1960</v>
      </c>
      <c r="D145" s="21">
        <f>'Raw Data'!V342</f>
        <v>43017</v>
      </c>
      <c r="E145" s="17">
        <f t="shared" si="6"/>
        <v>9</v>
      </c>
      <c r="F145" s="17">
        <f t="shared" si="7"/>
        <v>1</v>
      </c>
      <c r="G145" s="22">
        <v>73.962264150943398</v>
      </c>
      <c r="H145" s="13"/>
      <c r="I145" s="81">
        <f t="shared" ca="1" si="8"/>
        <v>37.692307692307693</v>
      </c>
      <c r="J145" s="13"/>
    </row>
    <row r="146" spans="1:10">
      <c r="A146" s="19" t="str">
        <f>'Raw Data'!R366</f>
        <v>Clothing</v>
      </c>
      <c r="B146" s="6" t="str">
        <f>'Raw Data'!S366</f>
        <v>David</v>
      </c>
      <c r="C146" s="20">
        <f>'Raw Data'!U366</f>
        <v>1703</v>
      </c>
      <c r="D146" s="21">
        <f>'Raw Data'!V366</f>
        <v>43017</v>
      </c>
      <c r="E146" s="17">
        <f t="shared" si="6"/>
        <v>9</v>
      </c>
      <c r="F146" s="17">
        <f t="shared" si="7"/>
        <v>1</v>
      </c>
      <c r="G146" s="22">
        <v>38.098434004474271</v>
      </c>
      <c r="H146" s="13"/>
      <c r="I146" s="81">
        <f t="shared" ca="1" si="8"/>
        <v>67.579365079365076</v>
      </c>
      <c r="J146" s="13"/>
    </row>
    <row r="147" spans="1:10">
      <c r="A147" s="19" t="str">
        <f>'Raw Data'!R482</f>
        <v>Music</v>
      </c>
      <c r="B147" s="6" t="str">
        <f>'Raw Data'!S482</f>
        <v>David</v>
      </c>
      <c r="C147" s="20">
        <f>'Raw Data'!U482</f>
        <v>1345</v>
      </c>
      <c r="D147" s="21">
        <f>'Raw Data'!V482</f>
        <v>43017</v>
      </c>
      <c r="E147" s="17">
        <f t="shared" si="6"/>
        <v>9</v>
      </c>
      <c r="F147" s="17">
        <f t="shared" si="7"/>
        <v>1</v>
      </c>
      <c r="G147" s="22">
        <v>378.87323943661971</v>
      </c>
      <c r="H147" s="13"/>
      <c r="I147" s="81">
        <f t="shared" ca="1" si="8"/>
        <v>312.7906976744186</v>
      </c>
      <c r="J147" s="13"/>
    </row>
    <row r="148" spans="1:10">
      <c r="A148" s="19" t="str">
        <f>'Raw Data'!R115</f>
        <v>Games</v>
      </c>
      <c r="B148" s="6" t="str">
        <f>'Raw Data'!S115</f>
        <v>Alice</v>
      </c>
      <c r="C148" s="20">
        <f>'Raw Data'!U115</f>
        <v>2259</v>
      </c>
      <c r="D148" s="21">
        <f>'Raw Data'!V115</f>
        <v>43018</v>
      </c>
      <c r="E148" s="17">
        <f t="shared" si="6"/>
        <v>10</v>
      </c>
      <c r="F148" s="17">
        <f t="shared" si="7"/>
        <v>1</v>
      </c>
      <c r="G148" s="22">
        <v>45.18</v>
      </c>
      <c r="H148" s="13"/>
      <c r="I148" s="81">
        <f t="shared" ca="1" si="8"/>
        <v>63.633802816901408</v>
      </c>
      <c r="J148" s="13"/>
    </row>
    <row r="149" spans="1:10">
      <c r="A149" s="19" t="str">
        <f>'Raw Data'!R294</f>
        <v>Books</v>
      </c>
      <c r="B149" s="6" t="str">
        <f>'Raw Data'!S294</f>
        <v>Alice</v>
      </c>
      <c r="C149" s="20">
        <f>'Raw Data'!U294</f>
        <v>0</v>
      </c>
      <c r="D149" s="21">
        <f>'Raw Data'!V294</f>
        <v>43018</v>
      </c>
      <c r="E149" s="17">
        <f t="shared" si="6"/>
        <v>10</v>
      </c>
      <c r="F149" s="17">
        <f t="shared" si="7"/>
        <v>0</v>
      </c>
      <c r="G149" s="22">
        <v>0</v>
      </c>
      <c r="H149" s="13"/>
      <c r="I149" s="81">
        <f t="shared" ca="1" si="8"/>
        <v>0</v>
      </c>
      <c r="J149" s="13"/>
    </row>
    <row r="150" spans="1:10">
      <c r="A150" s="19" t="str">
        <f>'Raw Data'!R381</f>
        <v>Clothing</v>
      </c>
      <c r="B150" s="6" t="str">
        <f>'Raw Data'!S381</f>
        <v>Alice</v>
      </c>
      <c r="C150" s="20">
        <f>'Raw Data'!U381</f>
        <v>1069</v>
      </c>
      <c r="D150" s="21">
        <f>'Raw Data'!V381</f>
        <v>43018</v>
      </c>
      <c r="E150" s="17">
        <f t="shared" si="6"/>
        <v>10</v>
      </c>
      <c r="F150" s="17">
        <f t="shared" si="7"/>
        <v>1</v>
      </c>
      <c r="G150" s="22">
        <v>63.63095238095238</v>
      </c>
      <c r="H150" s="13"/>
      <c r="I150" s="81">
        <f t="shared" ca="1" si="8"/>
        <v>53.989898989898997</v>
      </c>
      <c r="J150" s="13"/>
    </row>
    <row r="151" spans="1:10">
      <c r="A151" s="19" t="str">
        <f>'Raw Data'!R399</f>
        <v>Music</v>
      </c>
      <c r="B151" s="6" t="str">
        <f>'Raw Data'!S399</f>
        <v>Alice</v>
      </c>
      <c r="C151" s="20">
        <f>'Raw Data'!U399</f>
        <v>1098</v>
      </c>
      <c r="D151" s="21">
        <f>'Raw Data'!V399</f>
        <v>43018</v>
      </c>
      <c r="E151" s="17">
        <f t="shared" si="6"/>
        <v>10</v>
      </c>
      <c r="F151" s="17">
        <f t="shared" si="7"/>
        <v>1</v>
      </c>
      <c r="G151" s="22">
        <v>217.42574257425744</v>
      </c>
      <c r="H151" s="13"/>
      <c r="I151" s="81">
        <f t="shared" ca="1" si="8"/>
        <v>178.53658536585365</v>
      </c>
      <c r="J151" s="13"/>
    </row>
    <row r="152" spans="1:10">
      <c r="A152" s="19" t="str">
        <f>'Raw Data'!R104</f>
        <v>Books</v>
      </c>
      <c r="B152" s="6" t="str">
        <f>'Raw Data'!S104</f>
        <v>Barney</v>
      </c>
      <c r="C152" s="20">
        <f>'Raw Data'!U104</f>
        <v>725</v>
      </c>
      <c r="D152" s="21">
        <f>'Raw Data'!V104</f>
        <v>43018</v>
      </c>
      <c r="E152" s="17">
        <f t="shared" si="6"/>
        <v>10</v>
      </c>
      <c r="F152" s="17">
        <f t="shared" si="7"/>
        <v>1</v>
      </c>
      <c r="G152" s="22">
        <v>73.232323232323225</v>
      </c>
      <c r="H152" s="13"/>
      <c r="I152" s="81">
        <f t="shared" ca="1" si="8"/>
        <v>51.418439716312058</v>
      </c>
      <c r="J152" s="13"/>
    </row>
    <row r="153" spans="1:10">
      <c r="A153" s="19" t="str">
        <f>'Raw Data'!R112</f>
        <v>Games</v>
      </c>
      <c r="B153" s="6" t="str">
        <f>'Raw Data'!S112</f>
        <v>Barney</v>
      </c>
      <c r="C153" s="20">
        <f>'Raw Data'!U112</f>
        <v>1954</v>
      </c>
      <c r="D153" s="21">
        <f>'Raw Data'!V112</f>
        <v>43018</v>
      </c>
      <c r="E153" s="17">
        <f t="shared" si="6"/>
        <v>10</v>
      </c>
      <c r="F153" s="17">
        <f t="shared" si="7"/>
        <v>1</v>
      </c>
      <c r="G153" s="22">
        <v>31.015873015873016</v>
      </c>
      <c r="H153" s="13"/>
      <c r="I153" s="81">
        <f t="shared" ca="1" si="8"/>
        <v>32.032786885245905</v>
      </c>
      <c r="J153" s="13"/>
    </row>
    <row r="154" spans="1:10">
      <c r="A154" s="19" t="str">
        <f>'Raw Data'!R158</f>
        <v>Clothing</v>
      </c>
      <c r="B154" s="6" t="str">
        <f>'Raw Data'!S158</f>
        <v>Barney</v>
      </c>
      <c r="C154" s="20">
        <f>'Raw Data'!U158</f>
        <v>667</v>
      </c>
      <c r="D154" s="21">
        <f>'Raw Data'!V158</f>
        <v>43018</v>
      </c>
      <c r="E154" s="17">
        <f t="shared" si="6"/>
        <v>10</v>
      </c>
      <c r="F154" s="17">
        <f t="shared" si="7"/>
        <v>1</v>
      </c>
      <c r="G154" s="22">
        <v>30.045045045045047</v>
      </c>
      <c r="H154" s="13"/>
      <c r="I154" s="81">
        <f t="shared" ca="1" si="8"/>
        <v>42.756410256410255</v>
      </c>
      <c r="J154" s="13"/>
    </row>
    <row r="155" spans="1:10">
      <c r="A155" s="19" t="str">
        <f>'Raw Data'!R404</f>
        <v>Music</v>
      </c>
      <c r="B155" s="6" t="str">
        <f>'Raw Data'!S404</f>
        <v>Barney</v>
      </c>
      <c r="C155" s="20">
        <f>'Raw Data'!U404</f>
        <v>1140</v>
      </c>
      <c r="D155" s="21">
        <f>'Raw Data'!V404</f>
        <v>43018</v>
      </c>
      <c r="E155" s="17">
        <f t="shared" si="6"/>
        <v>10</v>
      </c>
      <c r="F155" s="17">
        <f t="shared" si="7"/>
        <v>1</v>
      </c>
      <c r="G155" s="22">
        <v>172.72727272727272</v>
      </c>
      <c r="H155" s="13"/>
      <c r="I155" s="81">
        <f t="shared" ca="1" si="8"/>
        <v>240</v>
      </c>
      <c r="J155" s="13"/>
    </row>
    <row r="156" spans="1:10">
      <c r="A156" s="19" t="str">
        <f>'Raw Data'!R47</f>
        <v>Clothing</v>
      </c>
      <c r="B156" s="6" t="str">
        <f>'Raw Data'!S47</f>
        <v>Carol</v>
      </c>
      <c r="C156" s="20">
        <f>'Raw Data'!U47</f>
        <v>1732</v>
      </c>
      <c r="D156" s="21">
        <f>'Raw Data'!V47</f>
        <v>43018</v>
      </c>
      <c r="E156" s="17">
        <f t="shared" si="6"/>
        <v>10</v>
      </c>
      <c r="F156" s="17">
        <f t="shared" si="7"/>
        <v>1</v>
      </c>
      <c r="G156" s="22">
        <v>46.937669376693769</v>
      </c>
      <c r="H156" s="13"/>
      <c r="I156" s="81">
        <f t="shared" ca="1" si="8"/>
        <v>88.820512820512818</v>
      </c>
      <c r="J156" s="13"/>
    </row>
    <row r="157" spans="1:10">
      <c r="A157" s="19" t="str">
        <f>'Raw Data'!R71</f>
        <v>Games</v>
      </c>
      <c r="B157" s="6" t="str">
        <f>'Raw Data'!S71</f>
        <v>Carol</v>
      </c>
      <c r="C157" s="20">
        <f>'Raw Data'!U71</f>
        <v>0</v>
      </c>
      <c r="D157" s="21">
        <f>'Raw Data'!V71</f>
        <v>43018</v>
      </c>
      <c r="E157" s="17">
        <f t="shared" si="6"/>
        <v>10</v>
      </c>
      <c r="F157" s="17">
        <f t="shared" si="7"/>
        <v>0</v>
      </c>
      <c r="G157" s="22">
        <v>0</v>
      </c>
      <c r="H157" s="13"/>
      <c r="I157" s="81">
        <f t="shared" ca="1" si="8"/>
        <v>0</v>
      </c>
      <c r="J157" s="13"/>
    </row>
    <row r="158" spans="1:10">
      <c r="A158" s="19" t="str">
        <f>'Raw Data'!R150</f>
        <v>Books</v>
      </c>
      <c r="B158" s="6" t="str">
        <f>'Raw Data'!S150</f>
        <v>Carol</v>
      </c>
      <c r="C158" s="20">
        <f>'Raw Data'!U150</f>
        <v>725</v>
      </c>
      <c r="D158" s="21">
        <f>'Raw Data'!V150</f>
        <v>43018</v>
      </c>
      <c r="E158" s="17">
        <f t="shared" si="6"/>
        <v>10</v>
      </c>
      <c r="F158" s="17">
        <f t="shared" si="7"/>
        <v>1</v>
      </c>
      <c r="G158" s="22">
        <v>53.308823529411775</v>
      </c>
      <c r="H158" s="13"/>
      <c r="I158" s="81">
        <f t="shared" ca="1" si="8"/>
        <v>56.640625</v>
      </c>
      <c r="J158" s="13"/>
    </row>
    <row r="159" spans="1:10">
      <c r="A159" s="19" t="str">
        <f>'Raw Data'!R462</f>
        <v>Music</v>
      </c>
      <c r="B159" s="6" t="str">
        <f>'Raw Data'!S462</f>
        <v>Carol</v>
      </c>
      <c r="C159" s="20">
        <f>'Raw Data'!U462</f>
        <v>951</v>
      </c>
      <c r="D159" s="21">
        <f>'Raw Data'!V462</f>
        <v>43018</v>
      </c>
      <c r="E159" s="17">
        <f t="shared" si="6"/>
        <v>10</v>
      </c>
      <c r="F159" s="17">
        <f t="shared" si="7"/>
        <v>1</v>
      </c>
      <c r="G159" s="22">
        <v>311.80327868852459</v>
      </c>
      <c r="H159" s="13"/>
      <c r="I159" s="81">
        <f t="shared" ca="1" si="8"/>
        <v>250.26315789473685</v>
      </c>
      <c r="J159" s="13"/>
    </row>
    <row r="160" spans="1:10">
      <c r="A160" s="19" t="str">
        <f>'Raw Data'!R60</f>
        <v>Books</v>
      </c>
      <c r="B160" s="6" t="str">
        <f>'Raw Data'!S60</f>
        <v>David</v>
      </c>
      <c r="C160" s="20">
        <f>'Raw Data'!U60</f>
        <v>987</v>
      </c>
      <c r="D160" s="21">
        <f>'Raw Data'!V60</f>
        <v>43018</v>
      </c>
      <c r="E160" s="17">
        <f t="shared" si="6"/>
        <v>10</v>
      </c>
      <c r="F160" s="17">
        <f t="shared" si="7"/>
        <v>1</v>
      </c>
      <c r="G160" s="22">
        <v>71.521739130434781</v>
      </c>
      <c r="H160" s="13"/>
      <c r="I160" s="81">
        <f t="shared" ca="1" si="8"/>
        <v>87.345132743362839</v>
      </c>
      <c r="J160" s="13"/>
    </row>
    <row r="161" spans="1:10">
      <c r="A161" s="19" t="str">
        <f>'Raw Data'!R227</f>
        <v>Clothing</v>
      </c>
      <c r="B161" s="6" t="str">
        <f>'Raw Data'!S227</f>
        <v>David</v>
      </c>
      <c r="C161" s="20">
        <f>'Raw Data'!U227</f>
        <v>1545</v>
      </c>
      <c r="D161" s="21">
        <f>'Raw Data'!V227</f>
        <v>43018</v>
      </c>
      <c r="E161" s="17">
        <f t="shared" si="6"/>
        <v>10</v>
      </c>
      <c r="F161" s="17">
        <f t="shared" si="7"/>
        <v>1</v>
      </c>
      <c r="G161" s="22">
        <v>59.883720930232556</v>
      </c>
      <c r="H161" s="13"/>
      <c r="I161" s="81">
        <f t="shared" ca="1" si="8"/>
        <v>44.782608695652172</v>
      </c>
      <c r="J161" s="13"/>
    </row>
    <row r="162" spans="1:10">
      <c r="A162" s="19" t="str">
        <f>'Raw Data'!R266</f>
        <v>Music</v>
      </c>
      <c r="B162" s="6" t="str">
        <f>'Raw Data'!S266</f>
        <v>David</v>
      </c>
      <c r="C162" s="20">
        <f>'Raw Data'!U266</f>
        <v>1040</v>
      </c>
      <c r="D162" s="21">
        <f>'Raw Data'!V266</f>
        <v>43018</v>
      </c>
      <c r="E162" s="17">
        <f t="shared" si="6"/>
        <v>10</v>
      </c>
      <c r="F162" s="17">
        <f t="shared" si="7"/>
        <v>1</v>
      </c>
      <c r="G162" s="22">
        <v>200</v>
      </c>
      <c r="H162" s="13"/>
      <c r="I162" s="81">
        <f t="shared" ca="1" si="8"/>
        <v>169.10569105691056</v>
      </c>
      <c r="J162" s="13"/>
    </row>
    <row r="163" spans="1:10">
      <c r="A163" s="19" t="str">
        <f>'Raw Data'!R314</f>
        <v>Games</v>
      </c>
      <c r="B163" s="6" t="str">
        <f>'Raw Data'!S314</f>
        <v>David</v>
      </c>
      <c r="C163" s="20">
        <f>'Raw Data'!U314</f>
        <v>1870</v>
      </c>
      <c r="D163" s="21">
        <f>'Raw Data'!V314</f>
        <v>43018</v>
      </c>
      <c r="E163" s="17">
        <f t="shared" si="6"/>
        <v>10</v>
      </c>
      <c r="F163" s="17">
        <f t="shared" si="7"/>
        <v>1</v>
      </c>
      <c r="G163" s="22">
        <v>63.389830508474567</v>
      </c>
      <c r="H163" s="13"/>
      <c r="I163" s="81">
        <f t="shared" ca="1" si="8"/>
        <v>73.333333333333329</v>
      </c>
      <c r="J163" s="13"/>
    </row>
    <row r="164" spans="1:10">
      <c r="A164" s="19" t="str">
        <f>'Raw Data'!R28</f>
        <v>Games</v>
      </c>
      <c r="B164" s="6" t="str">
        <f>'Raw Data'!S28</f>
        <v>Alice</v>
      </c>
      <c r="C164" s="20">
        <f>'Raw Data'!U28</f>
        <v>1326</v>
      </c>
      <c r="D164" s="21">
        <f>'Raw Data'!V28</f>
        <v>43019</v>
      </c>
      <c r="E164" s="17">
        <f t="shared" si="6"/>
        <v>11</v>
      </c>
      <c r="F164" s="17">
        <f t="shared" si="7"/>
        <v>1</v>
      </c>
      <c r="G164" s="22">
        <v>18.676056338028168</v>
      </c>
      <c r="H164" s="13"/>
      <c r="I164" s="81">
        <f t="shared" ca="1" si="8"/>
        <v>26</v>
      </c>
      <c r="J164" s="13"/>
    </row>
    <row r="165" spans="1:10">
      <c r="A165" s="19" t="str">
        <f>'Raw Data'!R42</f>
        <v>Music</v>
      </c>
      <c r="B165" s="6" t="str">
        <f>'Raw Data'!S42</f>
        <v>Alice</v>
      </c>
      <c r="C165" s="20">
        <f>'Raw Data'!U42</f>
        <v>0</v>
      </c>
      <c r="D165" s="21">
        <f>'Raw Data'!V42</f>
        <v>43019</v>
      </c>
      <c r="E165" s="17">
        <f t="shared" si="6"/>
        <v>11</v>
      </c>
      <c r="F165" s="17">
        <f t="shared" si="7"/>
        <v>0</v>
      </c>
      <c r="G165" s="22">
        <v>0</v>
      </c>
      <c r="H165" s="13"/>
      <c r="I165" s="81">
        <f t="shared" ca="1" si="8"/>
        <v>0</v>
      </c>
      <c r="J165" s="13"/>
    </row>
    <row r="166" spans="1:10">
      <c r="A166" s="19" t="str">
        <f>'Raw Data'!R237</f>
        <v>Books</v>
      </c>
      <c r="B166" s="6" t="str">
        <f>'Raw Data'!S237</f>
        <v>Alice</v>
      </c>
      <c r="C166" s="20">
        <f>'Raw Data'!U237</f>
        <v>675</v>
      </c>
      <c r="D166" s="21">
        <f>'Raw Data'!V237</f>
        <v>43019</v>
      </c>
      <c r="E166" s="17">
        <f t="shared" si="6"/>
        <v>11</v>
      </c>
      <c r="F166" s="17">
        <f t="shared" si="7"/>
        <v>1</v>
      </c>
      <c r="G166" s="22">
        <v>100.74626865671642</v>
      </c>
      <c r="H166" s="13"/>
      <c r="I166" s="81">
        <f t="shared" ca="1" si="8"/>
        <v>107.14285714285714</v>
      </c>
      <c r="J166" s="13"/>
    </row>
    <row r="167" spans="1:10">
      <c r="A167" s="19" t="str">
        <f>'Raw Data'!R479</f>
        <v>Clothing</v>
      </c>
      <c r="B167" s="6" t="str">
        <f>'Raw Data'!S479</f>
        <v>Alice</v>
      </c>
      <c r="C167" s="20">
        <f>'Raw Data'!U479</f>
        <v>1375</v>
      </c>
      <c r="D167" s="21">
        <f>'Raw Data'!V479</f>
        <v>43019</v>
      </c>
      <c r="E167" s="17">
        <f t="shared" si="6"/>
        <v>11</v>
      </c>
      <c r="F167" s="17">
        <f t="shared" si="7"/>
        <v>1</v>
      </c>
      <c r="G167" s="22">
        <v>49.283154121863802</v>
      </c>
      <c r="H167" s="13"/>
      <c r="I167" s="81">
        <f t="shared" ca="1" si="8"/>
        <v>44.498381877022652</v>
      </c>
      <c r="J167" s="13"/>
    </row>
    <row r="168" spans="1:10">
      <c r="A168" s="19" t="str">
        <f>'Raw Data'!R142</f>
        <v>Books</v>
      </c>
      <c r="B168" s="6" t="str">
        <f>'Raw Data'!S142</f>
        <v>Barney</v>
      </c>
      <c r="C168" s="20">
        <f>'Raw Data'!U142</f>
        <v>999</v>
      </c>
      <c r="D168" s="21">
        <f>'Raw Data'!V142</f>
        <v>43019</v>
      </c>
      <c r="E168" s="17">
        <f t="shared" si="6"/>
        <v>11</v>
      </c>
      <c r="F168" s="17">
        <f t="shared" si="7"/>
        <v>1</v>
      </c>
      <c r="G168" s="22">
        <v>86.120689655172413</v>
      </c>
      <c r="H168" s="13"/>
      <c r="I168" s="81">
        <f t="shared" ca="1" si="8"/>
        <v>156.09375</v>
      </c>
      <c r="J168" s="13"/>
    </row>
    <row r="169" spans="1:10">
      <c r="A169" s="19" t="str">
        <f>'Raw Data'!R148</f>
        <v>Clothing</v>
      </c>
      <c r="B169" s="6" t="str">
        <f>'Raw Data'!S148</f>
        <v>Barney</v>
      </c>
      <c r="C169" s="20">
        <f>'Raw Data'!U148</f>
        <v>1419</v>
      </c>
      <c r="D169" s="21">
        <f>'Raw Data'!V148</f>
        <v>43019</v>
      </c>
      <c r="E169" s="17">
        <f t="shared" si="6"/>
        <v>11</v>
      </c>
      <c r="F169" s="17">
        <f t="shared" si="7"/>
        <v>1</v>
      </c>
      <c r="G169" s="22">
        <v>46.372549019607838</v>
      </c>
      <c r="H169" s="13"/>
      <c r="I169" s="81">
        <f t="shared" ca="1" si="8"/>
        <v>33.07692307692308</v>
      </c>
      <c r="J169" s="13"/>
    </row>
    <row r="170" spans="1:10">
      <c r="A170" s="19" t="str">
        <f>'Raw Data'!R181</f>
        <v>Games</v>
      </c>
      <c r="B170" s="6" t="str">
        <f>'Raw Data'!S181</f>
        <v>Barney</v>
      </c>
      <c r="C170" s="20">
        <f>'Raw Data'!U181</f>
        <v>1198</v>
      </c>
      <c r="D170" s="21">
        <f>'Raw Data'!V181</f>
        <v>43019</v>
      </c>
      <c r="E170" s="17">
        <f t="shared" si="6"/>
        <v>11</v>
      </c>
      <c r="F170" s="17">
        <f t="shared" si="7"/>
        <v>1</v>
      </c>
      <c r="G170" s="22">
        <v>26.043478260869566</v>
      </c>
      <c r="H170" s="13"/>
      <c r="I170" s="81">
        <f t="shared" ca="1" si="8"/>
        <v>29.95</v>
      </c>
      <c r="J170" s="13"/>
    </row>
    <row r="171" spans="1:10">
      <c r="A171" s="19" t="str">
        <f>'Raw Data'!R475</f>
        <v>Music</v>
      </c>
      <c r="B171" s="6" t="str">
        <f>'Raw Data'!S475</f>
        <v>Barney</v>
      </c>
      <c r="C171" s="20">
        <f>'Raw Data'!U475</f>
        <v>1382</v>
      </c>
      <c r="D171" s="21">
        <f>'Raw Data'!V475</f>
        <v>43019</v>
      </c>
      <c r="E171" s="17">
        <f t="shared" si="6"/>
        <v>11</v>
      </c>
      <c r="F171" s="17">
        <f t="shared" si="7"/>
        <v>1</v>
      </c>
      <c r="G171" s="22">
        <v>453.11475409836066</v>
      </c>
      <c r="H171" s="13"/>
      <c r="I171" s="81">
        <f t="shared" ca="1" si="8"/>
        <v>185.50335570469798</v>
      </c>
      <c r="J171" s="13"/>
    </row>
    <row r="172" spans="1:10">
      <c r="A172" s="19" t="str">
        <f>'Raw Data'!R166</f>
        <v>Music</v>
      </c>
      <c r="B172" s="6" t="str">
        <f>'Raw Data'!S166</f>
        <v>Carol</v>
      </c>
      <c r="C172" s="20">
        <f>'Raw Data'!U166</f>
        <v>0</v>
      </c>
      <c r="D172" s="21">
        <f>'Raw Data'!V166</f>
        <v>43019</v>
      </c>
      <c r="E172" s="17">
        <f t="shared" si="6"/>
        <v>11</v>
      </c>
      <c r="F172" s="17">
        <f t="shared" si="7"/>
        <v>0</v>
      </c>
      <c r="G172" s="22">
        <v>0</v>
      </c>
      <c r="H172" s="13"/>
      <c r="I172" s="81">
        <f t="shared" ca="1" si="8"/>
        <v>0</v>
      </c>
      <c r="J172" s="13"/>
    </row>
    <row r="173" spans="1:10">
      <c r="A173" s="19" t="str">
        <f>'Raw Data'!R210</f>
        <v>Books</v>
      </c>
      <c r="B173" s="6" t="str">
        <f>'Raw Data'!S210</f>
        <v>Carol</v>
      </c>
      <c r="C173" s="20">
        <f>'Raw Data'!U210</f>
        <v>776</v>
      </c>
      <c r="D173" s="21">
        <f>'Raw Data'!V210</f>
        <v>43019</v>
      </c>
      <c r="E173" s="17">
        <f t="shared" si="6"/>
        <v>11</v>
      </c>
      <c r="F173" s="17">
        <f t="shared" si="7"/>
        <v>1</v>
      </c>
      <c r="G173" s="22">
        <v>61.102362204724415</v>
      </c>
      <c r="H173" s="13"/>
      <c r="I173" s="81">
        <f t="shared" ca="1" si="8"/>
        <v>67.478260869565219</v>
      </c>
      <c r="J173" s="13"/>
    </row>
    <row r="174" spans="1:10">
      <c r="A174" s="19" t="str">
        <f>'Raw Data'!R279</f>
        <v>Games</v>
      </c>
      <c r="B174" s="6" t="str">
        <f>'Raw Data'!S279</f>
        <v>Carol</v>
      </c>
      <c r="C174" s="20">
        <f>'Raw Data'!U279</f>
        <v>0</v>
      </c>
      <c r="D174" s="21">
        <f>'Raw Data'!V279</f>
        <v>43019</v>
      </c>
      <c r="E174" s="17">
        <f t="shared" si="6"/>
        <v>11</v>
      </c>
      <c r="F174" s="17">
        <f t="shared" si="7"/>
        <v>0</v>
      </c>
      <c r="G174" s="22">
        <v>0</v>
      </c>
      <c r="H174" s="13"/>
      <c r="I174" s="81">
        <f t="shared" ca="1" si="8"/>
        <v>0</v>
      </c>
      <c r="J174" s="13"/>
    </row>
    <row r="175" spans="1:10">
      <c r="A175" s="19" t="str">
        <f>'Raw Data'!R310</f>
        <v>Clothing</v>
      </c>
      <c r="B175" s="6" t="str">
        <f>'Raw Data'!S310</f>
        <v>Carol</v>
      </c>
      <c r="C175" s="20">
        <f>'Raw Data'!U310</f>
        <v>1635</v>
      </c>
      <c r="D175" s="21">
        <f>'Raw Data'!V310</f>
        <v>43019</v>
      </c>
      <c r="E175" s="17">
        <f t="shared" si="6"/>
        <v>11</v>
      </c>
      <c r="F175" s="17">
        <f t="shared" si="7"/>
        <v>1</v>
      </c>
      <c r="G175" s="22">
        <v>46.186440677966104</v>
      </c>
      <c r="H175" s="13"/>
      <c r="I175" s="81">
        <f t="shared" ca="1" si="8"/>
        <v>49.099099099099092</v>
      </c>
      <c r="J175" s="13"/>
    </row>
    <row r="176" spans="1:10">
      <c r="A176" s="19" t="str">
        <f>'Raw Data'!R9</f>
        <v>Clothing</v>
      </c>
      <c r="B176" s="6" t="str">
        <f>'Raw Data'!S9</f>
        <v>David</v>
      </c>
      <c r="C176" s="20">
        <f>'Raw Data'!U9</f>
        <v>811</v>
      </c>
      <c r="D176" s="21">
        <f>'Raw Data'!V9</f>
        <v>43019</v>
      </c>
      <c r="E176" s="17">
        <f t="shared" si="6"/>
        <v>11</v>
      </c>
      <c r="F176" s="17">
        <f t="shared" si="7"/>
        <v>1</v>
      </c>
      <c r="G176" s="22">
        <v>22.527777777777779</v>
      </c>
      <c r="H176" s="13"/>
      <c r="I176" s="81">
        <f t="shared" ca="1" si="8"/>
        <v>38.61904761904762</v>
      </c>
      <c r="J176" s="13"/>
    </row>
    <row r="177" spans="1:10">
      <c r="A177" s="19" t="str">
        <f>'Raw Data'!R376</f>
        <v>Music</v>
      </c>
      <c r="B177" s="6" t="str">
        <f>'Raw Data'!S376</f>
        <v>David</v>
      </c>
      <c r="C177" s="20">
        <f>'Raw Data'!U376</f>
        <v>1306</v>
      </c>
      <c r="D177" s="21">
        <f>'Raw Data'!V376</f>
        <v>43019</v>
      </c>
      <c r="E177" s="17">
        <f t="shared" si="6"/>
        <v>11</v>
      </c>
      <c r="F177" s="17">
        <f t="shared" si="7"/>
        <v>1</v>
      </c>
      <c r="G177" s="22">
        <v>182.65734265734267</v>
      </c>
      <c r="H177" s="13"/>
      <c r="I177" s="81">
        <f t="shared" ca="1" si="8"/>
        <v>215.86776859504133</v>
      </c>
      <c r="J177" s="13"/>
    </row>
    <row r="178" spans="1:10">
      <c r="A178" s="19" t="str">
        <f>'Raw Data'!R442</f>
        <v>Games</v>
      </c>
      <c r="B178" s="6" t="str">
        <f>'Raw Data'!S442</f>
        <v>David</v>
      </c>
      <c r="C178" s="20">
        <f>'Raw Data'!U442</f>
        <v>1930</v>
      </c>
      <c r="D178" s="21">
        <f>'Raw Data'!V442</f>
        <v>43019</v>
      </c>
      <c r="E178" s="17">
        <f t="shared" si="6"/>
        <v>11</v>
      </c>
      <c r="F178" s="17">
        <f t="shared" si="7"/>
        <v>1</v>
      </c>
      <c r="G178" s="22">
        <v>28.382352941176471</v>
      </c>
      <c r="H178" s="13"/>
      <c r="I178" s="81">
        <f t="shared" ca="1" si="8"/>
        <v>32.711864406779661</v>
      </c>
      <c r="J178" s="13"/>
    </row>
    <row r="179" spans="1:10">
      <c r="A179" s="19" t="str">
        <f>'Raw Data'!R458</f>
        <v>Books</v>
      </c>
      <c r="B179" s="6" t="str">
        <f>'Raw Data'!S458</f>
        <v>David</v>
      </c>
      <c r="C179" s="20">
        <f>'Raw Data'!U458</f>
        <v>842</v>
      </c>
      <c r="D179" s="21">
        <f>'Raw Data'!V458</f>
        <v>43019</v>
      </c>
      <c r="E179" s="17">
        <f t="shared" si="6"/>
        <v>11</v>
      </c>
      <c r="F179" s="17">
        <f t="shared" si="7"/>
        <v>1</v>
      </c>
      <c r="G179" s="22">
        <v>145.17241379310343</v>
      </c>
      <c r="H179" s="13"/>
      <c r="I179" s="81">
        <f t="shared" ca="1" si="8"/>
        <v>80.961538461538453</v>
      </c>
      <c r="J179" s="13"/>
    </row>
    <row r="180" spans="1:10">
      <c r="A180" s="19" t="str">
        <f>'Raw Data'!R76</f>
        <v>Music</v>
      </c>
      <c r="B180" s="6" t="str">
        <f>'Raw Data'!S76</f>
        <v>Alice</v>
      </c>
      <c r="C180" s="20">
        <f>'Raw Data'!U76</f>
        <v>1447</v>
      </c>
      <c r="D180" s="21">
        <f>'Raw Data'!V76</f>
        <v>43020</v>
      </c>
      <c r="E180" s="17">
        <f t="shared" si="6"/>
        <v>12</v>
      </c>
      <c r="F180" s="17">
        <f t="shared" si="7"/>
        <v>1</v>
      </c>
      <c r="G180" s="22">
        <v>209.71014492753625</v>
      </c>
      <c r="H180" s="13"/>
      <c r="I180" s="81">
        <f t="shared" ca="1" si="8"/>
        <v>371.02564102564099</v>
      </c>
      <c r="J180" s="13"/>
    </row>
    <row r="181" spans="1:10">
      <c r="A181" s="19" t="str">
        <f>'Raw Data'!R231</f>
        <v>Books</v>
      </c>
      <c r="B181" s="6" t="str">
        <f>'Raw Data'!S231</f>
        <v>Alice</v>
      </c>
      <c r="C181" s="20">
        <f>'Raw Data'!U231</f>
        <v>743</v>
      </c>
      <c r="D181" s="21">
        <f>'Raw Data'!V231</f>
        <v>43020</v>
      </c>
      <c r="E181" s="17">
        <f t="shared" si="6"/>
        <v>12</v>
      </c>
      <c r="F181" s="17">
        <f t="shared" si="7"/>
        <v>1</v>
      </c>
      <c r="G181" s="22">
        <v>132.67857142857142</v>
      </c>
      <c r="H181" s="13"/>
      <c r="I181" s="81">
        <f t="shared" ca="1" si="8"/>
        <v>73.56435643564356</v>
      </c>
      <c r="J181" s="13"/>
    </row>
    <row r="182" spans="1:10">
      <c r="A182" s="19" t="str">
        <f>'Raw Data'!R401</f>
        <v>Clothing</v>
      </c>
      <c r="B182" s="6" t="str">
        <f>'Raw Data'!S401</f>
        <v>Alice</v>
      </c>
      <c r="C182" s="20">
        <f>'Raw Data'!U401</f>
        <v>0</v>
      </c>
      <c r="D182" s="21">
        <f>'Raw Data'!V401</f>
        <v>43020</v>
      </c>
      <c r="E182" s="17">
        <f t="shared" si="6"/>
        <v>12</v>
      </c>
      <c r="F182" s="17">
        <f t="shared" si="7"/>
        <v>0</v>
      </c>
      <c r="G182" s="22">
        <v>0</v>
      </c>
      <c r="H182" s="13"/>
      <c r="I182" s="81">
        <f t="shared" ca="1" si="8"/>
        <v>0</v>
      </c>
      <c r="J182" s="13"/>
    </row>
    <row r="183" spans="1:10">
      <c r="A183" s="19" t="str">
        <f>'Raw Data'!R461</f>
        <v>Games</v>
      </c>
      <c r="B183" s="6" t="str">
        <f>'Raw Data'!S461</f>
        <v>Alice</v>
      </c>
      <c r="C183" s="20">
        <f>'Raw Data'!U461</f>
        <v>2500</v>
      </c>
      <c r="D183" s="21">
        <f>'Raw Data'!V461</f>
        <v>43020</v>
      </c>
      <c r="E183" s="17">
        <f t="shared" si="6"/>
        <v>12</v>
      </c>
      <c r="F183" s="17">
        <f t="shared" si="7"/>
        <v>1</v>
      </c>
      <c r="G183" s="22">
        <v>35.714285714285715</v>
      </c>
      <c r="H183" s="13"/>
      <c r="I183" s="81">
        <f t="shared" ca="1" si="8"/>
        <v>49.019607843137258</v>
      </c>
      <c r="J183" s="13"/>
    </row>
    <row r="184" spans="1:10">
      <c r="A184" s="19" t="str">
        <f>'Raw Data'!R187</f>
        <v>Music</v>
      </c>
      <c r="B184" s="6" t="str">
        <f>'Raw Data'!S187</f>
        <v>Barney</v>
      </c>
      <c r="C184" s="20">
        <f>'Raw Data'!U187</f>
        <v>914</v>
      </c>
      <c r="D184" s="21">
        <f>'Raw Data'!V187</f>
        <v>43020</v>
      </c>
      <c r="E184" s="17">
        <f t="shared" si="6"/>
        <v>12</v>
      </c>
      <c r="F184" s="17">
        <f t="shared" si="7"/>
        <v>1</v>
      </c>
      <c r="G184" s="22">
        <v>136.41791044776119</v>
      </c>
      <c r="H184" s="13"/>
      <c r="I184" s="81">
        <f t="shared" ca="1" si="8"/>
        <v>172.45283018867923</v>
      </c>
      <c r="J184" s="13"/>
    </row>
    <row r="185" spans="1:10">
      <c r="A185" s="19" t="str">
        <f>'Raw Data'!R364</f>
        <v>Clothing</v>
      </c>
      <c r="B185" s="6" t="str">
        <f>'Raw Data'!S364</f>
        <v>Barney</v>
      </c>
      <c r="C185" s="20">
        <f>'Raw Data'!U364</f>
        <v>925</v>
      </c>
      <c r="D185" s="21">
        <f>'Raw Data'!V364</f>
        <v>43020</v>
      </c>
      <c r="E185" s="17">
        <f t="shared" si="6"/>
        <v>12</v>
      </c>
      <c r="F185" s="17">
        <f t="shared" si="7"/>
        <v>1</v>
      </c>
      <c r="G185" s="22">
        <v>20.693512304250557</v>
      </c>
      <c r="H185" s="13"/>
      <c r="I185" s="81">
        <f t="shared" ca="1" si="8"/>
        <v>21.867612293144209</v>
      </c>
      <c r="J185" s="13"/>
    </row>
    <row r="186" spans="1:10">
      <c r="A186" s="19" t="str">
        <f>'Raw Data'!R374</f>
        <v>Books</v>
      </c>
      <c r="B186" s="6" t="str">
        <f>'Raw Data'!S374</f>
        <v>Barney</v>
      </c>
      <c r="C186" s="20">
        <f>'Raw Data'!U374</f>
        <v>789</v>
      </c>
      <c r="D186" s="21">
        <f>'Raw Data'!V374</f>
        <v>43020</v>
      </c>
      <c r="E186" s="17">
        <f t="shared" si="6"/>
        <v>12</v>
      </c>
      <c r="F186" s="17">
        <f t="shared" si="7"/>
        <v>1</v>
      </c>
      <c r="G186" s="22">
        <v>96.219512195121936</v>
      </c>
      <c r="H186" s="13"/>
      <c r="I186" s="81">
        <f t="shared" ca="1" si="8"/>
        <v>65.206611570247929</v>
      </c>
      <c r="J186" s="13"/>
    </row>
    <row r="187" spans="1:10">
      <c r="A187" s="19" t="str">
        <f>'Raw Data'!R474</f>
        <v>Games</v>
      </c>
      <c r="B187" s="6" t="str">
        <f>'Raw Data'!S474</f>
        <v>Barney</v>
      </c>
      <c r="C187" s="20">
        <f>'Raw Data'!U474</f>
        <v>1700</v>
      </c>
      <c r="D187" s="21">
        <f>'Raw Data'!V474</f>
        <v>43020</v>
      </c>
      <c r="E187" s="17">
        <f t="shared" si="6"/>
        <v>12</v>
      </c>
      <c r="F187" s="17">
        <f t="shared" si="7"/>
        <v>1</v>
      </c>
      <c r="G187" s="22">
        <v>34</v>
      </c>
      <c r="H187" s="13"/>
      <c r="I187" s="81">
        <f t="shared" ca="1" si="8"/>
        <v>23.129251700680271</v>
      </c>
      <c r="J187" s="13"/>
    </row>
    <row r="188" spans="1:10">
      <c r="A188" s="19" t="str">
        <f>'Raw Data'!R44</f>
        <v>Music</v>
      </c>
      <c r="B188" s="6" t="str">
        <f>'Raw Data'!S44</f>
        <v>Carol</v>
      </c>
      <c r="C188" s="20">
        <f>'Raw Data'!U44</f>
        <v>0</v>
      </c>
      <c r="D188" s="21">
        <f>'Raw Data'!V44</f>
        <v>43020</v>
      </c>
      <c r="E188" s="17">
        <f t="shared" si="6"/>
        <v>12</v>
      </c>
      <c r="F188" s="17">
        <f t="shared" si="7"/>
        <v>0</v>
      </c>
      <c r="G188" s="22">
        <v>0</v>
      </c>
      <c r="H188" s="13"/>
      <c r="I188" s="81">
        <f t="shared" ca="1" si="8"/>
        <v>0</v>
      </c>
      <c r="J188" s="13"/>
    </row>
    <row r="189" spans="1:10">
      <c r="A189" s="19" t="str">
        <f>'Raw Data'!R95</f>
        <v>Clothing</v>
      </c>
      <c r="B189" s="6" t="str">
        <f>'Raw Data'!S95</f>
        <v>Carol</v>
      </c>
      <c r="C189" s="20">
        <f>'Raw Data'!U95</f>
        <v>1973</v>
      </c>
      <c r="D189" s="21">
        <f>'Raw Data'!V95</f>
        <v>43020</v>
      </c>
      <c r="E189" s="17">
        <f t="shared" si="6"/>
        <v>12</v>
      </c>
      <c r="F189" s="17">
        <f t="shared" si="7"/>
        <v>1</v>
      </c>
      <c r="G189" s="22">
        <v>83.248945147679308</v>
      </c>
      <c r="H189" s="13"/>
      <c r="I189" s="81">
        <f t="shared" ca="1" si="8"/>
        <v>60.895061728395049</v>
      </c>
      <c r="J189" s="13"/>
    </row>
    <row r="190" spans="1:10">
      <c r="A190" s="19" t="str">
        <f>'Raw Data'!R108</f>
        <v>Books</v>
      </c>
      <c r="B190" s="6" t="str">
        <f>'Raw Data'!S108</f>
        <v>Carol</v>
      </c>
      <c r="C190" s="20">
        <f>'Raw Data'!U108</f>
        <v>500</v>
      </c>
      <c r="D190" s="21">
        <f>'Raw Data'!V108</f>
        <v>43020</v>
      </c>
      <c r="E190" s="17">
        <f t="shared" si="6"/>
        <v>12</v>
      </c>
      <c r="F190" s="17">
        <f t="shared" si="7"/>
        <v>1</v>
      </c>
      <c r="G190" s="22">
        <v>39.370078740157481</v>
      </c>
      <c r="H190" s="13"/>
      <c r="I190" s="81">
        <f t="shared" ca="1" si="8"/>
        <v>45.045045045045036</v>
      </c>
      <c r="J190" s="13"/>
    </row>
    <row r="191" spans="1:10">
      <c r="A191" s="19" t="str">
        <f>'Raw Data'!R192</f>
        <v>Games</v>
      </c>
      <c r="B191" s="6" t="str">
        <f>'Raw Data'!S192</f>
        <v>Carol</v>
      </c>
      <c r="C191" s="20">
        <f>'Raw Data'!U192</f>
        <v>1878</v>
      </c>
      <c r="D191" s="21">
        <f>'Raw Data'!V192</f>
        <v>43020</v>
      </c>
      <c r="E191" s="17">
        <f t="shared" si="6"/>
        <v>12</v>
      </c>
      <c r="F191" s="17">
        <f t="shared" si="7"/>
        <v>1</v>
      </c>
      <c r="G191" s="22">
        <v>26.265734265734267</v>
      </c>
      <c r="H191" s="13"/>
      <c r="I191" s="81">
        <f t="shared" ca="1" si="8"/>
        <v>28.892307692307693</v>
      </c>
      <c r="J191" s="13"/>
    </row>
    <row r="192" spans="1:10">
      <c r="A192" s="19" t="str">
        <f>'Raw Data'!R132</f>
        <v>Games</v>
      </c>
      <c r="B192" s="6" t="str">
        <f>'Raw Data'!S132</f>
        <v>David</v>
      </c>
      <c r="C192" s="20">
        <f>'Raw Data'!U132</f>
        <v>0</v>
      </c>
      <c r="D192" s="21">
        <f>'Raw Data'!V132</f>
        <v>43020</v>
      </c>
      <c r="E192" s="17">
        <f t="shared" si="6"/>
        <v>12</v>
      </c>
      <c r="F192" s="17">
        <f t="shared" si="7"/>
        <v>0</v>
      </c>
      <c r="G192" s="22">
        <v>0</v>
      </c>
      <c r="H192" s="13"/>
      <c r="I192" s="81">
        <f t="shared" ca="1" si="8"/>
        <v>0</v>
      </c>
      <c r="J192" s="13"/>
    </row>
    <row r="193" spans="1:10">
      <c r="A193" s="19" t="str">
        <f>'Raw Data'!R202</f>
        <v>Music</v>
      </c>
      <c r="B193" s="6" t="str">
        <f>'Raw Data'!S202</f>
        <v>David</v>
      </c>
      <c r="C193" s="20">
        <f>'Raw Data'!U202</f>
        <v>1445</v>
      </c>
      <c r="D193" s="21">
        <f>'Raw Data'!V202</f>
        <v>43020</v>
      </c>
      <c r="E193" s="17">
        <f t="shared" si="6"/>
        <v>12</v>
      </c>
      <c r="F193" s="17">
        <f t="shared" si="7"/>
        <v>1</v>
      </c>
      <c r="G193" s="22">
        <v>262.72727272727275</v>
      </c>
      <c r="H193" s="13"/>
      <c r="I193" s="81">
        <f t="shared" ca="1" si="8"/>
        <v>332.18390804597703</v>
      </c>
      <c r="J193" s="13"/>
    </row>
    <row r="194" spans="1:10">
      <c r="A194" s="19" t="str">
        <f>'Raw Data'!R207</f>
        <v>Books</v>
      </c>
      <c r="B194" s="6" t="str">
        <f>'Raw Data'!S207</f>
        <v>David</v>
      </c>
      <c r="C194" s="20">
        <f>'Raw Data'!U207</f>
        <v>688</v>
      </c>
      <c r="D194" s="21">
        <f>'Raw Data'!V207</f>
        <v>43020</v>
      </c>
      <c r="E194" s="17">
        <f t="shared" si="6"/>
        <v>12</v>
      </c>
      <c r="F194" s="17">
        <f t="shared" si="7"/>
        <v>1</v>
      </c>
      <c r="G194" s="22">
        <v>83.902439024390233</v>
      </c>
      <c r="H194" s="13"/>
      <c r="I194" s="81">
        <f t="shared" ca="1" si="8"/>
        <v>82.891566265060248</v>
      </c>
      <c r="J194" s="13"/>
    </row>
    <row r="195" spans="1:10">
      <c r="A195" s="19" t="str">
        <f>'Raw Data'!R275</f>
        <v>Clothing</v>
      </c>
      <c r="B195" s="6" t="str">
        <f>'Raw Data'!S275</f>
        <v>David</v>
      </c>
      <c r="C195" s="20">
        <f>'Raw Data'!U275</f>
        <v>1066</v>
      </c>
      <c r="D195" s="21">
        <f>'Raw Data'!V275</f>
        <v>43020</v>
      </c>
      <c r="E195" s="17">
        <f t="shared" si="6"/>
        <v>12</v>
      </c>
      <c r="F195" s="17">
        <f t="shared" si="7"/>
        <v>1</v>
      </c>
      <c r="G195" s="22">
        <v>34.83660130718954</v>
      </c>
      <c r="H195" s="13"/>
      <c r="I195" s="81">
        <f t="shared" ca="1" si="8"/>
        <v>37.801418439716315</v>
      </c>
      <c r="J195" s="13"/>
    </row>
    <row r="196" spans="1:10">
      <c r="A196" s="19" t="str">
        <f>'Raw Data'!R11</f>
        <v>Books</v>
      </c>
      <c r="B196" s="6" t="str">
        <f>'Raw Data'!S11</f>
        <v>Alice</v>
      </c>
      <c r="C196" s="20">
        <f>'Raw Data'!U11</f>
        <v>586</v>
      </c>
      <c r="D196" s="21">
        <f>'Raw Data'!V11</f>
        <v>43021</v>
      </c>
      <c r="E196" s="17">
        <f t="shared" si="6"/>
        <v>13</v>
      </c>
      <c r="F196" s="17">
        <f t="shared" si="7"/>
        <v>1</v>
      </c>
      <c r="G196" s="22">
        <v>40.97902097902098</v>
      </c>
      <c r="H196" s="13"/>
      <c r="I196" s="81">
        <f t="shared" ca="1" si="8"/>
        <v>82.535211267605632</v>
      </c>
      <c r="J196" s="13"/>
    </row>
    <row r="197" spans="1:10">
      <c r="A197" s="19" t="str">
        <f>'Raw Data'!R144</f>
        <v>Music</v>
      </c>
      <c r="B197" s="6" t="str">
        <f>'Raw Data'!S144</f>
        <v>Alice</v>
      </c>
      <c r="C197" s="20">
        <f>'Raw Data'!U144</f>
        <v>1103</v>
      </c>
      <c r="D197" s="21">
        <f>'Raw Data'!V144</f>
        <v>43021</v>
      </c>
      <c r="E197" s="17">
        <f t="shared" ref="E197:E260" si="9">DAY(D197)</f>
        <v>13</v>
      </c>
      <c r="F197" s="17">
        <f t="shared" ref="F197:F260" si="10">IF(C197=0,0,1)</f>
        <v>1</v>
      </c>
      <c r="G197" s="22">
        <v>232.21052631578948</v>
      </c>
      <c r="H197" s="13"/>
      <c r="I197" s="81">
        <f t="shared" ref="I197:I260" ca="1" si="11">C197/(INDEX($L$4:$L$7,MATCH(A197,$K$4:$K$7,0))*(1+RANDBETWEEN(-50,50)/100))</f>
        <v>339.38461538461536</v>
      </c>
      <c r="J197" s="13"/>
    </row>
    <row r="198" spans="1:10">
      <c r="A198" s="19" t="str">
        <f>'Raw Data'!R239</f>
        <v>Clothing</v>
      </c>
      <c r="B198" s="6" t="str">
        <f>'Raw Data'!S239</f>
        <v>Alice</v>
      </c>
      <c r="C198" s="20">
        <f>'Raw Data'!U239</f>
        <v>1693</v>
      </c>
      <c r="D198" s="21">
        <f>'Raw Data'!V239</f>
        <v>43021</v>
      </c>
      <c r="E198" s="17">
        <f t="shared" si="9"/>
        <v>13</v>
      </c>
      <c r="F198" s="17">
        <f t="shared" si="10"/>
        <v>1</v>
      </c>
      <c r="G198" s="22">
        <v>100.77380952380952</v>
      </c>
      <c r="H198" s="13"/>
      <c r="I198" s="81">
        <f t="shared" ca="1" si="11"/>
        <v>108.52564102564102</v>
      </c>
      <c r="J198" s="13"/>
    </row>
    <row r="199" spans="1:10">
      <c r="A199" s="19" t="str">
        <f>'Raw Data'!R467</f>
        <v>Games</v>
      </c>
      <c r="B199" s="6" t="str">
        <f>'Raw Data'!S467</f>
        <v>Alice</v>
      </c>
      <c r="C199" s="20">
        <f>'Raw Data'!U467</f>
        <v>1045</v>
      </c>
      <c r="D199" s="21">
        <f>'Raw Data'!V467</f>
        <v>43021</v>
      </c>
      <c r="E199" s="17">
        <f t="shared" si="9"/>
        <v>13</v>
      </c>
      <c r="F199" s="17">
        <f t="shared" si="10"/>
        <v>1</v>
      </c>
      <c r="G199" s="22">
        <v>22.967032967032967</v>
      </c>
      <c r="H199" s="13"/>
      <c r="I199" s="81">
        <f t="shared" ca="1" si="11"/>
        <v>32.153846153846153</v>
      </c>
      <c r="J199" s="13"/>
    </row>
    <row r="200" spans="1:10">
      <c r="A200" s="19" t="str">
        <f>'Raw Data'!R260</f>
        <v>Books</v>
      </c>
      <c r="B200" s="6" t="str">
        <f>'Raw Data'!S260</f>
        <v>Barney</v>
      </c>
      <c r="C200" s="20">
        <f>'Raw Data'!U260</f>
        <v>922</v>
      </c>
      <c r="D200" s="21">
        <f>'Raw Data'!V260</f>
        <v>43021</v>
      </c>
      <c r="E200" s="17">
        <f t="shared" si="9"/>
        <v>13</v>
      </c>
      <c r="F200" s="17">
        <f t="shared" si="10"/>
        <v>1</v>
      </c>
      <c r="G200" s="22">
        <v>83.818181818181813</v>
      </c>
      <c r="H200" s="13"/>
      <c r="I200" s="81">
        <f t="shared" ca="1" si="11"/>
        <v>167.63636363636363</v>
      </c>
      <c r="J200" s="13"/>
    </row>
    <row r="201" spans="1:10">
      <c r="A201" s="19" t="str">
        <f>'Raw Data'!R304</f>
        <v>Games</v>
      </c>
      <c r="B201" s="6" t="str">
        <f>'Raw Data'!S304</f>
        <v>Barney</v>
      </c>
      <c r="C201" s="20">
        <f>'Raw Data'!U304</f>
        <v>1349</v>
      </c>
      <c r="D201" s="21">
        <f>'Raw Data'!V304</f>
        <v>43021</v>
      </c>
      <c r="E201" s="17">
        <f t="shared" si="9"/>
        <v>13</v>
      </c>
      <c r="F201" s="17">
        <f t="shared" si="10"/>
        <v>1</v>
      </c>
      <c r="G201" s="22">
        <v>24.089285714285712</v>
      </c>
      <c r="H201" s="13"/>
      <c r="I201" s="81">
        <f t="shared" ca="1" si="11"/>
        <v>20.134328358208954</v>
      </c>
      <c r="J201" s="13"/>
    </row>
    <row r="202" spans="1:10">
      <c r="A202" s="19" t="str">
        <f>'Raw Data'!R389</f>
        <v>Music</v>
      </c>
      <c r="B202" s="6" t="str">
        <f>'Raw Data'!S389</f>
        <v>Barney</v>
      </c>
      <c r="C202" s="20">
        <f>'Raw Data'!U389</f>
        <v>0</v>
      </c>
      <c r="D202" s="21">
        <f>'Raw Data'!V389</f>
        <v>43021</v>
      </c>
      <c r="E202" s="17">
        <f t="shared" si="9"/>
        <v>13</v>
      </c>
      <c r="F202" s="17">
        <f t="shared" si="10"/>
        <v>0</v>
      </c>
      <c r="G202" s="22">
        <v>0</v>
      </c>
      <c r="H202" s="13"/>
      <c r="I202" s="81">
        <f t="shared" ca="1" si="11"/>
        <v>0</v>
      </c>
      <c r="J202" s="13"/>
    </row>
    <row r="203" spans="1:10">
      <c r="A203" s="19" t="str">
        <f>'Raw Data'!R441</f>
        <v>Clothing</v>
      </c>
      <c r="B203" s="6" t="str">
        <f>'Raw Data'!S441</f>
        <v>Barney</v>
      </c>
      <c r="C203" s="20">
        <f>'Raw Data'!U441</f>
        <v>0</v>
      </c>
      <c r="D203" s="21">
        <f>'Raw Data'!V441</f>
        <v>43021</v>
      </c>
      <c r="E203" s="17">
        <f t="shared" si="9"/>
        <v>13</v>
      </c>
      <c r="F203" s="17">
        <f t="shared" si="10"/>
        <v>0</v>
      </c>
      <c r="G203" s="22">
        <v>0</v>
      </c>
      <c r="H203" s="13"/>
      <c r="I203" s="81">
        <f t="shared" ca="1" si="11"/>
        <v>0</v>
      </c>
      <c r="J203" s="13"/>
    </row>
    <row r="204" spans="1:10">
      <c r="A204" s="19" t="str">
        <f>'Raw Data'!R74</f>
        <v>Clothing</v>
      </c>
      <c r="B204" s="6" t="str">
        <f>'Raw Data'!S74</f>
        <v>Carol</v>
      </c>
      <c r="C204" s="20">
        <f>'Raw Data'!U74</f>
        <v>0</v>
      </c>
      <c r="D204" s="21">
        <f>'Raw Data'!V74</f>
        <v>43021</v>
      </c>
      <c r="E204" s="17">
        <f t="shared" si="9"/>
        <v>13</v>
      </c>
      <c r="F204" s="17">
        <f t="shared" si="10"/>
        <v>0</v>
      </c>
      <c r="G204" s="22">
        <v>0</v>
      </c>
      <c r="H204" s="13"/>
      <c r="I204" s="81">
        <f t="shared" ca="1" si="11"/>
        <v>0</v>
      </c>
      <c r="J204" s="13"/>
    </row>
    <row r="205" spans="1:10">
      <c r="A205" s="19" t="str">
        <f>'Raw Data'!R162</f>
        <v>Books</v>
      </c>
      <c r="B205" s="6" t="str">
        <f>'Raw Data'!S162</f>
        <v>Carol</v>
      </c>
      <c r="C205" s="20">
        <f>'Raw Data'!U162</f>
        <v>0</v>
      </c>
      <c r="D205" s="21">
        <f>'Raw Data'!V162</f>
        <v>43021</v>
      </c>
      <c r="E205" s="17">
        <f t="shared" si="9"/>
        <v>13</v>
      </c>
      <c r="F205" s="17">
        <f t="shared" si="10"/>
        <v>0</v>
      </c>
      <c r="G205" s="22">
        <v>0</v>
      </c>
      <c r="H205" s="13"/>
      <c r="I205" s="81">
        <f t="shared" ca="1" si="11"/>
        <v>0</v>
      </c>
      <c r="J205" s="13"/>
    </row>
    <row r="206" spans="1:10">
      <c r="A206" s="19" t="str">
        <f>'Raw Data'!R300</f>
        <v>Music</v>
      </c>
      <c r="B206" s="6" t="str">
        <f>'Raw Data'!S300</f>
        <v>Carol</v>
      </c>
      <c r="C206" s="20">
        <f>'Raw Data'!U300</f>
        <v>1143</v>
      </c>
      <c r="D206" s="21">
        <f>'Raw Data'!V300</f>
        <v>43021</v>
      </c>
      <c r="E206" s="17">
        <f t="shared" si="9"/>
        <v>13</v>
      </c>
      <c r="F206" s="17">
        <f t="shared" si="10"/>
        <v>1</v>
      </c>
      <c r="G206" s="22">
        <v>374.75409836065575</v>
      </c>
      <c r="H206" s="13"/>
      <c r="I206" s="81">
        <f t="shared" ca="1" si="11"/>
        <v>238.125</v>
      </c>
      <c r="J206" s="13"/>
    </row>
    <row r="207" spans="1:10">
      <c r="A207" s="19" t="str">
        <f>'Raw Data'!R423</f>
        <v>Games</v>
      </c>
      <c r="B207" s="6" t="str">
        <f>'Raw Data'!S423</f>
        <v>Carol</v>
      </c>
      <c r="C207" s="20">
        <f>'Raw Data'!U423</f>
        <v>1546</v>
      </c>
      <c r="D207" s="21">
        <f>'Raw Data'!V423</f>
        <v>43021</v>
      </c>
      <c r="E207" s="17">
        <f t="shared" si="9"/>
        <v>13</v>
      </c>
      <c r="F207" s="17">
        <f t="shared" si="10"/>
        <v>1</v>
      </c>
      <c r="G207" s="22">
        <v>29.73076923076923</v>
      </c>
      <c r="H207" s="13"/>
      <c r="I207" s="81">
        <f t="shared" ca="1" si="11"/>
        <v>21.324137931034482</v>
      </c>
      <c r="J207" s="13"/>
    </row>
    <row r="208" spans="1:10">
      <c r="A208" s="19" t="str">
        <f>'Raw Data'!R18</f>
        <v>Clothing</v>
      </c>
      <c r="B208" s="6" t="str">
        <f>'Raw Data'!S18</f>
        <v>David</v>
      </c>
      <c r="C208" s="20">
        <f>'Raw Data'!U18</f>
        <v>0</v>
      </c>
      <c r="D208" s="21">
        <f>'Raw Data'!V18</f>
        <v>43021</v>
      </c>
      <c r="E208" s="17">
        <f t="shared" si="9"/>
        <v>13</v>
      </c>
      <c r="F208" s="17">
        <f t="shared" si="10"/>
        <v>0</v>
      </c>
      <c r="G208" s="22">
        <v>0</v>
      </c>
      <c r="H208" s="13"/>
      <c r="I208" s="81">
        <f t="shared" ca="1" si="11"/>
        <v>0</v>
      </c>
      <c r="J208" s="13"/>
    </row>
    <row r="209" spans="1:10">
      <c r="A209" s="19" t="str">
        <f>'Raw Data'!R223</f>
        <v>Books</v>
      </c>
      <c r="B209" s="6" t="str">
        <f>'Raw Data'!S223</f>
        <v>David</v>
      </c>
      <c r="C209" s="20">
        <f>'Raw Data'!U223</f>
        <v>0</v>
      </c>
      <c r="D209" s="21">
        <f>'Raw Data'!V223</f>
        <v>43021</v>
      </c>
      <c r="E209" s="17">
        <f t="shared" si="9"/>
        <v>13</v>
      </c>
      <c r="F209" s="17">
        <f t="shared" si="10"/>
        <v>0</v>
      </c>
      <c r="G209" s="22">
        <v>0</v>
      </c>
      <c r="H209" s="13"/>
      <c r="I209" s="81">
        <f t="shared" ca="1" si="11"/>
        <v>0</v>
      </c>
      <c r="J209" s="13"/>
    </row>
    <row r="210" spans="1:10">
      <c r="A210" s="19" t="str">
        <f>'Raw Data'!R247</f>
        <v>Music</v>
      </c>
      <c r="B210" s="6" t="str">
        <f>'Raw Data'!S247</f>
        <v>David</v>
      </c>
      <c r="C210" s="20">
        <f>'Raw Data'!U247</f>
        <v>1454</v>
      </c>
      <c r="D210" s="21">
        <f>'Raw Data'!V247</f>
        <v>43021</v>
      </c>
      <c r="E210" s="17">
        <f t="shared" si="9"/>
        <v>13</v>
      </c>
      <c r="F210" s="17">
        <f t="shared" si="10"/>
        <v>1</v>
      </c>
      <c r="G210" s="22">
        <v>266.78899082568807</v>
      </c>
      <c r="H210" s="13"/>
      <c r="I210" s="81">
        <f t="shared" ca="1" si="11"/>
        <v>228.97637795275591</v>
      </c>
      <c r="J210" s="13"/>
    </row>
    <row r="211" spans="1:10">
      <c r="A211" s="19" t="str">
        <f>'Raw Data'!R368</f>
        <v>Games</v>
      </c>
      <c r="B211" s="6" t="str">
        <f>'Raw Data'!S368</f>
        <v>David</v>
      </c>
      <c r="C211" s="20">
        <f>'Raw Data'!U368</f>
        <v>1573</v>
      </c>
      <c r="D211" s="21">
        <f>'Raw Data'!V368</f>
        <v>43021</v>
      </c>
      <c r="E211" s="17">
        <f t="shared" si="9"/>
        <v>13</v>
      </c>
      <c r="F211" s="17">
        <f t="shared" si="10"/>
        <v>1</v>
      </c>
      <c r="G211" s="22">
        <v>30.25</v>
      </c>
      <c r="H211" s="13"/>
      <c r="I211" s="81">
        <f t="shared" ca="1" si="11"/>
        <v>46.264705882352942</v>
      </c>
      <c r="J211" s="13"/>
    </row>
    <row r="212" spans="1:10">
      <c r="A212" s="19" t="str">
        <f>'Raw Data'!R178</f>
        <v>Clothing</v>
      </c>
      <c r="B212" s="6" t="str">
        <f>'Raw Data'!S178</f>
        <v>Alice</v>
      </c>
      <c r="C212" s="20">
        <f>'Raw Data'!U178</f>
        <v>1671</v>
      </c>
      <c r="D212" s="21">
        <f>'Raw Data'!V178</f>
        <v>43022</v>
      </c>
      <c r="E212" s="17">
        <f t="shared" si="9"/>
        <v>14</v>
      </c>
      <c r="F212" s="17">
        <f t="shared" si="10"/>
        <v>1</v>
      </c>
      <c r="G212" s="22">
        <v>70.506329113924039</v>
      </c>
      <c r="H212" s="13"/>
      <c r="I212" s="81">
        <f t="shared" ca="1" si="11"/>
        <v>64.767441860465112</v>
      </c>
      <c r="J212" s="13"/>
    </row>
    <row r="213" spans="1:10">
      <c r="A213" s="19" t="str">
        <f>'Raw Data'!R209</f>
        <v>Books</v>
      </c>
      <c r="B213" s="6" t="str">
        <f>'Raw Data'!S209</f>
        <v>Alice</v>
      </c>
      <c r="C213" s="20">
        <f>'Raw Data'!U209</f>
        <v>552</v>
      </c>
      <c r="D213" s="21">
        <f>'Raw Data'!V209</f>
        <v>43022</v>
      </c>
      <c r="E213" s="17">
        <f t="shared" si="9"/>
        <v>14</v>
      </c>
      <c r="F213" s="17">
        <f t="shared" si="10"/>
        <v>1</v>
      </c>
      <c r="G213" s="22">
        <v>43.80952380952381</v>
      </c>
      <c r="H213" s="13"/>
      <c r="I213" s="81">
        <f t="shared" ca="1" si="11"/>
        <v>68.148148148148138</v>
      </c>
      <c r="J213" s="13"/>
    </row>
    <row r="214" spans="1:10">
      <c r="A214" s="19" t="str">
        <f>'Raw Data'!R218</f>
        <v>Music</v>
      </c>
      <c r="B214" s="6" t="str">
        <f>'Raw Data'!S218</f>
        <v>Alice</v>
      </c>
      <c r="C214" s="20">
        <f>'Raw Data'!U218</f>
        <v>1236</v>
      </c>
      <c r="D214" s="21">
        <f>'Raw Data'!V218</f>
        <v>43022</v>
      </c>
      <c r="E214" s="17">
        <f t="shared" si="9"/>
        <v>14</v>
      </c>
      <c r="F214" s="17">
        <f t="shared" si="10"/>
        <v>1</v>
      </c>
      <c r="G214" s="22">
        <v>185.86466165413532</v>
      </c>
      <c r="H214" s="13"/>
      <c r="I214" s="81">
        <f t="shared" ca="1" si="11"/>
        <v>169.31506849315068</v>
      </c>
      <c r="J214" s="13"/>
    </row>
    <row r="215" spans="1:10">
      <c r="A215" s="19" t="str">
        <f>'Raw Data'!R359</f>
        <v>Games</v>
      </c>
      <c r="B215" s="6" t="str">
        <f>'Raw Data'!S359</f>
        <v>Alice</v>
      </c>
      <c r="C215" s="20">
        <f>'Raw Data'!U359</f>
        <v>2209</v>
      </c>
      <c r="D215" s="21">
        <f>'Raw Data'!V359</f>
        <v>43022</v>
      </c>
      <c r="E215" s="17">
        <f t="shared" si="9"/>
        <v>14</v>
      </c>
      <c r="F215" s="17">
        <f t="shared" si="10"/>
        <v>1</v>
      </c>
      <c r="G215" s="22">
        <v>73.63333333333334</v>
      </c>
      <c r="H215" s="13"/>
      <c r="I215" s="81">
        <f t="shared" ca="1" si="11"/>
        <v>36.512396694214878</v>
      </c>
      <c r="J215" s="13"/>
    </row>
    <row r="216" spans="1:10">
      <c r="A216" s="19" t="str">
        <f>'Raw Data'!R91</f>
        <v>Games</v>
      </c>
      <c r="B216" s="6" t="str">
        <f>'Raw Data'!S91</f>
        <v>Barney</v>
      </c>
      <c r="C216" s="20">
        <f>'Raw Data'!U91</f>
        <v>1771</v>
      </c>
      <c r="D216" s="21">
        <f>'Raw Data'!V91</f>
        <v>43022</v>
      </c>
      <c r="E216" s="17">
        <f t="shared" si="9"/>
        <v>14</v>
      </c>
      <c r="F216" s="17">
        <f t="shared" si="10"/>
        <v>1</v>
      </c>
      <c r="G216" s="22">
        <v>39.355555555555554</v>
      </c>
      <c r="H216" s="13"/>
      <c r="I216" s="81">
        <f t="shared" ca="1" si="11"/>
        <v>28.796747967479675</v>
      </c>
      <c r="J216" s="13"/>
    </row>
    <row r="217" spans="1:10">
      <c r="A217" s="19" t="str">
        <f>'Raw Data'!R306</f>
        <v>Books</v>
      </c>
      <c r="B217" s="6" t="str">
        <f>'Raw Data'!S306</f>
        <v>Barney</v>
      </c>
      <c r="C217" s="20">
        <f>'Raw Data'!U306</f>
        <v>621</v>
      </c>
      <c r="D217" s="21">
        <f>'Raw Data'!V306</f>
        <v>43022</v>
      </c>
      <c r="E217" s="17">
        <f t="shared" si="9"/>
        <v>14</v>
      </c>
      <c r="F217" s="17">
        <f t="shared" si="10"/>
        <v>1</v>
      </c>
      <c r="G217" s="22">
        <v>74.819277108433738</v>
      </c>
      <c r="H217" s="13"/>
      <c r="I217" s="81">
        <f t="shared" ca="1" si="11"/>
        <v>53.07692307692308</v>
      </c>
      <c r="J217" s="13"/>
    </row>
    <row r="218" spans="1:10">
      <c r="A218" s="19" t="str">
        <f>'Raw Data'!R456</f>
        <v>Music</v>
      </c>
      <c r="B218" s="6" t="str">
        <f>'Raw Data'!S456</f>
        <v>Barney</v>
      </c>
      <c r="C218" s="20">
        <f>'Raw Data'!U456</f>
        <v>1144</v>
      </c>
      <c r="D218" s="21">
        <f>'Raw Data'!V456</f>
        <v>43022</v>
      </c>
      <c r="E218" s="17">
        <f t="shared" si="9"/>
        <v>14</v>
      </c>
      <c r="F218" s="17">
        <f t="shared" si="10"/>
        <v>1</v>
      </c>
      <c r="G218" s="22">
        <v>457.6</v>
      </c>
      <c r="H218" s="13"/>
      <c r="I218" s="81">
        <f t="shared" ca="1" si="11"/>
        <v>352</v>
      </c>
      <c r="J218" s="13"/>
    </row>
    <row r="219" spans="1:10">
      <c r="A219" s="19" t="str">
        <f>'Raw Data'!R494</f>
        <v>Clothing</v>
      </c>
      <c r="B219" s="6" t="str">
        <f>'Raw Data'!S494</f>
        <v>Barney</v>
      </c>
      <c r="C219" s="20">
        <f>'Raw Data'!U494</f>
        <v>0</v>
      </c>
      <c r="D219" s="21">
        <f>'Raw Data'!V494</f>
        <v>43022</v>
      </c>
      <c r="E219" s="17">
        <f t="shared" si="9"/>
        <v>14</v>
      </c>
      <c r="F219" s="17">
        <f t="shared" si="10"/>
        <v>0</v>
      </c>
      <c r="G219" s="22">
        <v>0</v>
      </c>
      <c r="H219" s="13"/>
      <c r="I219" s="81">
        <f t="shared" ca="1" si="11"/>
        <v>0</v>
      </c>
      <c r="J219" s="13"/>
    </row>
    <row r="220" spans="1:10">
      <c r="A220" s="19" t="str">
        <f>'Raw Data'!R46</f>
        <v>Clothing</v>
      </c>
      <c r="B220" s="6" t="str">
        <f>'Raw Data'!S46</f>
        <v>Carol</v>
      </c>
      <c r="C220" s="20">
        <f>'Raw Data'!U46</f>
        <v>808</v>
      </c>
      <c r="D220" s="21">
        <f>'Raw Data'!V46</f>
        <v>43022</v>
      </c>
      <c r="E220" s="17">
        <f t="shared" si="9"/>
        <v>14</v>
      </c>
      <c r="F220" s="17">
        <f t="shared" si="10"/>
        <v>1</v>
      </c>
      <c r="G220" s="22">
        <v>22.076502732240435</v>
      </c>
      <c r="H220" s="13"/>
      <c r="I220" s="81">
        <f t="shared" ca="1" si="11"/>
        <v>20.717948717948719</v>
      </c>
      <c r="J220" s="13"/>
    </row>
    <row r="221" spans="1:10">
      <c r="A221" s="19" t="str">
        <f>'Raw Data'!R140</f>
        <v>Books</v>
      </c>
      <c r="B221" s="6" t="str">
        <f>'Raw Data'!S140</f>
        <v>Carol</v>
      </c>
      <c r="C221" s="20">
        <f>'Raw Data'!U140</f>
        <v>0</v>
      </c>
      <c r="D221" s="21">
        <f>'Raw Data'!V140</f>
        <v>43022</v>
      </c>
      <c r="E221" s="17">
        <f t="shared" si="9"/>
        <v>14</v>
      </c>
      <c r="F221" s="17">
        <f t="shared" si="10"/>
        <v>0</v>
      </c>
      <c r="G221" s="22">
        <v>0</v>
      </c>
      <c r="H221" s="13"/>
      <c r="I221" s="81">
        <f t="shared" ca="1" si="11"/>
        <v>0</v>
      </c>
      <c r="J221" s="13"/>
    </row>
    <row r="222" spans="1:10">
      <c r="A222" s="19" t="str">
        <f>'Raw Data'!R195</f>
        <v>Music</v>
      </c>
      <c r="B222" s="6" t="str">
        <f>'Raw Data'!S195</f>
        <v>Carol</v>
      </c>
      <c r="C222" s="20">
        <f>'Raw Data'!U195</f>
        <v>0</v>
      </c>
      <c r="D222" s="21">
        <f>'Raw Data'!V195</f>
        <v>43022</v>
      </c>
      <c r="E222" s="17">
        <f t="shared" si="9"/>
        <v>14</v>
      </c>
      <c r="F222" s="17">
        <f t="shared" si="10"/>
        <v>0</v>
      </c>
      <c r="G222" s="22">
        <v>0</v>
      </c>
      <c r="H222" s="13"/>
      <c r="I222" s="81">
        <f t="shared" ca="1" si="11"/>
        <v>0</v>
      </c>
      <c r="J222" s="13"/>
    </row>
    <row r="223" spans="1:10">
      <c r="A223" s="19" t="str">
        <f>'Raw Data'!R234</f>
        <v>Games</v>
      </c>
      <c r="B223" s="6" t="str">
        <f>'Raw Data'!S234</f>
        <v>Carol</v>
      </c>
      <c r="C223" s="20">
        <f>'Raw Data'!U234</f>
        <v>2331</v>
      </c>
      <c r="D223" s="21">
        <f>'Raw Data'!V234</f>
        <v>43022</v>
      </c>
      <c r="E223" s="17">
        <f t="shared" si="9"/>
        <v>14</v>
      </c>
      <c r="F223" s="17">
        <f t="shared" si="10"/>
        <v>1</v>
      </c>
      <c r="G223" s="22">
        <v>31.931506849315067</v>
      </c>
      <c r="H223" s="13"/>
      <c r="I223" s="81">
        <f t="shared" ca="1" si="11"/>
        <v>37</v>
      </c>
      <c r="J223" s="13"/>
    </row>
    <row r="224" spans="1:10">
      <c r="A224" s="19" t="str">
        <f>'Raw Data'!R272</f>
        <v>Games</v>
      </c>
      <c r="B224" s="6" t="str">
        <f>'Raw Data'!S272</f>
        <v>David</v>
      </c>
      <c r="C224" s="20">
        <f>'Raw Data'!U272</f>
        <v>1110</v>
      </c>
      <c r="D224" s="21">
        <f>'Raw Data'!V272</f>
        <v>43022</v>
      </c>
      <c r="E224" s="17">
        <f t="shared" si="9"/>
        <v>14</v>
      </c>
      <c r="F224" s="17">
        <f t="shared" si="10"/>
        <v>1</v>
      </c>
      <c r="G224" s="22">
        <v>15.205479452054794</v>
      </c>
      <c r="H224" s="13"/>
      <c r="I224" s="81">
        <f t="shared" ca="1" si="11"/>
        <v>28.101265822784811</v>
      </c>
      <c r="J224" s="13"/>
    </row>
    <row r="225" spans="1:10">
      <c r="A225" s="19" t="str">
        <f>'Raw Data'!R274</f>
        <v>Clothing</v>
      </c>
      <c r="B225" s="6" t="str">
        <f>'Raw Data'!S274</f>
        <v>David</v>
      </c>
      <c r="C225" s="20">
        <f>'Raw Data'!U274</f>
        <v>962</v>
      </c>
      <c r="D225" s="21">
        <f>'Raw Data'!V274</f>
        <v>43022</v>
      </c>
      <c r="E225" s="17">
        <f t="shared" si="9"/>
        <v>14</v>
      </c>
      <c r="F225" s="17">
        <f t="shared" si="10"/>
        <v>1</v>
      </c>
      <c r="G225" s="22">
        <v>24.292929292929291</v>
      </c>
      <c r="H225" s="13"/>
      <c r="I225" s="81">
        <f t="shared" ca="1" si="11"/>
        <v>43.333333333333336</v>
      </c>
      <c r="J225" s="13"/>
    </row>
    <row r="226" spans="1:10">
      <c r="A226" s="19" t="str">
        <f>'Raw Data'!R385</f>
        <v>Books</v>
      </c>
      <c r="B226" s="6" t="str">
        <f>'Raw Data'!S385</f>
        <v>David</v>
      </c>
      <c r="C226" s="20">
        <f>'Raw Data'!U385</f>
        <v>0</v>
      </c>
      <c r="D226" s="21">
        <f>'Raw Data'!V385</f>
        <v>43022</v>
      </c>
      <c r="E226" s="17">
        <f t="shared" si="9"/>
        <v>14</v>
      </c>
      <c r="F226" s="17">
        <f t="shared" si="10"/>
        <v>0</v>
      </c>
      <c r="G226" s="22">
        <v>0</v>
      </c>
      <c r="H226" s="13"/>
      <c r="I226" s="81">
        <f t="shared" ca="1" si="11"/>
        <v>0</v>
      </c>
      <c r="J226" s="13"/>
    </row>
    <row r="227" spans="1:10">
      <c r="A227" s="19" t="str">
        <f>'Raw Data'!R410</f>
        <v>Music</v>
      </c>
      <c r="B227" s="6" t="str">
        <f>'Raw Data'!S410</f>
        <v>David</v>
      </c>
      <c r="C227" s="20">
        <f>'Raw Data'!U410</f>
        <v>1203</v>
      </c>
      <c r="D227" s="21">
        <f>'Raw Data'!V410</f>
        <v>43022</v>
      </c>
      <c r="E227" s="17">
        <f t="shared" si="9"/>
        <v>14</v>
      </c>
      <c r="F227" s="17">
        <f t="shared" si="10"/>
        <v>1</v>
      </c>
      <c r="G227" s="22">
        <v>189.44881889763781</v>
      </c>
      <c r="H227" s="13"/>
      <c r="I227" s="81">
        <f t="shared" ca="1" si="11"/>
        <v>248.04123711340208</v>
      </c>
      <c r="J227" s="13"/>
    </row>
    <row r="228" spans="1:10">
      <c r="A228" s="19" t="str">
        <f>'Raw Data'!R59</f>
        <v>Clothing</v>
      </c>
      <c r="B228" s="6" t="str">
        <f>'Raw Data'!S59</f>
        <v>Alice</v>
      </c>
      <c r="C228" s="20">
        <f>'Raw Data'!U59</f>
        <v>1986</v>
      </c>
      <c r="D228" s="21">
        <f>'Raw Data'!V59</f>
        <v>43023</v>
      </c>
      <c r="E228" s="17">
        <f t="shared" si="9"/>
        <v>15</v>
      </c>
      <c r="F228" s="17">
        <f t="shared" si="10"/>
        <v>1</v>
      </c>
      <c r="G228" s="22">
        <v>78.80952380952381</v>
      </c>
      <c r="H228" s="13"/>
      <c r="I228" s="81">
        <f t="shared" ca="1" si="11"/>
        <v>64.271844660194176</v>
      </c>
      <c r="J228" s="13"/>
    </row>
    <row r="229" spans="1:10">
      <c r="A229" s="19" t="str">
        <f>'Raw Data'!R240</f>
        <v>Music</v>
      </c>
      <c r="B229" s="6" t="str">
        <f>'Raw Data'!S240</f>
        <v>Alice</v>
      </c>
      <c r="C229" s="20">
        <f>'Raw Data'!U240</f>
        <v>1499</v>
      </c>
      <c r="D229" s="21">
        <f>'Raw Data'!V240</f>
        <v>43023</v>
      </c>
      <c r="E229" s="17">
        <f t="shared" si="9"/>
        <v>15</v>
      </c>
      <c r="F229" s="17">
        <f t="shared" si="10"/>
        <v>1</v>
      </c>
      <c r="G229" s="22">
        <v>394.47368421052636</v>
      </c>
      <c r="H229" s="13"/>
      <c r="I229" s="81">
        <f t="shared" ca="1" si="11"/>
        <v>277.59259259259255</v>
      </c>
      <c r="J229" s="13"/>
    </row>
    <row r="230" spans="1:10">
      <c r="A230" s="19" t="str">
        <f>'Raw Data'!R426</f>
        <v>Books</v>
      </c>
      <c r="B230" s="6" t="str">
        <f>'Raw Data'!S426</f>
        <v>Alice</v>
      </c>
      <c r="C230" s="20">
        <f>'Raw Data'!U426</f>
        <v>952</v>
      </c>
      <c r="D230" s="21">
        <f>'Raw Data'!V426</f>
        <v>43023</v>
      </c>
      <c r="E230" s="17">
        <f t="shared" si="9"/>
        <v>15</v>
      </c>
      <c r="F230" s="17">
        <f t="shared" si="10"/>
        <v>1</v>
      </c>
      <c r="G230" s="22">
        <v>63.892617449664428</v>
      </c>
      <c r="H230" s="13"/>
      <c r="I230" s="81">
        <f t="shared" ca="1" si="11"/>
        <v>173.09090909090909</v>
      </c>
      <c r="J230" s="13"/>
    </row>
    <row r="231" spans="1:10">
      <c r="A231" s="19" t="str">
        <f>'Raw Data'!R468</f>
        <v>Games</v>
      </c>
      <c r="B231" s="6" t="str">
        <f>'Raw Data'!S468</f>
        <v>Alice</v>
      </c>
      <c r="C231" s="20">
        <f>'Raw Data'!U468</f>
        <v>0</v>
      </c>
      <c r="D231" s="21">
        <f>'Raw Data'!V468</f>
        <v>43023</v>
      </c>
      <c r="E231" s="17">
        <f t="shared" si="9"/>
        <v>15</v>
      </c>
      <c r="F231" s="17">
        <f t="shared" si="10"/>
        <v>0</v>
      </c>
      <c r="G231" s="22">
        <v>0</v>
      </c>
      <c r="H231" s="13"/>
      <c r="I231" s="81">
        <f t="shared" ca="1" si="11"/>
        <v>0</v>
      </c>
      <c r="J231" s="13"/>
    </row>
    <row r="232" spans="1:10">
      <c r="A232" s="19" t="str">
        <f>'Raw Data'!R94</f>
        <v>Books</v>
      </c>
      <c r="B232" s="6" t="str">
        <f>'Raw Data'!S94</f>
        <v>Barney</v>
      </c>
      <c r="C232" s="20">
        <f>'Raw Data'!U94</f>
        <v>0</v>
      </c>
      <c r="D232" s="21">
        <f>'Raw Data'!V94</f>
        <v>43023</v>
      </c>
      <c r="E232" s="17">
        <f t="shared" si="9"/>
        <v>15</v>
      </c>
      <c r="F232" s="17">
        <f t="shared" si="10"/>
        <v>0</v>
      </c>
      <c r="G232" s="22">
        <v>0</v>
      </c>
      <c r="H232" s="13"/>
      <c r="I232" s="81">
        <f t="shared" ca="1" si="11"/>
        <v>0</v>
      </c>
      <c r="J232" s="13"/>
    </row>
    <row r="233" spans="1:10">
      <c r="A233" s="19" t="str">
        <f>'Raw Data'!R98</f>
        <v>Clothing</v>
      </c>
      <c r="B233" s="6" t="str">
        <f>'Raw Data'!S98</f>
        <v>Barney</v>
      </c>
      <c r="C233" s="20">
        <f>'Raw Data'!U98</f>
        <v>1743</v>
      </c>
      <c r="D233" s="21">
        <f>'Raw Data'!V98</f>
        <v>43023</v>
      </c>
      <c r="E233" s="17">
        <f t="shared" si="9"/>
        <v>15</v>
      </c>
      <c r="F233" s="17">
        <f t="shared" si="10"/>
        <v>1</v>
      </c>
      <c r="G233" s="22">
        <v>111.73076923076923</v>
      </c>
      <c r="H233" s="13"/>
      <c r="I233" s="81">
        <f t="shared" ca="1" si="11"/>
        <v>44.015151515151516</v>
      </c>
      <c r="J233" s="13"/>
    </row>
    <row r="234" spans="1:10">
      <c r="A234" s="19" t="str">
        <f>'Raw Data'!R182</f>
        <v>Music</v>
      </c>
      <c r="B234" s="6" t="str">
        <f>'Raw Data'!S182</f>
        <v>Barney</v>
      </c>
      <c r="C234" s="20">
        <f>'Raw Data'!U182</f>
        <v>1291</v>
      </c>
      <c r="D234" s="21">
        <f>'Raw Data'!V182</f>
        <v>43023</v>
      </c>
      <c r="E234" s="17">
        <f t="shared" si="9"/>
        <v>15</v>
      </c>
      <c r="F234" s="17">
        <f t="shared" si="10"/>
        <v>1</v>
      </c>
      <c r="G234" s="22">
        <v>409.84126984126988</v>
      </c>
      <c r="H234" s="13"/>
      <c r="I234" s="81">
        <f t="shared" ca="1" si="11"/>
        <v>286.88888888888891</v>
      </c>
      <c r="J234" s="13"/>
    </row>
    <row r="235" spans="1:10">
      <c r="A235" s="19" t="str">
        <f>'Raw Data'!R295</f>
        <v>Games</v>
      </c>
      <c r="B235" s="6" t="str">
        <f>'Raw Data'!S295</f>
        <v>Barney</v>
      </c>
      <c r="C235" s="20">
        <f>'Raw Data'!U295</f>
        <v>0</v>
      </c>
      <c r="D235" s="21">
        <f>'Raw Data'!V295</f>
        <v>43023</v>
      </c>
      <c r="E235" s="17">
        <f t="shared" si="9"/>
        <v>15</v>
      </c>
      <c r="F235" s="17">
        <f t="shared" si="10"/>
        <v>0</v>
      </c>
      <c r="G235" s="22">
        <v>0</v>
      </c>
      <c r="H235" s="13"/>
      <c r="I235" s="81">
        <f t="shared" ca="1" si="11"/>
        <v>0</v>
      </c>
      <c r="J235" s="13"/>
    </row>
    <row r="236" spans="1:10">
      <c r="A236" s="19" t="str">
        <f>'Raw Data'!R43</f>
        <v>Books</v>
      </c>
      <c r="B236" s="6" t="str">
        <f>'Raw Data'!S43</f>
        <v>Carol</v>
      </c>
      <c r="C236" s="20">
        <f>'Raw Data'!U43</f>
        <v>754</v>
      </c>
      <c r="D236" s="21">
        <f>'Raw Data'!V43</f>
        <v>43023</v>
      </c>
      <c r="E236" s="17">
        <f t="shared" si="9"/>
        <v>15</v>
      </c>
      <c r="F236" s="17">
        <f t="shared" si="10"/>
        <v>1</v>
      </c>
      <c r="G236" s="22">
        <v>65.565217391304344</v>
      </c>
      <c r="H236" s="13"/>
      <c r="I236" s="81">
        <f t="shared" ca="1" si="11"/>
        <v>59.370078740157481</v>
      </c>
      <c r="J236" s="13"/>
    </row>
    <row r="237" spans="1:10">
      <c r="A237" s="19" t="str">
        <f>'Raw Data'!R151</f>
        <v>Clothing</v>
      </c>
      <c r="B237" s="6" t="str">
        <f>'Raw Data'!S151</f>
        <v>Carol</v>
      </c>
      <c r="C237" s="20">
        <f>'Raw Data'!U151</f>
        <v>1304</v>
      </c>
      <c r="D237" s="21">
        <f>'Raw Data'!V151</f>
        <v>43023</v>
      </c>
      <c r="E237" s="17">
        <f t="shared" si="9"/>
        <v>15</v>
      </c>
      <c r="F237" s="17">
        <f t="shared" si="10"/>
        <v>1</v>
      </c>
      <c r="G237" s="22">
        <v>31.727493917274938</v>
      </c>
      <c r="H237" s="13"/>
      <c r="I237" s="81">
        <f t="shared" ca="1" si="11"/>
        <v>54.333333333333336</v>
      </c>
      <c r="J237" s="13"/>
    </row>
    <row r="238" spans="1:10">
      <c r="A238" s="19" t="str">
        <f>'Raw Data'!R165</f>
        <v>Games</v>
      </c>
      <c r="B238" s="6" t="str">
        <f>'Raw Data'!S165</f>
        <v>Carol</v>
      </c>
      <c r="C238" s="20">
        <f>'Raw Data'!U165</f>
        <v>1500</v>
      </c>
      <c r="D238" s="21">
        <f>'Raw Data'!V165</f>
        <v>43023</v>
      </c>
      <c r="E238" s="17">
        <f t="shared" si="9"/>
        <v>15</v>
      </c>
      <c r="F238" s="17">
        <f t="shared" si="10"/>
        <v>1</v>
      </c>
      <c r="G238" s="22">
        <v>28.571428571428573</v>
      </c>
      <c r="H238" s="13"/>
      <c r="I238" s="81">
        <f t="shared" ca="1" si="11"/>
        <v>30.612244897959183</v>
      </c>
      <c r="J238" s="13"/>
    </row>
    <row r="239" spans="1:10">
      <c r="A239" s="19" t="str">
        <f>'Raw Data'!R194</f>
        <v>Music</v>
      </c>
      <c r="B239" s="6" t="str">
        <f>'Raw Data'!S194</f>
        <v>Carol</v>
      </c>
      <c r="C239" s="20">
        <f>'Raw Data'!U194</f>
        <v>1360</v>
      </c>
      <c r="D239" s="21">
        <f>'Raw Data'!V194</f>
        <v>43023</v>
      </c>
      <c r="E239" s="17">
        <f t="shared" si="9"/>
        <v>15</v>
      </c>
      <c r="F239" s="17">
        <f t="shared" si="10"/>
        <v>1</v>
      </c>
      <c r="G239" s="22">
        <v>190.20979020979021</v>
      </c>
      <c r="H239" s="13"/>
      <c r="I239" s="81">
        <f t="shared" ca="1" si="11"/>
        <v>266.66666666666669</v>
      </c>
      <c r="J239" s="13"/>
    </row>
    <row r="240" spans="1:10">
      <c r="A240" s="19" t="str">
        <f>'Raw Data'!R12</f>
        <v>Music</v>
      </c>
      <c r="B240" s="6" t="str">
        <f>'Raw Data'!S12</f>
        <v>David</v>
      </c>
      <c r="C240" s="20">
        <f>'Raw Data'!U12</f>
        <v>1202</v>
      </c>
      <c r="D240" s="21">
        <f>'Raw Data'!V12</f>
        <v>43023</v>
      </c>
      <c r="E240" s="17">
        <f t="shared" si="9"/>
        <v>15</v>
      </c>
      <c r="F240" s="17">
        <f t="shared" si="10"/>
        <v>1</v>
      </c>
      <c r="G240" s="22">
        <v>437.09090909090907</v>
      </c>
      <c r="H240" s="13"/>
      <c r="I240" s="81">
        <f t="shared" ca="1" si="11"/>
        <v>205.47008547008548</v>
      </c>
      <c r="J240" s="13"/>
    </row>
    <row r="241" spans="1:10">
      <c r="A241" s="19" t="str">
        <f>'Raw Data'!R61</f>
        <v>Games</v>
      </c>
      <c r="B241" s="6" t="str">
        <f>'Raw Data'!S61</f>
        <v>David</v>
      </c>
      <c r="C241" s="20">
        <f>'Raw Data'!U61</f>
        <v>0</v>
      </c>
      <c r="D241" s="21">
        <f>'Raw Data'!V61</f>
        <v>43023</v>
      </c>
      <c r="E241" s="17">
        <f t="shared" si="9"/>
        <v>15</v>
      </c>
      <c r="F241" s="17">
        <f t="shared" si="10"/>
        <v>0</v>
      </c>
      <c r="G241" s="22">
        <v>0</v>
      </c>
      <c r="H241" s="13"/>
      <c r="I241" s="81">
        <f t="shared" ca="1" si="11"/>
        <v>0</v>
      </c>
      <c r="J241" s="13"/>
    </row>
    <row r="242" spans="1:10">
      <c r="A242" s="19" t="str">
        <f>'Raw Data'!R305</f>
        <v>Books</v>
      </c>
      <c r="B242" s="6" t="str">
        <f>'Raw Data'!S305</f>
        <v>David</v>
      </c>
      <c r="C242" s="20">
        <f>'Raw Data'!U305</f>
        <v>852</v>
      </c>
      <c r="D242" s="21">
        <f>'Raw Data'!V305</f>
        <v>43023</v>
      </c>
      <c r="E242" s="17">
        <f t="shared" si="9"/>
        <v>15</v>
      </c>
      <c r="F242" s="17">
        <f t="shared" si="10"/>
        <v>1</v>
      </c>
      <c r="G242" s="22">
        <v>83.529411764705884</v>
      </c>
      <c r="H242" s="13"/>
      <c r="I242" s="81">
        <f t="shared" ca="1" si="11"/>
        <v>65.038167938931295</v>
      </c>
      <c r="J242" s="13"/>
    </row>
    <row r="243" spans="1:10">
      <c r="A243" s="19" t="str">
        <f>'Raw Data'!R370</f>
        <v>Clothing</v>
      </c>
      <c r="B243" s="6" t="str">
        <f>'Raw Data'!S370</f>
        <v>David</v>
      </c>
      <c r="C243" s="20">
        <f>'Raw Data'!U370</f>
        <v>1281</v>
      </c>
      <c r="D243" s="21">
        <f>'Raw Data'!V370</f>
        <v>43023</v>
      </c>
      <c r="E243" s="17">
        <f t="shared" si="9"/>
        <v>15</v>
      </c>
      <c r="F243" s="17">
        <f t="shared" si="10"/>
        <v>1</v>
      </c>
      <c r="G243" s="22">
        <v>74.912280701754383</v>
      </c>
      <c r="H243" s="13"/>
      <c r="I243" s="81">
        <f t="shared" ca="1" si="11"/>
        <v>56.93333333333333</v>
      </c>
      <c r="J243" s="13"/>
    </row>
    <row r="244" spans="1:10">
      <c r="A244" s="19" t="str">
        <f>'Raw Data'!R126</f>
        <v>Games</v>
      </c>
      <c r="B244" s="6" t="str">
        <f>'Raw Data'!S126</f>
        <v>Alice</v>
      </c>
      <c r="C244" s="20">
        <f>'Raw Data'!U126</f>
        <v>1101</v>
      </c>
      <c r="D244" s="21">
        <f>'Raw Data'!V126</f>
        <v>43024</v>
      </c>
      <c r="E244" s="17">
        <f t="shared" si="9"/>
        <v>16</v>
      </c>
      <c r="F244" s="17">
        <f t="shared" si="10"/>
        <v>1</v>
      </c>
      <c r="G244" s="22">
        <v>16.072992700729927</v>
      </c>
      <c r="H244" s="13"/>
      <c r="I244" s="81">
        <f t="shared" ca="1" si="11"/>
        <v>27.185185185185187</v>
      </c>
      <c r="J244" s="13"/>
    </row>
    <row r="245" spans="1:10">
      <c r="A245" s="19" t="str">
        <f>'Raw Data'!R265</f>
        <v>Clothing</v>
      </c>
      <c r="B245" s="6" t="str">
        <f>'Raw Data'!S265</f>
        <v>Alice</v>
      </c>
      <c r="C245" s="20">
        <f>'Raw Data'!U265</f>
        <v>0</v>
      </c>
      <c r="D245" s="21">
        <f>'Raw Data'!V265</f>
        <v>43024</v>
      </c>
      <c r="E245" s="17">
        <f t="shared" si="9"/>
        <v>16</v>
      </c>
      <c r="F245" s="17">
        <f t="shared" si="10"/>
        <v>0</v>
      </c>
      <c r="G245" s="22">
        <v>0</v>
      </c>
      <c r="H245" s="13"/>
      <c r="I245" s="81">
        <f t="shared" ca="1" si="11"/>
        <v>0</v>
      </c>
      <c r="J245" s="13"/>
    </row>
    <row r="246" spans="1:10">
      <c r="A246" s="19" t="str">
        <f>'Raw Data'!R379</f>
        <v>Books</v>
      </c>
      <c r="B246" s="6" t="str">
        <f>'Raw Data'!S379</f>
        <v>Alice</v>
      </c>
      <c r="C246" s="20">
        <f>'Raw Data'!U379</f>
        <v>735</v>
      </c>
      <c r="D246" s="21">
        <f>'Raw Data'!V379</f>
        <v>43024</v>
      </c>
      <c r="E246" s="17">
        <f t="shared" si="9"/>
        <v>16</v>
      </c>
      <c r="F246" s="17">
        <f t="shared" si="10"/>
        <v>1</v>
      </c>
      <c r="G246" s="22">
        <v>76.5625</v>
      </c>
      <c r="H246" s="13"/>
      <c r="I246" s="81">
        <f t="shared" ca="1" si="11"/>
        <v>62.288135593220346</v>
      </c>
      <c r="J246" s="13"/>
    </row>
    <row r="247" spans="1:10">
      <c r="A247" s="19" t="str">
        <f>'Raw Data'!R450</f>
        <v>Music</v>
      </c>
      <c r="B247" s="6" t="str">
        <f>'Raw Data'!S450</f>
        <v>Alice</v>
      </c>
      <c r="C247" s="20">
        <f>'Raw Data'!U450</f>
        <v>0</v>
      </c>
      <c r="D247" s="21">
        <f>'Raw Data'!V450</f>
        <v>43024</v>
      </c>
      <c r="E247" s="17">
        <f t="shared" si="9"/>
        <v>16</v>
      </c>
      <c r="F247" s="17">
        <f t="shared" si="10"/>
        <v>0</v>
      </c>
      <c r="G247" s="22">
        <v>0</v>
      </c>
      <c r="H247" s="13"/>
      <c r="I247" s="81">
        <f t="shared" ca="1" si="11"/>
        <v>0</v>
      </c>
      <c r="J247" s="13"/>
    </row>
    <row r="248" spans="1:10">
      <c r="A248" s="19" t="str">
        <f>'Raw Data'!R21</f>
        <v>Clothing</v>
      </c>
      <c r="B248" s="6" t="str">
        <f>'Raw Data'!S21</f>
        <v>Barney</v>
      </c>
      <c r="C248" s="20">
        <f>'Raw Data'!U21</f>
        <v>945</v>
      </c>
      <c r="D248" s="21">
        <f>'Raw Data'!V21</f>
        <v>43024</v>
      </c>
      <c r="E248" s="17">
        <f t="shared" si="9"/>
        <v>16</v>
      </c>
      <c r="F248" s="17">
        <f t="shared" si="10"/>
        <v>1</v>
      </c>
      <c r="G248" s="22">
        <v>32.474226804123717</v>
      </c>
      <c r="H248" s="13"/>
      <c r="I248" s="81">
        <f t="shared" ca="1" si="11"/>
        <v>26.25</v>
      </c>
      <c r="J248" s="13"/>
    </row>
    <row r="249" spans="1:10">
      <c r="A249" s="19" t="str">
        <f>'Raw Data'!R146</f>
        <v>Books</v>
      </c>
      <c r="B249" s="6" t="str">
        <f>'Raw Data'!S146</f>
        <v>Barney</v>
      </c>
      <c r="C249" s="20">
        <f>'Raw Data'!U146</f>
        <v>0</v>
      </c>
      <c r="D249" s="21">
        <f>'Raw Data'!V146</f>
        <v>43024</v>
      </c>
      <c r="E249" s="17">
        <f t="shared" si="9"/>
        <v>16</v>
      </c>
      <c r="F249" s="17">
        <f t="shared" si="10"/>
        <v>0</v>
      </c>
      <c r="G249" s="22">
        <v>0</v>
      </c>
      <c r="H249" s="13"/>
      <c r="I249" s="81">
        <f t="shared" ca="1" si="11"/>
        <v>0</v>
      </c>
      <c r="J249" s="13"/>
    </row>
    <row r="250" spans="1:10">
      <c r="A250" s="19" t="str">
        <f>'Raw Data'!R324</f>
        <v>Games</v>
      </c>
      <c r="B250" s="6" t="str">
        <f>'Raw Data'!S324</f>
        <v>Barney</v>
      </c>
      <c r="C250" s="20">
        <f>'Raw Data'!U324</f>
        <v>1522</v>
      </c>
      <c r="D250" s="21">
        <f>'Raw Data'!V324</f>
        <v>43024</v>
      </c>
      <c r="E250" s="17">
        <f t="shared" si="9"/>
        <v>16</v>
      </c>
      <c r="F250" s="17">
        <f t="shared" si="10"/>
        <v>1</v>
      </c>
      <c r="G250" s="22">
        <v>22.887218045112782</v>
      </c>
      <c r="H250" s="13"/>
      <c r="I250" s="81">
        <f t="shared" ca="1" si="11"/>
        <v>29.26923076923077</v>
      </c>
      <c r="J250" s="13"/>
    </row>
    <row r="251" spans="1:10">
      <c r="A251" s="19" t="str">
        <f>'Raw Data'!R439</f>
        <v>Music</v>
      </c>
      <c r="B251" s="6" t="str">
        <f>'Raw Data'!S439</f>
        <v>Barney</v>
      </c>
      <c r="C251" s="20">
        <f>'Raw Data'!U439</f>
        <v>0</v>
      </c>
      <c r="D251" s="21">
        <f>'Raw Data'!V439</f>
        <v>43024</v>
      </c>
      <c r="E251" s="17">
        <f t="shared" si="9"/>
        <v>16</v>
      </c>
      <c r="F251" s="17">
        <f t="shared" si="10"/>
        <v>0</v>
      </c>
      <c r="G251" s="22">
        <v>0</v>
      </c>
      <c r="H251" s="13"/>
      <c r="I251" s="81">
        <f t="shared" ca="1" si="11"/>
        <v>0</v>
      </c>
      <c r="J251" s="13"/>
    </row>
    <row r="252" spans="1:10">
      <c r="A252" s="19" t="str">
        <f>'Raw Data'!R145</f>
        <v>Music</v>
      </c>
      <c r="B252" s="6" t="str">
        <f>'Raw Data'!S145</f>
        <v>Carol</v>
      </c>
      <c r="C252" s="20">
        <f>'Raw Data'!U145</f>
        <v>1412</v>
      </c>
      <c r="D252" s="21">
        <f>'Raw Data'!V145</f>
        <v>43024</v>
      </c>
      <c r="E252" s="17">
        <f t="shared" si="9"/>
        <v>16</v>
      </c>
      <c r="F252" s="17">
        <f t="shared" si="10"/>
        <v>1</v>
      </c>
      <c r="G252" s="22">
        <v>504.28571428571422</v>
      </c>
      <c r="H252" s="13"/>
      <c r="I252" s="81">
        <f t="shared" ca="1" si="11"/>
        <v>194.75862068965517</v>
      </c>
      <c r="J252" s="13"/>
    </row>
    <row r="253" spans="1:10">
      <c r="A253" s="19" t="str">
        <f>'Raw Data'!R172</f>
        <v>Games</v>
      </c>
      <c r="B253" s="6" t="str">
        <f>'Raw Data'!S172</f>
        <v>Carol</v>
      </c>
      <c r="C253" s="20">
        <f>'Raw Data'!U172</f>
        <v>1900</v>
      </c>
      <c r="D253" s="21">
        <f>'Raw Data'!V172</f>
        <v>43024</v>
      </c>
      <c r="E253" s="17">
        <f t="shared" si="9"/>
        <v>16</v>
      </c>
      <c r="F253" s="17">
        <f t="shared" si="10"/>
        <v>1</v>
      </c>
      <c r="G253" s="22">
        <v>35.514018691588788</v>
      </c>
      <c r="H253" s="13"/>
      <c r="I253" s="81">
        <f t="shared" ca="1" si="11"/>
        <v>69.090909090909079</v>
      </c>
      <c r="J253" s="13"/>
    </row>
    <row r="254" spans="1:10">
      <c r="A254" s="19" t="str">
        <f>'Raw Data'!R419</f>
        <v>Books</v>
      </c>
      <c r="B254" s="6" t="str">
        <f>'Raw Data'!S419</f>
        <v>Carol</v>
      </c>
      <c r="C254" s="20">
        <f>'Raw Data'!U419</f>
        <v>618</v>
      </c>
      <c r="D254" s="21">
        <f>'Raw Data'!V419</f>
        <v>43024</v>
      </c>
      <c r="E254" s="17">
        <f t="shared" si="9"/>
        <v>16</v>
      </c>
      <c r="F254" s="17">
        <f t="shared" si="10"/>
        <v>1</v>
      </c>
      <c r="G254" s="22">
        <v>59.42307692307692</v>
      </c>
      <c r="H254" s="13"/>
      <c r="I254" s="81">
        <f t="shared" ca="1" si="11"/>
        <v>42.916666666666671</v>
      </c>
      <c r="J254" s="13"/>
    </row>
    <row r="255" spans="1:10">
      <c r="A255" s="19" t="str">
        <f>'Raw Data'!R420</f>
        <v>Clothing</v>
      </c>
      <c r="B255" s="6" t="str">
        <f>'Raw Data'!S420</f>
        <v>Carol</v>
      </c>
      <c r="C255" s="20">
        <f>'Raw Data'!U420</f>
        <v>1602</v>
      </c>
      <c r="D255" s="21">
        <f>'Raw Data'!V420</f>
        <v>43024</v>
      </c>
      <c r="E255" s="17">
        <f t="shared" si="9"/>
        <v>16</v>
      </c>
      <c r="F255" s="17">
        <f t="shared" si="10"/>
        <v>1</v>
      </c>
      <c r="G255" s="22">
        <v>41.07692307692308</v>
      </c>
      <c r="H255" s="13"/>
      <c r="I255" s="81">
        <f t="shared" ca="1" si="11"/>
        <v>58.681318681318679</v>
      </c>
      <c r="J255" s="13"/>
    </row>
    <row r="256" spans="1:10">
      <c r="A256" s="19" t="str">
        <f>'Raw Data'!R125</f>
        <v>Books</v>
      </c>
      <c r="B256" s="6" t="str">
        <f>'Raw Data'!S125</f>
        <v>David</v>
      </c>
      <c r="C256" s="20">
        <f>'Raw Data'!U125</f>
        <v>598</v>
      </c>
      <c r="D256" s="21">
        <f>'Raw Data'!V125</f>
        <v>43024</v>
      </c>
      <c r="E256" s="17">
        <f t="shared" si="9"/>
        <v>16</v>
      </c>
      <c r="F256" s="17">
        <f t="shared" si="10"/>
        <v>1</v>
      </c>
      <c r="G256" s="22">
        <v>84.225352112676063</v>
      </c>
      <c r="H256" s="13"/>
      <c r="I256" s="81">
        <f t="shared" ca="1" si="11"/>
        <v>42.112676056338032</v>
      </c>
      <c r="J256" s="13"/>
    </row>
    <row r="257" spans="1:10">
      <c r="A257" s="19" t="str">
        <f>'Raw Data'!R220</f>
        <v>Clothing</v>
      </c>
      <c r="B257" s="6" t="str">
        <f>'Raw Data'!S220</f>
        <v>David</v>
      </c>
      <c r="C257" s="20">
        <f>'Raw Data'!U220</f>
        <v>1414</v>
      </c>
      <c r="D257" s="21">
        <f>'Raw Data'!V220</f>
        <v>43024</v>
      </c>
      <c r="E257" s="17">
        <f t="shared" si="9"/>
        <v>16</v>
      </c>
      <c r="F257" s="17">
        <f t="shared" si="10"/>
        <v>1</v>
      </c>
      <c r="G257" s="22">
        <v>87.283950617283935</v>
      </c>
      <c r="H257" s="13"/>
      <c r="I257" s="81">
        <f t="shared" ca="1" si="11"/>
        <v>43.641975308641968</v>
      </c>
      <c r="J257" s="13"/>
    </row>
    <row r="258" spans="1:10">
      <c r="A258" s="19" t="str">
        <f>'Raw Data'!R445</f>
        <v>Games</v>
      </c>
      <c r="B258" s="6" t="str">
        <f>'Raw Data'!S445</f>
        <v>David</v>
      </c>
      <c r="C258" s="20">
        <f>'Raw Data'!U445</f>
        <v>0</v>
      </c>
      <c r="D258" s="21">
        <f>'Raw Data'!V445</f>
        <v>43024</v>
      </c>
      <c r="E258" s="17">
        <f t="shared" si="9"/>
        <v>16</v>
      </c>
      <c r="F258" s="17">
        <f t="shared" si="10"/>
        <v>0</v>
      </c>
      <c r="G258" s="22">
        <v>0</v>
      </c>
      <c r="H258" s="13"/>
      <c r="I258" s="81">
        <f t="shared" ca="1" si="11"/>
        <v>0</v>
      </c>
      <c r="J258" s="13"/>
    </row>
    <row r="259" spans="1:10">
      <c r="A259" s="19" t="str">
        <f>'Raw Data'!R463</f>
        <v>Music</v>
      </c>
      <c r="B259" s="6" t="str">
        <f>'Raw Data'!S463</f>
        <v>David</v>
      </c>
      <c r="C259" s="20">
        <f>'Raw Data'!U463</f>
        <v>1330</v>
      </c>
      <c r="D259" s="21">
        <f>'Raw Data'!V463</f>
        <v>43024</v>
      </c>
      <c r="E259" s="17">
        <f t="shared" si="9"/>
        <v>16</v>
      </c>
      <c r="F259" s="17">
        <f t="shared" si="10"/>
        <v>1</v>
      </c>
      <c r="G259" s="22">
        <v>188.65248226950354</v>
      </c>
      <c r="H259" s="13"/>
      <c r="I259" s="81">
        <f t="shared" ca="1" si="11"/>
        <v>369.44444444444446</v>
      </c>
      <c r="J259" s="13"/>
    </row>
    <row r="260" spans="1:10">
      <c r="A260" s="19" t="str">
        <f>'Raw Data'!R130</f>
        <v>Books</v>
      </c>
      <c r="B260" s="6" t="str">
        <f>'Raw Data'!S130</f>
        <v>Alice</v>
      </c>
      <c r="C260" s="20">
        <f>'Raw Data'!U130</f>
        <v>820</v>
      </c>
      <c r="D260" s="21">
        <f>'Raw Data'!V130</f>
        <v>43025</v>
      </c>
      <c r="E260" s="17">
        <f t="shared" si="9"/>
        <v>17</v>
      </c>
      <c r="F260" s="17">
        <f t="shared" si="10"/>
        <v>1</v>
      </c>
      <c r="G260" s="22">
        <v>160.78431372549019</v>
      </c>
      <c r="H260" s="13"/>
      <c r="I260" s="81">
        <f t="shared" ca="1" si="11"/>
        <v>92.13483146067415</v>
      </c>
      <c r="J260" s="13"/>
    </row>
    <row r="261" spans="1:10">
      <c r="A261" s="19" t="str">
        <f>'Raw Data'!R217</f>
        <v>Games</v>
      </c>
      <c r="B261" s="6" t="str">
        <f>'Raw Data'!S217</f>
        <v>Alice</v>
      </c>
      <c r="C261" s="20">
        <f>'Raw Data'!U217</f>
        <v>892</v>
      </c>
      <c r="D261" s="21">
        <f>'Raw Data'!V217</f>
        <v>43025</v>
      </c>
      <c r="E261" s="17">
        <f t="shared" ref="E261:E324" si="12">DAY(D261)</f>
        <v>17</v>
      </c>
      <c r="F261" s="17">
        <f t="shared" ref="F261:F324" si="13">IF(C261=0,0,1)</f>
        <v>1</v>
      </c>
      <c r="G261" s="22">
        <v>12.303448275862069</v>
      </c>
      <c r="H261" s="13"/>
      <c r="I261" s="81">
        <f t="shared" ref="I261:I324" ca="1" si="14">C261/(INDEX($L$4:$L$7,MATCH(A261,$K$4:$K$7,0))*(1+RANDBETWEEN(-50,50)/100))</f>
        <v>30.758620689655167</v>
      </c>
      <c r="J261" s="13"/>
    </row>
    <row r="262" spans="1:10">
      <c r="A262" s="19" t="str">
        <f>'Raw Data'!R320</f>
        <v>Music</v>
      </c>
      <c r="B262" s="6" t="str">
        <f>'Raw Data'!S320</f>
        <v>Alice</v>
      </c>
      <c r="C262" s="20">
        <f>'Raw Data'!U320</f>
        <v>0</v>
      </c>
      <c r="D262" s="21">
        <f>'Raw Data'!V320</f>
        <v>43025</v>
      </c>
      <c r="E262" s="17">
        <f t="shared" si="12"/>
        <v>17</v>
      </c>
      <c r="F262" s="17">
        <f t="shared" si="13"/>
        <v>0</v>
      </c>
      <c r="G262" s="22">
        <v>0</v>
      </c>
      <c r="H262" s="13"/>
      <c r="I262" s="81">
        <f t="shared" ca="1" si="14"/>
        <v>0</v>
      </c>
      <c r="J262" s="13"/>
    </row>
    <row r="263" spans="1:10">
      <c r="A263" s="19" t="str">
        <f>'Raw Data'!R488</f>
        <v>Clothing</v>
      </c>
      <c r="B263" s="6" t="str">
        <f>'Raw Data'!S488</f>
        <v>Alice</v>
      </c>
      <c r="C263" s="20">
        <f>'Raw Data'!U488</f>
        <v>650</v>
      </c>
      <c r="D263" s="21">
        <f>'Raw Data'!V488</f>
        <v>43025</v>
      </c>
      <c r="E263" s="17">
        <f t="shared" si="12"/>
        <v>17</v>
      </c>
      <c r="F263" s="17">
        <f t="shared" si="13"/>
        <v>1</v>
      </c>
      <c r="G263" s="22">
        <v>16.169154228855721</v>
      </c>
      <c r="H263" s="13"/>
      <c r="I263" s="81">
        <f t="shared" ca="1" si="14"/>
        <v>17.473118279569892</v>
      </c>
      <c r="J263" s="13"/>
    </row>
    <row r="264" spans="1:10">
      <c r="A264" s="19" t="str">
        <f>'Raw Data'!R299</f>
        <v>Clothing</v>
      </c>
      <c r="B264" s="6" t="str">
        <f>'Raw Data'!S299</f>
        <v>Barney</v>
      </c>
      <c r="C264" s="20">
        <f>'Raw Data'!U299</f>
        <v>1740</v>
      </c>
      <c r="D264" s="21">
        <f>'Raw Data'!V299</f>
        <v>43025</v>
      </c>
      <c r="E264" s="17">
        <f t="shared" si="12"/>
        <v>17</v>
      </c>
      <c r="F264" s="17">
        <f t="shared" si="13"/>
        <v>1</v>
      </c>
      <c r="G264" s="22">
        <v>51.785714285714285</v>
      </c>
      <c r="H264" s="13"/>
      <c r="I264" s="81">
        <f t="shared" ca="1" si="14"/>
        <v>62.365591397849464</v>
      </c>
      <c r="J264" s="13"/>
    </row>
    <row r="265" spans="1:10">
      <c r="A265" s="19" t="str">
        <f>'Raw Data'!R330</f>
        <v>Games</v>
      </c>
      <c r="B265" s="6" t="str">
        <f>'Raw Data'!S330</f>
        <v>Barney</v>
      </c>
      <c r="C265" s="20">
        <f>'Raw Data'!U330</f>
        <v>1489</v>
      </c>
      <c r="D265" s="21">
        <f>'Raw Data'!V330</f>
        <v>43025</v>
      </c>
      <c r="E265" s="17">
        <f t="shared" si="12"/>
        <v>17</v>
      </c>
      <c r="F265" s="17">
        <f t="shared" si="13"/>
        <v>1</v>
      </c>
      <c r="G265" s="22">
        <v>40.794520547945204</v>
      </c>
      <c r="H265" s="13"/>
      <c r="I265" s="81">
        <f t="shared" ca="1" si="14"/>
        <v>29.196078431372548</v>
      </c>
      <c r="J265" s="13"/>
    </row>
    <row r="266" spans="1:10">
      <c r="A266" s="19" t="str">
        <f>'Raw Data'!R398</f>
        <v>Music</v>
      </c>
      <c r="B266" s="6" t="str">
        <f>'Raw Data'!S398</f>
        <v>Barney</v>
      </c>
      <c r="C266" s="20">
        <f>'Raw Data'!U398</f>
        <v>1294</v>
      </c>
      <c r="D266" s="21">
        <f>'Raw Data'!V398</f>
        <v>43025</v>
      </c>
      <c r="E266" s="17">
        <f t="shared" si="12"/>
        <v>17</v>
      </c>
      <c r="F266" s="17">
        <f t="shared" si="13"/>
        <v>1</v>
      </c>
      <c r="G266" s="22">
        <v>187.536231884058</v>
      </c>
      <c r="H266" s="13"/>
      <c r="I266" s="81">
        <f t="shared" ca="1" si="14"/>
        <v>215.66666666666666</v>
      </c>
      <c r="J266" s="13"/>
    </row>
    <row r="267" spans="1:10">
      <c r="A267" s="19" t="str">
        <f>'Raw Data'!R435</f>
        <v>Books</v>
      </c>
      <c r="B267" s="6" t="str">
        <f>'Raw Data'!S435</f>
        <v>Barney</v>
      </c>
      <c r="C267" s="20">
        <f>'Raw Data'!U435</f>
        <v>726</v>
      </c>
      <c r="D267" s="21">
        <f>'Raw Data'!V435</f>
        <v>43025</v>
      </c>
      <c r="E267" s="17">
        <f t="shared" si="12"/>
        <v>17</v>
      </c>
      <c r="F267" s="17">
        <f t="shared" si="13"/>
        <v>1</v>
      </c>
      <c r="G267" s="22">
        <v>95.526315789473685</v>
      </c>
      <c r="H267" s="13"/>
      <c r="I267" s="81">
        <f t="shared" ca="1" si="14"/>
        <v>67.850467289719617</v>
      </c>
      <c r="J267" s="13"/>
    </row>
    <row r="268" spans="1:10">
      <c r="A268" s="19" t="str">
        <f>'Raw Data'!R33</f>
        <v>Clothing</v>
      </c>
      <c r="B268" s="6" t="str">
        <f>'Raw Data'!S33</f>
        <v>Carol</v>
      </c>
      <c r="C268" s="20">
        <f>'Raw Data'!U33</f>
        <v>794</v>
      </c>
      <c r="D268" s="21">
        <f>'Raw Data'!V33</f>
        <v>43025</v>
      </c>
      <c r="E268" s="17">
        <f t="shared" si="12"/>
        <v>17</v>
      </c>
      <c r="F268" s="17">
        <f t="shared" si="13"/>
        <v>1</v>
      </c>
      <c r="G268" s="22">
        <v>18.508158508158509</v>
      </c>
      <c r="H268" s="13"/>
      <c r="I268" s="81">
        <f t="shared" ca="1" si="14"/>
        <v>24.735202492211837</v>
      </c>
      <c r="J268" s="13"/>
    </row>
    <row r="269" spans="1:10">
      <c r="A269" s="19" t="str">
        <f>'Raw Data'!R349</f>
        <v>Music</v>
      </c>
      <c r="B269" s="6" t="str">
        <f>'Raw Data'!S349</f>
        <v>Carol</v>
      </c>
      <c r="C269" s="20">
        <f>'Raw Data'!U349</f>
        <v>1223</v>
      </c>
      <c r="D269" s="21">
        <f>'Raw Data'!V349</f>
        <v>43025</v>
      </c>
      <c r="E269" s="17">
        <f t="shared" si="12"/>
        <v>17</v>
      </c>
      <c r="F269" s="17">
        <f t="shared" si="13"/>
        <v>1</v>
      </c>
      <c r="G269" s="22">
        <v>163.06666666666666</v>
      </c>
      <c r="H269" s="13"/>
      <c r="I269" s="81">
        <f t="shared" ca="1" si="14"/>
        <v>194.12698412698413</v>
      </c>
      <c r="J269" s="13"/>
    </row>
    <row r="270" spans="1:10">
      <c r="A270" s="19" t="str">
        <f>'Raw Data'!R390</f>
        <v>Books</v>
      </c>
      <c r="B270" s="6" t="str">
        <f>'Raw Data'!S390</f>
        <v>Carol</v>
      </c>
      <c r="C270" s="20">
        <f>'Raw Data'!U390</f>
        <v>825</v>
      </c>
      <c r="D270" s="21">
        <f>'Raw Data'!V390</f>
        <v>43025</v>
      </c>
      <c r="E270" s="17">
        <f t="shared" si="12"/>
        <v>17</v>
      </c>
      <c r="F270" s="17">
        <f t="shared" si="13"/>
        <v>1</v>
      </c>
      <c r="G270" s="22">
        <v>68.181818181818187</v>
      </c>
      <c r="H270" s="13"/>
      <c r="I270" s="81">
        <f t="shared" ca="1" si="14"/>
        <v>61.111111111111114</v>
      </c>
      <c r="J270" s="13"/>
    </row>
    <row r="271" spans="1:10">
      <c r="A271" s="19" t="str">
        <f>'Raw Data'!R464</f>
        <v>Games</v>
      </c>
      <c r="B271" s="6" t="str">
        <f>'Raw Data'!S464</f>
        <v>Carol</v>
      </c>
      <c r="C271" s="20">
        <f>'Raw Data'!U464</f>
        <v>2487</v>
      </c>
      <c r="D271" s="21">
        <f>'Raw Data'!V464</f>
        <v>43025</v>
      </c>
      <c r="E271" s="17">
        <f t="shared" si="12"/>
        <v>17</v>
      </c>
      <c r="F271" s="17">
        <f t="shared" si="13"/>
        <v>1</v>
      </c>
      <c r="G271" s="22">
        <v>48.291262135922331</v>
      </c>
      <c r="H271" s="13"/>
      <c r="I271" s="81">
        <f t="shared" ca="1" si="14"/>
        <v>44.017699115044252</v>
      </c>
      <c r="J271" s="13"/>
    </row>
    <row r="272" spans="1:10">
      <c r="A272" s="19" t="str">
        <f>'Raw Data'!R24</f>
        <v>Books</v>
      </c>
      <c r="B272" s="6" t="str">
        <f>'Raw Data'!S24</f>
        <v>David</v>
      </c>
      <c r="C272" s="20">
        <f>'Raw Data'!U24</f>
        <v>0</v>
      </c>
      <c r="D272" s="21">
        <f>'Raw Data'!V24</f>
        <v>43025</v>
      </c>
      <c r="E272" s="17">
        <f t="shared" si="12"/>
        <v>17</v>
      </c>
      <c r="F272" s="17">
        <f t="shared" si="13"/>
        <v>0</v>
      </c>
      <c r="G272" s="22">
        <v>0</v>
      </c>
      <c r="H272" s="13"/>
      <c r="I272" s="81">
        <f t="shared" ca="1" si="14"/>
        <v>0</v>
      </c>
      <c r="J272" s="13"/>
    </row>
    <row r="273" spans="1:10">
      <c r="A273" s="19" t="str">
        <f>'Raw Data'!R99</f>
        <v>Games</v>
      </c>
      <c r="B273" s="6" t="str">
        <f>'Raw Data'!S99</f>
        <v>David</v>
      </c>
      <c r="C273" s="20">
        <f>'Raw Data'!U99</f>
        <v>963</v>
      </c>
      <c r="D273" s="21">
        <f>'Raw Data'!V99</f>
        <v>43025</v>
      </c>
      <c r="E273" s="17">
        <f t="shared" si="12"/>
        <v>17</v>
      </c>
      <c r="F273" s="17">
        <f t="shared" si="13"/>
        <v>1</v>
      </c>
      <c r="G273" s="22">
        <v>38.520000000000003</v>
      </c>
      <c r="H273" s="13"/>
      <c r="I273" s="81">
        <f t="shared" ca="1" si="14"/>
        <v>14.058394160583942</v>
      </c>
      <c r="J273" s="13"/>
    </row>
    <row r="274" spans="1:10">
      <c r="A274" s="19" t="str">
        <f>'Raw Data'!R357</f>
        <v>Clothing</v>
      </c>
      <c r="B274" s="6" t="str">
        <f>'Raw Data'!S357</f>
        <v>David</v>
      </c>
      <c r="C274" s="20">
        <f>'Raw Data'!U357</f>
        <v>1475</v>
      </c>
      <c r="D274" s="21">
        <f>'Raw Data'!V357</f>
        <v>43025</v>
      </c>
      <c r="E274" s="17">
        <f t="shared" si="12"/>
        <v>17</v>
      </c>
      <c r="F274" s="17">
        <f t="shared" si="13"/>
        <v>1</v>
      </c>
      <c r="G274" s="22">
        <v>53.442028985507243</v>
      </c>
      <c r="H274" s="13"/>
      <c r="I274" s="81">
        <f t="shared" ca="1" si="14"/>
        <v>52.304964539007095</v>
      </c>
      <c r="J274" s="13"/>
    </row>
    <row r="275" spans="1:10">
      <c r="A275" s="19" t="str">
        <f>'Raw Data'!R388</f>
        <v>Music</v>
      </c>
      <c r="B275" s="6" t="str">
        <f>'Raw Data'!S388</f>
        <v>David</v>
      </c>
      <c r="C275" s="20">
        <f>'Raw Data'!U388</f>
        <v>0</v>
      </c>
      <c r="D275" s="21">
        <f>'Raw Data'!V388</f>
        <v>43025</v>
      </c>
      <c r="E275" s="17">
        <f t="shared" si="12"/>
        <v>17</v>
      </c>
      <c r="F275" s="17">
        <f t="shared" si="13"/>
        <v>0</v>
      </c>
      <c r="G275" s="22">
        <v>0</v>
      </c>
      <c r="H275" s="13"/>
      <c r="I275" s="81">
        <f t="shared" ca="1" si="14"/>
        <v>0</v>
      </c>
      <c r="J275" s="13"/>
    </row>
    <row r="276" spans="1:10">
      <c r="A276" s="19" t="str">
        <f>'Raw Data'!R55</f>
        <v>Clothing</v>
      </c>
      <c r="B276" s="6" t="str">
        <f>'Raw Data'!S55</f>
        <v>Alice</v>
      </c>
      <c r="C276" s="20">
        <f>'Raw Data'!U55</f>
        <v>1757</v>
      </c>
      <c r="D276" s="21">
        <f>'Raw Data'!V55</f>
        <v>43026</v>
      </c>
      <c r="E276" s="17">
        <f t="shared" si="12"/>
        <v>18</v>
      </c>
      <c r="F276" s="17">
        <f t="shared" si="13"/>
        <v>1</v>
      </c>
      <c r="G276" s="22">
        <v>92.962962962962976</v>
      </c>
      <c r="H276" s="13"/>
      <c r="I276" s="81">
        <f t="shared" ca="1" si="14"/>
        <v>62.974910394265237</v>
      </c>
      <c r="J276" s="13"/>
    </row>
    <row r="277" spans="1:10">
      <c r="A277" s="19" t="str">
        <f>'Raw Data'!R312</f>
        <v>Music</v>
      </c>
      <c r="B277" s="6" t="str">
        <f>'Raw Data'!S312</f>
        <v>Alice</v>
      </c>
      <c r="C277" s="20">
        <f>'Raw Data'!U312</f>
        <v>1071</v>
      </c>
      <c r="D277" s="21">
        <f>'Raw Data'!V312</f>
        <v>43026</v>
      </c>
      <c r="E277" s="17">
        <f t="shared" si="12"/>
        <v>18</v>
      </c>
      <c r="F277" s="17">
        <f t="shared" si="13"/>
        <v>1</v>
      </c>
      <c r="G277" s="22">
        <v>214.2</v>
      </c>
      <c r="H277" s="13"/>
      <c r="I277" s="81">
        <f t="shared" ca="1" si="14"/>
        <v>171.36</v>
      </c>
      <c r="J277" s="13"/>
    </row>
    <row r="278" spans="1:10">
      <c r="A278" s="19" t="str">
        <f>'Raw Data'!R418</f>
        <v>Games</v>
      </c>
      <c r="B278" s="6" t="str">
        <f>'Raw Data'!S418</f>
        <v>Alice</v>
      </c>
      <c r="C278" s="20">
        <f>'Raw Data'!U418</f>
        <v>2109</v>
      </c>
      <c r="D278" s="21">
        <f>'Raw Data'!V418</f>
        <v>43026</v>
      </c>
      <c r="E278" s="17">
        <f t="shared" si="12"/>
        <v>18</v>
      </c>
      <c r="F278" s="17">
        <f t="shared" si="13"/>
        <v>1</v>
      </c>
      <c r="G278" s="22">
        <v>60.25714285714286</v>
      </c>
      <c r="H278" s="13"/>
      <c r="I278" s="81">
        <f t="shared" ca="1" si="14"/>
        <v>72.724137931034477</v>
      </c>
      <c r="J278" s="13"/>
    </row>
    <row r="279" spans="1:10">
      <c r="A279" s="19" t="str">
        <f>'Raw Data'!R451</f>
        <v>Books</v>
      </c>
      <c r="B279" s="6" t="str">
        <f>'Raw Data'!S451</f>
        <v>Alice</v>
      </c>
      <c r="C279" s="20">
        <f>'Raw Data'!U451</f>
        <v>523</v>
      </c>
      <c r="D279" s="21">
        <f>'Raw Data'!V451</f>
        <v>43026</v>
      </c>
      <c r="E279" s="17">
        <f t="shared" si="12"/>
        <v>18</v>
      </c>
      <c r="F279" s="17">
        <f t="shared" si="13"/>
        <v>1</v>
      </c>
      <c r="G279" s="22">
        <v>50.776699029126213</v>
      </c>
      <c r="H279" s="13"/>
      <c r="I279" s="81">
        <f t="shared" ca="1" si="14"/>
        <v>41.507936507936506</v>
      </c>
      <c r="J279" s="13"/>
    </row>
    <row r="280" spans="1:10">
      <c r="A280" s="19" t="str">
        <f>'Raw Data'!R48</f>
        <v>Games</v>
      </c>
      <c r="B280" s="6" t="str">
        <f>'Raw Data'!S48</f>
        <v>Barney</v>
      </c>
      <c r="C280" s="20">
        <f>'Raw Data'!U48</f>
        <v>2493</v>
      </c>
      <c r="D280" s="21">
        <f>'Raw Data'!V48</f>
        <v>43026</v>
      </c>
      <c r="E280" s="17">
        <f t="shared" si="12"/>
        <v>18</v>
      </c>
      <c r="F280" s="17">
        <f t="shared" si="13"/>
        <v>1</v>
      </c>
      <c r="G280" s="22">
        <v>35.112676056338032</v>
      </c>
      <c r="H280" s="13"/>
      <c r="I280" s="81">
        <f t="shared" ca="1" si="14"/>
        <v>73.32352941176471</v>
      </c>
      <c r="J280" s="13"/>
    </row>
    <row r="281" spans="1:10">
      <c r="A281" s="19" t="str">
        <f>'Raw Data'!R170</f>
        <v>Clothing</v>
      </c>
      <c r="B281" s="6" t="str">
        <f>'Raw Data'!S170</f>
        <v>Barney</v>
      </c>
      <c r="C281" s="20">
        <f>'Raw Data'!U170</f>
        <v>615</v>
      </c>
      <c r="D281" s="21">
        <f>'Raw Data'!V170</f>
        <v>43026</v>
      </c>
      <c r="E281" s="17">
        <f t="shared" si="12"/>
        <v>18</v>
      </c>
      <c r="F281" s="17">
        <f t="shared" si="13"/>
        <v>1</v>
      </c>
      <c r="G281" s="22">
        <v>28.082191780821919</v>
      </c>
      <c r="H281" s="13"/>
      <c r="I281" s="81">
        <f t="shared" ca="1" si="14"/>
        <v>15.648854961832059</v>
      </c>
      <c r="J281" s="13"/>
    </row>
    <row r="282" spans="1:10">
      <c r="A282" s="19" t="str">
        <f>'Raw Data'!R383</f>
        <v>Books</v>
      </c>
      <c r="B282" s="6" t="str">
        <f>'Raw Data'!S383</f>
        <v>Barney</v>
      </c>
      <c r="C282" s="20">
        <f>'Raw Data'!U383</f>
        <v>669</v>
      </c>
      <c r="D282" s="21">
        <f>'Raw Data'!V383</f>
        <v>43026</v>
      </c>
      <c r="E282" s="17">
        <f t="shared" si="12"/>
        <v>18</v>
      </c>
      <c r="F282" s="17">
        <f t="shared" si="13"/>
        <v>1</v>
      </c>
      <c r="G282" s="22">
        <v>88.026315789473685</v>
      </c>
      <c r="H282" s="13"/>
      <c r="I282" s="81">
        <f t="shared" ca="1" si="14"/>
        <v>90.405405405405403</v>
      </c>
      <c r="J282" s="13"/>
    </row>
    <row r="283" spans="1:10">
      <c r="A283" s="19" t="str">
        <f>'Raw Data'!R430</f>
        <v>Music</v>
      </c>
      <c r="B283" s="6" t="str">
        <f>'Raw Data'!S430</f>
        <v>Barney</v>
      </c>
      <c r="C283" s="20">
        <f>'Raw Data'!U430</f>
        <v>1347</v>
      </c>
      <c r="D283" s="21">
        <f>'Raw Data'!V430</f>
        <v>43026</v>
      </c>
      <c r="E283" s="17">
        <f t="shared" si="12"/>
        <v>18</v>
      </c>
      <c r="F283" s="17">
        <f t="shared" si="13"/>
        <v>1</v>
      </c>
      <c r="G283" s="22">
        <v>191.06382978723406</v>
      </c>
      <c r="H283" s="13"/>
      <c r="I283" s="81">
        <f t="shared" ca="1" si="14"/>
        <v>212.1259842519685</v>
      </c>
      <c r="J283" s="13"/>
    </row>
    <row r="284" spans="1:10">
      <c r="A284" s="19" t="str">
        <f>'Raw Data'!R85</f>
        <v>Music</v>
      </c>
      <c r="B284" s="6" t="str">
        <f>'Raw Data'!S85</f>
        <v>Carol</v>
      </c>
      <c r="C284" s="20">
        <f>'Raw Data'!U85</f>
        <v>1232</v>
      </c>
      <c r="D284" s="21">
        <f>'Raw Data'!V85</f>
        <v>43026</v>
      </c>
      <c r="E284" s="17">
        <f t="shared" si="12"/>
        <v>18</v>
      </c>
      <c r="F284" s="17">
        <f t="shared" si="13"/>
        <v>1</v>
      </c>
      <c r="G284" s="22">
        <v>167.61904761904762</v>
      </c>
      <c r="H284" s="13"/>
      <c r="I284" s="81">
        <f t="shared" ca="1" si="14"/>
        <v>208.81355932203391</v>
      </c>
      <c r="J284" s="13"/>
    </row>
    <row r="285" spans="1:10">
      <c r="A285" s="19" t="str">
        <f>'Raw Data'!R201</f>
        <v>Games</v>
      </c>
      <c r="B285" s="6" t="str">
        <f>'Raw Data'!S201</f>
        <v>Carol</v>
      </c>
      <c r="C285" s="20">
        <f>'Raw Data'!U201</f>
        <v>1616</v>
      </c>
      <c r="D285" s="21">
        <f>'Raw Data'!V201</f>
        <v>43026</v>
      </c>
      <c r="E285" s="17">
        <f t="shared" si="12"/>
        <v>18</v>
      </c>
      <c r="F285" s="17">
        <f t="shared" si="13"/>
        <v>1</v>
      </c>
      <c r="G285" s="22">
        <v>57.714285714285708</v>
      </c>
      <c r="H285" s="13"/>
      <c r="I285" s="81">
        <f t="shared" ca="1" si="14"/>
        <v>32.979591836734691</v>
      </c>
      <c r="J285" s="13"/>
    </row>
    <row r="286" spans="1:10">
      <c r="A286" s="19" t="str">
        <f>'Raw Data'!R297</f>
        <v>Clothing</v>
      </c>
      <c r="B286" s="6" t="str">
        <f>'Raw Data'!S297</f>
        <v>Carol</v>
      </c>
      <c r="C286" s="20">
        <f>'Raw Data'!U297</f>
        <v>905</v>
      </c>
      <c r="D286" s="21">
        <f>'Raw Data'!V297</f>
        <v>43026</v>
      </c>
      <c r="E286" s="17">
        <f t="shared" si="12"/>
        <v>18</v>
      </c>
      <c r="F286" s="17">
        <f t="shared" si="13"/>
        <v>1</v>
      </c>
      <c r="G286" s="22">
        <v>33.150183150183146</v>
      </c>
      <c r="H286" s="13"/>
      <c r="I286" s="81">
        <f t="shared" ca="1" si="14"/>
        <v>24.931129476584022</v>
      </c>
      <c r="J286" s="13"/>
    </row>
    <row r="287" spans="1:10">
      <c r="A287" s="19" t="str">
        <f>'Raw Data'!R443</f>
        <v>Books</v>
      </c>
      <c r="B287" s="6" t="str">
        <f>'Raw Data'!S443</f>
        <v>Carol</v>
      </c>
      <c r="C287" s="20">
        <f>'Raw Data'!U443</f>
        <v>529</v>
      </c>
      <c r="D287" s="21">
        <f>'Raw Data'!V443</f>
        <v>43026</v>
      </c>
      <c r="E287" s="17">
        <f t="shared" si="12"/>
        <v>18</v>
      </c>
      <c r="F287" s="17">
        <f t="shared" si="13"/>
        <v>1</v>
      </c>
      <c r="G287" s="22">
        <v>37.253521126760567</v>
      </c>
      <c r="H287" s="13"/>
      <c r="I287" s="81">
        <f t="shared" ca="1" si="14"/>
        <v>83.968253968253975</v>
      </c>
      <c r="J287" s="13"/>
    </row>
    <row r="288" spans="1:10">
      <c r="A288" s="19" t="str">
        <f>'Raw Data'!R254</f>
        <v>Clothing</v>
      </c>
      <c r="B288" s="6" t="str">
        <f>'Raw Data'!S254</f>
        <v>David</v>
      </c>
      <c r="C288" s="20">
        <f>'Raw Data'!U254</f>
        <v>0</v>
      </c>
      <c r="D288" s="21">
        <f>'Raw Data'!V254</f>
        <v>43026</v>
      </c>
      <c r="E288" s="17">
        <f t="shared" si="12"/>
        <v>18</v>
      </c>
      <c r="F288" s="17">
        <f t="shared" si="13"/>
        <v>0</v>
      </c>
      <c r="G288" s="22">
        <v>0</v>
      </c>
      <c r="H288" s="13"/>
      <c r="I288" s="81">
        <f t="shared" ca="1" si="14"/>
        <v>0</v>
      </c>
      <c r="J288" s="13"/>
    </row>
    <row r="289" spans="1:10">
      <c r="A289" s="19" t="str">
        <f>'Raw Data'!R396</f>
        <v>Books</v>
      </c>
      <c r="B289" s="6" t="str">
        <f>'Raw Data'!S396</f>
        <v>David</v>
      </c>
      <c r="C289" s="20">
        <f>'Raw Data'!U396</f>
        <v>0</v>
      </c>
      <c r="D289" s="21">
        <f>'Raw Data'!V396</f>
        <v>43026</v>
      </c>
      <c r="E289" s="17">
        <f t="shared" si="12"/>
        <v>18</v>
      </c>
      <c r="F289" s="17">
        <f t="shared" si="13"/>
        <v>0</v>
      </c>
      <c r="G289" s="22">
        <v>0</v>
      </c>
      <c r="H289" s="13"/>
      <c r="I289" s="81">
        <f t="shared" ca="1" si="14"/>
        <v>0</v>
      </c>
      <c r="J289" s="13"/>
    </row>
    <row r="290" spans="1:10">
      <c r="A290" s="19" t="str">
        <f>'Raw Data'!R406</f>
        <v>Music</v>
      </c>
      <c r="B290" s="6" t="str">
        <f>'Raw Data'!S406</f>
        <v>David</v>
      </c>
      <c r="C290" s="20">
        <f>'Raw Data'!U406</f>
        <v>0</v>
      </c>
      <c r="D290" s="21">
        <f>'Raw Data'!V406</f>
        <v>43026</v>
      </c>
      <c r="E290" s="17">
        <f t="shared" si="12"/>
        <v>18</v>
      </c>
      <c r="F290" s="17">
        <f t="shared" si="13"/>
        <v>0</v>
      </c>
      <c r="G290" s="22">
        <v>0</v>
      </c>
      <c r="H290" s="13"/>
      <c r="I290" s="81">
        <f t="shared" ca="1" si="14"/>
        <v>0</v>
      </c>
      <c r="J290" s="13"/>
    </row>
    <row r="291" spans="1:10">
      <c r="A291" s="19" t="str">
        <f>'Raw Data'!R454</f>
        <v>Games</v>
      </c>
      <c r="B291" s="6" t="str">
        <f>'Raw Data'!S454</f>
        <v>David</v>
      </c>
      <c r="C291" s="20">
        <f>'Raw Data'!U454</f>
        <v>1893</v>
      </c>
      <c r="D291" s="21">
        <f>'Raw Data'!V454</f>
        <v>43026</v>
      </c>
      <c r="E291" s="17">
        <f t="shared" si="12"/>
        <v>18</v>
      </c>
      <c r="F291" s="17">
        <f t="shared" si="13"/>
        <v>1</v>
      </c>
      <c r="G291" s="22">
        <v>28.681818181818183</v>
      </c>
      <c r="H291" s="13"/>
      <c r="I291" s="81">
        <f t="shared" ca="1" si="14"/>
        <v>38.632653061224488</v>
      </c>
      <c r="J291" s="13"/>
    </row>
    <row r="292" spans="1:10">
      <c r="A292" s="19" t="str">
        <f>'Raw Data'!R269</f>
        <v>Games</v>
      </c>
      <c r="B292" s="6" t="str">
        <f>'Raw Data'!S269</f>
        <v>Alice</v>
      </c>
      <c r="C292" s="20">
        <f>'Raw Data'!U269</f>
        <v>1388</v>
      </c>
      <c r="D292" s="21">
        <f>'Raw Data'!V269</f>
        <v>43027</v>
      </c>
      <c r="E292" s="17">
        <f t="shared" si="12"/>
        <v>19</v>
      </c>
      <c r="F292" s="17">
        <f t="shared" si="13"/>
        <v>1</v>
      </c>
      <c r="G292" s="22">
        <v>22.387096774193548</v>
      </c>
      <c r="H292" s="13"/>
      <c r="I292" s="81">
        <f t="shared" ca="1" si="14"/>
        <v>34.700000000000003</v>
      </c>
      <c r="J292" s="13"/>
    </row>
    <row r="293" spans="1:10">
      <c r="A293" s="19" t="str">
        <f>'Raw Data'!R285</f>
        <v>Music</v>
      </c>
      <c r="B293" s="6" t="str">
        <f>'Raw Data'!S285</f>
        <v>Alice</v>
      </c>
      <c r="C293" s="20">
        <f>'Raw Data'!U285</f>
        <v>0</v>
      </c>
      <c r="D293" s="21">
        <f>'Raw Data'!V285</f>
        <v>43027</v>
      </c>
      <c r="E293" s="17">
        <f t="shared" si="12"/>
        <v>19</v>
      </c>
      <c r="F293" s="17">
        <f t="shared" si="13"/>
        <v>0</v>
      </c>
      <c r="G293" s="22">
        <v>0</v>
      </c>
      <c r="H293" s="13"/>
      <c r="I293" s="81">
        <f t="shared" ca="1" si="14"/>
        <v>0</v>
      </c>
      <c r="J293" s="13"/>
    </row>
    <row r="294" spans="1:10">
      <c r="A294" s="19" t="str">
        <f>'Raw Data'!R353</f>
        <v>Clothing</v>
      </c>
      <c r="B294" s="6" t="str">
        <f>'Raw Data'!S353</f>
        <v>Alice</v>
      </c>
      <c r="C294" s="20">
        <f>'Raw Data'!U353</f>
        <v>877</v>
      </c>
      <c r="D294" s="21">
        <f>'Raw Data'!V353</f>
        <v>43027</v>
      </c>
      <c r="E294" s="17">
        <f t="shared" si="12"/>
        <v>19</v>
      </c>
      <c r="F294" s="17">
        <f t="shared" si="13"/>
        <v>1</v>
      </c>
      <c r="G294" s="22">
        <v>32.481481481481481</v>
      </c>
      <c r="H294" s="13"/>
      <c r="I294" s="81">
        <f t="shared" ca="1" si="14"/>
        <v>31.433691756272403</v>
      </c>
      <c r="J294" s="13"/>
    </row>
    <row r="295" spans="1:10">
      <c r="A295" s="19" t="str">
        <f>'Raw Data'!R405</f>
        <v>Books</v>
      </c>
      <c r="B295" s="6" t="str">
        <f>'Raw Data'!S405</f>
        <v>Alice</v>
      </c>
      <c r="C295" s="20">
        <f>'Raw Data'!U405</f>
        <v>0</v>
      </c>
      <c r="D295" s="21">
        <f>'Raw Data'!V405</f>
        <v>43027</v>
      </c>
      <c r="E295" s="17">
        <f t="shared" si="12"/>
        <v>19</v>
      </c>
      <c r="F295" s="17">
        <f t="shared" si="13"/>
        <v>0</v>
      </c>
      <c r="G295" s="22">
        <v>0</v>
      </c>
      <c r="H295" s="13"/>
      <c r="I295" s="81">
        <f t="shared" ca="1" si="14"/>
        <v>0</v>
      </c>
      <c r="J295" s="13"/>
    </row>
    <row r="296" spans="1:10">
      <c r="A296" s="19" t="str">
        <f>'Raw Data'!R301</f>
        <v>Clothing</v>
      </c>
      <c r="B296" s="6" t="str">
        <f>'Raw Data'!S301</f>
        <v>Barney</v>
      </c>
      <c r="C296" s="20">
        <f>'Raw Data'!U301</f>
        <v>0</v>
      </c>
      <c r="D296" s="21">
        <f>'Raw Data'!V301</f>
        <v>43027</v>
      </c>
      <c r="E296" s="17">
        <f t="shared" si="12"/>
        <v>19</v>
      </c>
      <c r="F296" s="17">
        <f t="shared" si="13"/>
        <v>0</v>
      </c>
      <c r="G296" s="22">
        <v>0</v>
      </c>
      <c r="H296" s="13"/>
      <c r="I296" s="81">
        <f t="shared" ca="1" si="14"/>
        <v>0</v>
      </c>
      <c r="J296" s="13"/>
    </row>
    <row r="297" spans="1:10">
      <c r="A297" s="19" t="str">
        <f>'Raw Data'!R303</f>
        <v>Books</v>
      </c>
      <c r="B297" s="6" t="str">
        <f>'Raw Data'!S303</f>
        <v>Barney</v>
      </c>
      <c r="C297" s="20">
        <f>'Raw Data'!U303</f>
        <v>604</v>
      </c>
      <c r="D297" s="21">
        <f>'Raw Data'!V303</f>
        <v>43027</v>
      </c>
      <c r="E297" s="17">
        <f t="shared" si="12"/>
        <v>19</v>
      </c>
      <c r="F297" s="17">
        <f t="shared" si="13"/>
        <v>1</v>
      </c>
      <c r="G297" s="22">
        <v>49.917355371900825</v>
      </c>
      <c r="H297" s="13"/>
      <c r="I297" s="81">
        <f t="shared" ca="1" si="14"/>
        <v>70.232558139534888</v>
      </c>
      <c r="J297" s="13"/>
    </row>
    <row r="298" spans="1:10">
      <c r="A298" s="19" t="str">
        <f>'Raw Data'!R318</f>
        <v>Music</v>
      </c>
      <c r="B298" s="6" t="str">
        <f>'Raw Data'!S318</f>
        <v>Barney</v>
      </c>
      <c r="C298" s="20">
        <f>'Raw Data'!U318</f>
        <v>1500</v>
      </c>
      <c r="D298" s="21">
        <f>'Raw Data'!V318</f>
        <v>43027</v>
      </c>
      <c r="E298" s="17">
        <f t="shared" si="12"/>
        <v>19</v>
      </c>
      <c r="F298" s="17">
        <f t="shared" si="13"/>
        <v>1</v>
      </c>
      <c r="G298" s="22">
        <v>204.08163265306123</v>
      </c>
      <c r="H298" s="13"/>
      <c r="I298" s="81">
        <f t="shared" ca="1" si="14"/>
        <v>326.08695652173907</v>
      </c>
      <c r="J298" s="13"/>
    </row>
    <row r="299" spans="1:10">
      <c r="A299" s="19" t="str">
        <f>'Raw Data'!R361</f>
        <v>Games</v>
      </c>
      <c r="B299" s="6" t="str">
        <f>'Raw Data'!S361</f>
        <v>Barney</v>
      </c>
      <c r="C299" s="20">
        <f>'Raw Data'!U361</f>
        <v>0</v>
      </c>
      <c r="D299" s="21">
        <f>'Raw Data'!V361</f>
        <v>43027</v>
      </c>
      <c r="E299" s="17">
        <f t="shared" si="12"/>
        <v>19</v>
      </c>
      <c r="F299" s="17">
        <f t="shared" si="13"/>
        <v>0</v>
      </c>
      <c r="G299" s="22">
        <v>0</v>
      </c>
      <c r="H299" s="13"/>
      <c r="I299" s="81">
        <f t="shared" ca="1" si="14"/>
        <v>0</v>
      </c>
      <c r="J299" s="13"/>
    </row>
    <row r="300" spans="1:10">
      <c r="A300" s="19" t="str">
        <f>'Raw Data'!R70</f>
        <v>Books</v>
      </c>
      <c r="B300" s="6" t="str">
        <f>'Raw Data'!S70</f>
        <v>Carol</v>
      </c>
      <c r="C300" s="20">
        <f>'Raw Data'!U70</f>
        <v>0</v>
      </c>
      <c r="D300" s="21">
        <f>'Raw Data'!V70</f>
        <v>43027</v>
      </c>
      <c r="E300" s="17">
        <f t="shared" si="12"/>
        <v>19</v>
      </c>
      <c r="F300" s="17">
        <f t="shared" si="13"/>
        <v>0</v>
      </c>
      <c r="G300" s="22">
        <v>0</v>
      </c>
      <c r="H300" s="13"/>
      <c r="I300" s="81">
        <f t="shared" ca="1" si="14"/>
        <v>0</v>
      </c>
      <c r="J300" s="13"/>
    </row>
    <row r="301" spans="1:10">
      <c r="A301" s="19" t="str">
        <f>'Raw Data'!R163</f>
        <v>Clothing</v>
      </c>
      <c r="B301" s="6" t="str">
        <f>'Raw Data'!S163</f>
        <v>Carol</v>
      </c>
      <c r="C301" s="20">
        <f>'Raw Data'!U163</f>
        <v>0</v>
      </c>
      <c r="D301" s="21">
        <f>'Raw Data'!V163</f>
        <v>43027</v>
      </c>
      <c r="E301" s="17">
        <f t="shared" si="12"/>
        <v>19</v>
      </c>
      <c r="F301" s="17">
        <f t="shared" si="13"/>
        <v>0</v>
      </c>
      <c r="G301" s="22">
        <v>0</v>
      </c>
      <c r="H301" s="13"/>
      <c r="I301" s="81">
        <f t="shared" ca="1" si="14"/>
        <v>0</v>
      </c>
      <c r="J301" s="13"/>
    </row>
    <row r="302" spans="1:10">
      <c r="A302" s="19" t="str">
        <f>'Raw Data'!R219</f>
        <v>Games</v>
      </c>
      <c r="B302" s="6" t="str">
        <f>'Raw Data'!S219</f>
        <v>Carol</v>
      </c>
      <c r="C302" s="20">
        <f>'Raw Data'!U219</f>
        <v>1289</v>
      </c>
      <c r="D302" s="21">
        <f>'Raw Data'!V219</f>
        <v>43027</v>
      </c>
      <c r="E302" s="17">
        <f t="shared" si="12"/>
        <v>19</v>
      </c>
      <c r="F302" s="17">
        <f t="shared" si="13"/>
        <v>1</v>
      </c>
      <c r="G302" s="22">
        <v>20.299212598425196</v>
      </c>
      <c r="H302" s="13"/>
      <c r="I302" s="81">
        <f t="shared" ca="1" si="14"/>
        <v>43.69491525423728</v>
      </c>
      <c r="J302" s="13"/>
    </row>
    <row r="303" spans="1:10">
      <c r="A303" s="19" t="str">
        <f>'Raw Data'!R325</f>
        <v>Music</v>
      </c>
      <c r="B303" s="6" t="str">
        <f>'Raw Data'!S325</f>
        <v>Carol</v>
      </c>
      <c r="C303" s="20">
        <f>'Raw Data'!U325</f>
        <v>0</v>
      </c>
      <c r="D303" s="21">
        <f>'Raw Data'!V325</f>
        <v>43027</v>
      </c>
      <c r="E303" s="17">
        <f t="shared" si="12"/>
        <v>19</v>
      </c>
      <c r="F303" s="17">
        <f t="shared" si="13"/>
        <v>0</v>
      </c>
      <c r="G303" s="22">
        <v>0</v>
      </c>
      <c r="H303" s="13"/>
      <c r="I303" s="81">
        <f t="shared" ca="1" si="14"/>
        <v>0</v>
      </c>
      <c r="J303" s="13"/>
    </row>
    <row r="304" spans="1:10">
      <c r="A304" s="19" t="str">
        <f>'Raw Data'!R65</f>
        <v>Books</v>
      </c>
      <c r="B304" s="6" t="str">
        <f>'Raw Data'!S65</f>
        <v>David</v>
      </c>
      <c r="C304" s="20">
        <f>'Raw Data'!U65</f>
        <v>564</v>
      </c>
      <c r="D304" s="21">
        <f>'Raw Data'!V65</f>
        <v>43027</v>
      </c>
      <c r="E304" s="17">
        <f t="shared" si="12"/>
        <v>19</v>
      </c>
      <c r="F304" s="17">
        <f t="shared" si="13"/>
        <v>1</v>
      </c>
      <c r="G304" s="22">
        <v>74.21052631578948</v>
      </c>
      <c r="H304" s="13"/>
      <c r="I304" s="81">
        <f t="shared" ca="1" si="14"/>
        <v>61.978021978021978</v>
      </c>
      <c r="J304" s="13"/>
    </row>
    <row r="305" spans="1:10">
      <c r="A305" s="19" t="str">
        <f>'Raw Data'!R193</f>
        <v>Games</v>
      </c>
      <c r="B305" s="6" t="str">
        <f>'Raw Data'!S193</f>
        <v>David</v>
      </c>
      <c r="C305" s="20">
        <f>'Raw Data'!U193</f>
        <v>0</v>
      </c>
      <c r="D305" s="21">
        <f>'Raw Data'!V193</f>
        <v>43027</v>
      </c>
      <c r="E305" s="17">
        <f t="shared" si="12"/>
        <v>19</v>
      </c>
      <c r="F305" s="17">
        <f t="shared" si="13"/>
        <v>0</v>
      </c>
      <c r="G305" s="22">
        <v>0</v>
      </c>
      <c r="H305" s="13"/>
      <c r="I305" s="81">
        <f t="shared" ca="1" si="14"/>
        <v>0</v>
      </c>
      <c r="J305" s="13"/>
    </row>
    <row r="306" spans="1:10">
      <c r="A306" s="19" t="str">
        <f>'Raw Data'!R402</f>
        <v>Clothing</v>
      </c>
      <c r="B306" s="6" t="str">
        <f>'Raw Data'!S402</f>
        <v>David</v>
      </c>
      <c r="C306" s="20">
        <f>'Raw Data'!U402</f>
        <v>0</v>
      </c>
      <c r="D306" s="21">
        <f>'Raw Data'!V402</f>
        <v>43027</v>
      </c>
      <c r="E306" s="17">
        <f t="shared" si="12"/>
        <v>19</v>
      </c>
      <c r="F306" s="17">
        <f t="shared" si="13"/>
        <v>0</v>
      </c>
      <c r="G306" s="22">
        <v>0</v>
      </c>
      <c r="H306" s="13"/>
      <c r="I306" s="81">
        <f t="shared" ca="1" si="14"/>
        <v>0</v>
      </c>
      <c r="J306" s="13"/>
    </row>
    <row r="307" spans="1:10">
      <c r="A307" s="19" t="str">
        <f>'Raw Data'!R477</f>
        <v>Music</v>
      </c>
      <c r="B307" s="6" t="str">
        <f>'Raw Data'!S477</f>
        <v>David</v>
      </c>
      <c r="C307" s="20">
        <f>'Raw Data'!U477</f>
        <v>0</v>
      </c>
      <c r="D307" s="21">
        <f>'Raw Data'!V477</f>
        <v>43027</v>
      </c>
      <c r="E307" s="17">
        <f t="shared" si="12"/>
        <v>19</v>
      </c>
      <c r="F307" s="17">
        <f t="shared" si="13"/>
        <v>0</v>
      </c>
      <c r="G307" s="22">
        <v>0</v>
      </c>
      <c r="H307" s="13"/>
      <c r="I307" s="81">
        <f t="shared" ca="1" si="14"/>
        <v>0</v>
      </c>
      <c r="J307" s="13"/>
    </row>
    <row r="308" spans="1:10">
      <c r="A308" s="19" t="str">
        <f>'Raw Data'!R38</f>
        <v>Music</v>
      </c>
      <c r="B308" s="6" t="str">
        <f>'Raw Data'!S38</f>
        <v>Alice</v>
      </c>
      <c r="C308" s="20">
        <f>'Raw Data'!U38</f>
        <v>0</v>
      </c>
      <c r="D308" s="21">
        <f>'Raw Data'!V38</f>
        <v>43028</v>
      </c>
      <c r="E308" s="17">
        <f t="shared" si="12"/>
        <v>20</v>
      </c>
      <c r="F308" s="17">
        <f t="shared" si="13"/>
        <v>0</v>
      </c>
      <c r="G308" s="22">
        <v>0</v>
      </c>
      <c r="H308" s="13"/>
      <c r="I308" s="81">
        <f t="shared" ca="1" si="14"/>
        <v>0</v>
      </c>
      <c r="J308" s="13"/>
    </row>
    <row r="309" spans="1:10">
      <c r="A309" s="19" t="str">
        <f>'Raw Data'!R289</f>
        <v>Games</v>
      </c>
      <c r="B309" s="6" t="str">
        <f>'Raw Data'!S289</f>
        <v>Alice</v>
      </c>
      <c r="C309" s="20">
        <f>'Raw Data'!U289</f>
        <v>2087</v>
      </c>
      <c r="D309" s="21">
        <f>'Raw Data'!V289</f>
        <v>43028</v>
      </c>
      <c r="E309" s="17">
        <f t="shared" si="12"/>
        <v>20</v>
      </c>
      <c r="F309" s="17">
        <f t="shared" si="13"/>
        <v>1</v>
      </c>
      <c r="G309" s="22">
        <v>61.382352941176471</v>
      </c>
      <c r="H309" s="13"/>
      <c r="I309" s="81">
        <f t="shared" ca="1" si="14"/>
        <v>42.591836734693878</v>
      </c>
      <c r="J309" s="13"/>
    </row>
    <row r="310" spans="1:10">
      <c r="A310" s="19" t="str">
        <f>'Raw Data'!R311</f>
        <v>Books</v>
      </c>
      <c r="B310" s="6" t="str">
        <f>'Raw Data'!S311</f>
        <v>Alice</v>
      </c>
      <c r="C310" s="20">
        <f>'Raw Data'!U311</f>
        <v>940</v>
      </c>
      <c r="D310" s="21">
        <f>'Raw Data'!V311</f>
        <v>43028</v>
      </c>
      <c r="E310" s="17">
        <f t="shared" si="12"/>
        <v>20</v>
      </c>
      <c r="F310" s="17">
        <f t="shared" si="13"/>
        <v>1</v>
      </c>
      <c r="G310" s="22">
        <v>67.142857142857139</v>
      </c>
      <c r="H310" s="13"/>
      <c r="I310" s="81">
        <f t="shared" ca="1" si="14"/>
        <v>64.827586206896555</v>
      </c>
      <c r="J310" s="13"/>
    </row>
    <row r="311" spans="1:10">
      <c r="A311" s="19" t="str">
        <f>'Raw Data'!R444</f>
        <v>Clothing</v>
      </c>
      <c r="B311" s="6" t="str">
        <f>'Raw Data'!S444</f>
        <v>Alice</v>
      </c>
      <c r="C311" s="20">
        <f>'Raw Data'!U444</f>
        <v>688</v>
      </c>
      <c r="D311" s="21">
        <f>'Raw Data'!V444</f>
        <v>43028</v>
      </c>
      <c r="E311" s="17">
        <f t="shared" si="12"/>
        <v>20</v>
      </c>
      <c r="F311" s="17">
        <f t="shared" si="13"/>
        <v>1</v>
      </c>
      <c r="G311" s="22">
        <v>19.435028248587571</v>
      </c>
      <c r="H311" s="13"/>
      <c r="I311" s="81">
        <f t="shared" ca="1" si="14"/>
        <v>24.927536231884055</v>
      </c>
      <c r="J311" s="13"/>
    </row>
    <row r="312" spans="1:10">
      <c r="A312" s="19" t="str">
        <f>'Raw Data'!R66</f>
        <v>Clothing</v>
      </c>
      <c r="B312" s="6" t="str">
        <f>'Raw Data'!S66</f>
        <v>Barney</v>
      </c>
      <c r="C312" s="20">
        <f>'Raw Data'!U66</f>
        <v>1875</v>
      </c>
      <c r="D312" s="21">
        <f>'Raw Data'!V66</f>
        <v>43028</v>
      </c>
      <c r="E312" s="17">
        <f t="shared" si="12"/>
        <v>20</v>
      </c>
      <c r="F312" s="17">
        <f t="shared" si="13"/>
        <v>1</v>
      </c>
      <c r="G312" s="22">
        <v>79.113924050632903</v>
      </c>
      <c r="H312" s="13"/>
      <c r="I312" s="81">
        <f t="shared" ca="1" si="14"/>
        <v>56.81818181818182</v>
      </c>
      <c r="J312" s="13"/>
    </row>
    <row r="313" spans="1:10">
      <c r="A313" s="19" t="str">
        <f>'Raw Data'!R72</f>
        <v>Music</v>
      </c>
      <c r="B313" s="6" t="str">
        <f>'Raw Data'!S72</f>
        <v>Barney</v>
      </c>
      <c r="C313" s="20">
        <f>'Raw Data'!U72</f>
        <v>0</v>
      </c>
      <c r="D313" s="21">
        <f>'Raw Data'!V72</f>
        <v>43028</v>
      </c>
      <c r="E313" s="17">
        <f t="shared" si="12"/>
        <v>20</v>
      </c>
      <c r="F313" s="17">
        <f t="shared" si="13"/>
        <v>0</v>
      </c>
      <c r="G313" s="22">
        <v>0</v>
      </c>
      <c r="H313" s="13"/>
      <c r="I313" s="81">
        <f t="shared" ca="1" si="14"/>
        <v>0</v>
      </c>
      <c r="J313" s="13"/>
    </row>
    <row r="314" spans="1:10">
      <c r="A314" s="19" t="str">
        <f>'Raw Data'!R486</f>
        <v>Games</v>
      </c>
      <c r="B314" s="6" t="str">
        <f>'Raw Data'!S486</f>
        <v>Barney</v>
      </c>
      <c r="C314" s="20">
        <f>'Raw Data'!U486</f>
        <v>2380</v>
      </c>
      <c r="D314" s="21">
        <f>'Raw Data'!V486</f>
        <v>43028</v>
      </c>
      <c r="E314" s="17">
        <f t="shared" si="12"/>
        <v>20</v>
      </c>
      <c r="F314" s="17">
        <f t="shared" si="13"/>
        <v>1</v>
      </c>
      <c r="G314" s="22">
        <v>58.76543209876543</v>
      </c>
      <c r="H314" s="13"/>
      <c r="I314" s="81">
        <f t="shared" ca="1" si="14"/>
        <v>36.060606060606062</v>
      </c>
      <c r="J314" s="13"/>
    </row>
    <row r="315" spans="1:10">
      <c r="A315" s="19" t="str">
        <f>'Raw Data'!R497</f>
        <v>Books</v>
      </c>
      <c r="B315" s="6" t="str">
        <f>'Raw Data'!S497</f>
        <v>Barney</v>
      </c>
      <c r="C315" s="20">
        <f>'Raw Data'!U497</f>
        <v>0</v>
      </c>
      <c r="D315" s="21">
        <f>'Raw Data'!V497</f>
        <v>43028</v>
      </c>
      <c r="E315" s="17">
        <f t="shared" si="12"/>
        <v>20</v>
      </c>
      <c r="F315" s="17">
        <f t="shared" si="13"/>
        <v>0</v>
      </c>
      <c r="G315" s="22">
        <v>0</v>
      </c>
      <c r="H315" s="13"/>
      <c r="I315" s="81">
        <f t="shared" ca="1" si="14"/>
        <v>0</v>
      </c>
      <c r="J315" s="13"/>
    </row>
    <row r="316" spans="1:10">
      <c r="A316" s="19" t="str">
        <f>'Raw Data'!R58</f>
        <v>Games</v>
      </c>
      <c r="B316" s="6" t="str">
        <f>'Raw Data'!S58</f>
        <v>Carol</v>
      </c>
      <c r="C316" s="20">
        <f>'Raw Data'!U58</f>
        <v>1107</v>
      </c>
      <c r="D316" s="21">
        <f>'Raw Data'!V58</f>
        <v>43028</v>
      </c>
      <c r="E316" s="17">
        <f t="shared" si="12"/>
        <v>20</v>
      </c>
      <c r="F316" s="17">
        <f t="shared" si="13"/>
        <v>1</v>
      </c>
      <c r="G316" s="22">
        <v>21.28846153846154</v>
      </c>
      <c r="H316" s="13"/>
      <c r="I316" s="81">
        <f t="shared" ca="1" si="14"/>
        <v>22.591836734693878</v>
      </c>
      <c r="J316" s="13"/>
    </row>
    <row r="317" spans="1:10">
      <c r="A317" s="19" t="str">
        <f>'Raw Data'!R308</f>
        <v>Books</v>
      </c>
      <c r="B317" s="6" t="str">
        <f>'Raw Data'!S308</f>
        <v>Carol</v>
      </c>
      <c r="C317" s="20">
        <f>'Raw Data'!U308</f>
        <v>713</v>
      </c>
      <c r="D317" s="21">
        <f>'Raw Data'!V308</f>
        <v>43028</v>
      </c>
      <c r="E317" s="17">
        <f t="shared" si="12"/>
        <v>20</v>
      </c>
      <c r="F317" s="17">
        <f t="shared" si="13"/>
        <v>1</v>
      </c>
      <c r="G317" s="22">
        <v>52.426470588235304</v>
      </c>
      <c r="H317" s="13"/>
      <c r="I317" s="81">
        <f t="shared" ca="1" si="14"/>
        <v>134.52830188679243</v>
      </c>
      <c r="J317" s="13"/>
    </row>
    <row r="318" spans="1:10">
      <c r="A318" s="19" t="str">
        <f>'Raw Data'!R351</f>
        <v>Clothing</v>
      </c>
      <c r="B318" s="6" t="str">
        <f>'Raw Data'!S351</f>
        <v>Carol</v>
      </c>
      <c r="C318" s="20">
        <f>'Raw Data'!U351</f>
        <v>0</v>
      </c>
      <c r="D318" s="21">
        <f>'Raw Data'!V351</f>
        <v>43028</v>
      </c>
      <c r="E318" s="17">
        <f t="shared" si="12"/>
        <v>20</v>
      </c>
      <c r="F318" s="17">
        <f t="shared" si="13"/>
        <v>0</v>
      </c>
      <c r="G318" s="22">
        <v>0</v>
      </c>
      <c r="H318" s="13"/>
      <c r="I318" s="81">
        <f t="shared" ca="1" si="14"/>
        <v>0</v>
      </c>
      <c r="J318" s="13"/>
    </row>
    <row r="319" spans="1:10">
      <c r="A319" s="19" t="str">
        <f>'Raw Data'!R491</f>
        <v>Music</v>
      </c>
      <c r="B319" s="6" t="str">
        <f>'Raw Data'!S491</f>
        <v>Carol</v>
      </c>
      <c r="C319" s="20">
        <f>'Raw Data'!U491</f>
        <v>0</v>
      </c>
      <c r="D319" s="21">
        <f>'Raw Data'!V491</f>
        <v>43028</v>
      </c>
      <c r="E319" s="17">
        <f t="shared" si="12"/>
        <v>20</v>
      </c>
      <c r="F319" s="17">
        <f t="shared" si="13"/>
        <v>0</v>
      </c>
      <c r="G319" s="22">
        <v>0</v>
      </c>
      <c r="H319" s="13"/>
      <c r="I319" s="81">
        <f t="shared" ca="1" si="14"/>
        <v>0</v>
      </c>
      <c r="J319" s="13"/>
    </row>
    <row r="320" spans="1:10">
      <c r="A320" s="19" t="str">
        <f>'Raw Data'!R4</f>
        <v>Music</v>
      </c>
      <c r="B320" s="6" t="str">
        <f>'Raw Data'!S4</f>
        <v>David</v>
      </c>
      <c r="C320" s="20">
        <f>'Raw Data'!U4</f>
        <v>1054</v>
      </c>
      <c r="D320" s="21">
        <f>'Raw Data'!V4</f>
        <v>43028</v>
      </c>
      <c r="E320" s="17">
        <f t="shared" si="12"/>
        <v>20</v>
      </c>
      <c r="F320" s="17">
        <f t="shared" si="13"/>
        <v>1</v>
      </c>
      <c r="G320" s="22">
        <v>234.22222222222223</v>
      </c>
      <c r="H320" s="13"/>
      <c r="I320" s="81">
        <f t="shared" ca="1" si="14"/>
        <v>177.14285714285717</v>
      </c>
      <c r="J320" s="13"/>
    </row>
    <row r="321" spans="1:10">
      <c r="A321" s="19" t="str">
        <f>'Raw Data'!R110</f>
        <v>Books</v>
      </c>
      <c r="B321" s="6" t="str">
        <f>'Raw Data'!S110</f>
        <v>David</v>
      </c>
      <c r="C321" s="20">
        <f>'Raw Data'!U110</f>
        <v>825</v>
      </c>
      <c r="D321" s="21">
        <f>'Raw Data'!V110</f>
        <v>43028</v>
      </c>
      <c r="E321" s="17">
        <f t="shared" si="12"/>
        <v>20</v>
      </c>
      <c r="F321" s="17">
        <f t="shared" si="13"/>
        <v>1</v>
      </c>
      <c r="G321" s="22">
        <v>77.830188679245268</v>
      </c>
      <c r="H321" s="13"/>
      <c r="I321" s="81">
        <f t="shared" ca="1" si="14"/>
        <v>59.352517985611499</v>
      </c>
      <c r="J321" s="13"/>
    </row>
    <row r="322" spans="1:10">
      <c r="A322" s="19" t="str">
        <f>'Raw Data'!R137</f>
        <v>Games</v>
      </c>
      <c r="B322" s="6" t="str">
        <f>'Raw Data'!S137</f>
        <v>David</v>
      </c>
      <c r="C322" s="20">
        <f>'Raw Data'!U137</f>
        <v>869</v>
      </c>
      <c r="D322" s="21">
        <f>'Raw Data'!V137</f>
        <v>43028</v>
      </c>
      <c r="E322" s="17">
        <f t="shared" si="12"/>
        <v>20</v>
      </c>
      <c r="F322" s="17">
        <f t="shared" si="13"/>
        <v>1</v>
      </c>
      <c r="G322" s="22">
        <v>12.069444444444445</v>
      </c>
      <c r="H322" s="13"/>
      <c r="I322" s="81">
        <f t="shared" ca="1" si="14"/>
        <v>12.779411764705882</v>
      </c>
      <c r="J322" s="13"/>
    </row>
    <row r="323" spans="1:10">
      <c r="A323" s="19" t="str">
        <f>'Raw Data'!R197</f>
        <v>Clothing</v>
      </c>
      <c r="B323" s="6" t="str">
        <f>'Raw Data'!S197</f>
        <v>David</v>
      </c>
      <c r="C323" s="20">
        <f>'Raw Data'!U197</f>
        <v>1172</v>
      </c>
      <c r="D323" s="21">
        <f>'Raw Data'!V197</f>
        <v>43028</v>
      </c>
      <c r="E323" s="17">
        <f t="shared" si="12"/>
        <v>20</v>
      </c>
      <c r="F323" s="17">
        <f t="shared" si="13"/>
        <v>1</v>
      </c>
      <c r="G323" s="22">
        <v>48.230452674897116</v>
      </c>
      <c r="H323" s="13"/>
      <c r="I323" s="81">
        <f t="shared" ca="1" si="14"/>
        <v>46.507936507936506</v>
      </c>
      <c r="J323" s="13"/>
    </row>
    <row r="324" spans="1:10">
      <c r="A324" s="19" t="str">
        <f>'Raw Data'!R17</f>
        <v>Games</v>
      </c>
      <c r="B324" s="6" t="str">
        <f>'Raw Data'!S17</f>
        <v>Alice</v>
      </c>
      <c r="C324" s="20">
        <f>'Raw Data'!U17</f>
        <v>0</v>
      </c>
      <c r="D324" s="21">
        <f>'Raw Data'!V17</f>
        <v>43029</v>
      </c>
      <c r="E324" s="17">
        <f t="shared" si="12"/>
        <v>21</v>
      </c>
      <c r="F324" s="17">
        <f t="shared" si="13"/>
        <v>0</v>
      </c>
      <c r="G324" s="22">
        <v>0</v>
      </c>
      <c r="H324" s="13"/>
      <c r="I324" s="81">
        <f t="shared" ca="1" si="14"/>
        <v>0</v>
      </c>
      <c r="J324" s="13"/>
    </row>
    <row r="325" spans="1:10">
      <c r="A325" s="19" t="str">
        <f>'Raw Data'!R215</f>
        <v>Music</v>
      </c>
      <c r="B325" s="6" t="str">
        <f>'Raw Data'!S215</f>
        <v>Alice</v>
      </c>
      <c r="C325" s="20">
        <f>'Raw Data'!U215</f>
        <v>1342</v>
      </c>
      <c r="D325" s="21">
        <f>'Raw Data'!V215</f>
        <v>43029</v>
      </c>
      <c r="E325" s="17">
        <f t="shared" ref="E325:E388" si="15">DAY(D325)</f>
        <v>21</v>
      </c>
      <c r="F325" s="17">
        <f t="shared" ref="F325:F388" si="16">IF(C325=0,0,1)</f>
        <v>1</v>
      </c>
      <c r="G325" s="22">
        <v>183.83561643835617</v>
      </c>
      <c r="H325" s="13"/>
      <c r="I325" s="81">
        <f t="shared" ref="I325:I388" ca="1" si="17">C325/(INDEX($L$4:$L$7,MATCH(A325,$K$4:$K$7,0))*(1+RANDBETWEEN(-50,50)/100))</f>
        <v>276.70103092783506</v>
      </c>
      <c r="J325" s="13"/>
    </row>
    <row r="326" spans="1:10">
      <c r="A326" s="19" t="str">
        <f>'Raw Data'!R233</f>
        <v>Books</v>
      </c>
      <c r="B326" s="6" t="str">
        <f>'Raw Data'!S233</f>
        <v>Alice</v>
      </c>
      <c r="C326" s="20">
        <f>'Raw Data'!U233</f>
        <v>875</v>
      </c>
      <c r="D326" s="21">
        <f>'Raw Data'!V233</f>
        <v>43029</v>
      </c>
      <c r="E326" s="17">
        <f t="shared" si="15"/>
        <v>21</v>
      </c>
      <c r="F326" s="17">
        <f t="shared" si="16"/>
        <v>1</v>
      </c>
      <c r="G326" s="22">
        <v>73.529411764705898</v>
      </c>
      <c r="H326" s="13"/>
      <c r="I326" s="81">
        <f t="shared" ca="1" si="17"/>
        <v>59.121621621621621</v>
      </c>
      <c r="J326" s="13"/>
    </row>
    <row r="327" spans="1:10">
      <c r="A327" s="19" t="str">
        <f>'Raw Data'!R298</f>
        <v>Clothing</v>
      </c>
      <c r="B327" s="6" t="str">
        <f>'Raw Data'!S298</f>
        <v>Alice</v>
      </c>
      <c r="C327" s="20">
        <f>'Raw Data'!U298</f>
        <v>834</v>
      </c>
      <c r="D327" s="21">
        <f>'Raw Data'!V298</f>
        <v>43029</v>
      </c>
      <c r="E327" s="17">
        <f t="shared" si="15"/>
        <v>21</v>
      </c>
      <c r="F327" s="17">
        <f t="shared" si="16"/>
        <v>1</v>
      </c>
      <c r="G327" s="22">
        <v>51.481481481481474</v>
      </c>
      <c r="H327" s="13"/>
      <c r="I327" s="81">
        <f t="shared" ca="1" si="17"/>
        <v>44.838709677419352</v>
      </c>
      <c r="J327" s="13"/>
    </row>
    <row r="328" spans="1:10">
      <c r="A328" s="19" t="str">
        <f>'Raw Data'!R244</f>
        <v>Games</v>
      </c>
      <c r="B328" s="6" t="str">
        <f>'Raw Data'!S244</f>
        <v>Barney</v>
      </c>
      <c r="C328" s="20">
        <f>'Raw Data'!U244</f>
        <v>0</v>
      </c>
      <c r="D328" s="21">
        <f>'Raw Data'!V244</f>
        <v>43029</v>
      </c>
      <c r="E328" s="17">
        <f t="shared" si="15"/>
        <v>21</v>
      </c>
      <c r="F328" s="17">
        <f t="shared" si="16"/>
        <v>0</v>
      </c>
      <c r="G328" s="22">
        <v>0</v>
      </c>
      <c r="H328" s="13"/>
      <c r="I328" s="81">
        <f t="shared" ca="1" si="17"/>
        <v>0</v>
      </c>
      <c r="J328" s="13"/>
    </row>
    <row r="329" spans="1:10">
      <c r="A329" s="19" t="str">
        <f>'Raw Data'!R257</f>
        <v>Music</v>
      </c>
      <c r="B329" s="6" t="str">
        <f>'Raw Data'!S257</f>
        <v>Barney</v>
      </c>
      <c r="C329" s="20">
        <f>'Raw Data'!U257</f>
        <v>1139</v>
      </c>
      <c r="D329" s="21">
        <f>'Raw Data'!V257</f>
        <v>43029</v>
      </c>
      <c r="E329" s="17">
        <f t="shared" si="15"/>
        <v>21</v>
      </c>
      <c r="F329" s="17">
        <f t="shared" si="16"/>
        <v>1</v>
      </c>
      <c r="G329" s="22">
        <v>172.57575757575756</v>
      </c>
      <c r="H329" s="13"/>
      <c r="I329" s="81">
        <f t="shared" ca="1" si="17"/>
        <v>175.23076923076923</v>
      </c>
      <c r="J329" s="13"/>
    </row>
    <row r="330" spans="1:10">
      <c r="A330" s="19" t="str">
        <f>'Raw Data'!R476</f>
        <v>Books</v>
      </c>
      <c r="B330" s="6" t="str">
        <f>'Raw Data'!S476</f>
        <v>Barney</v>
      </c>
      <c r="C330" s="20">
        <f>'Raw Data'!U476</f>
        <v>808</v>
      </c>
      <c r="D330" s="21">
        <f>'Raw Data'!V476</f>
        <v>43029</v>
      </c>
      <c r="E330" s="17">
        <f t="shared" si="15"/>
        <v>21</v>
      </c>
      <c r="F330" s="17">
        <f t="shared" si="16"/>
        <v>1</v>
      </c>
      <c r="G330" s="22">
        <v>76.952380952380949</v>
      </c>
      <c r="H330" s="13"/>
      <c r="I330" s="81">
        <f t="shared" ca="1" si="17"/>
        <v>146.90909090909091</v>
      </c>
      <c r="J330" s="13"/>
    </row>
    <row r="331" spans="1:10">
      <c r="A331" s="19" t="str">
        <f>'Raw Data'!R485</f>
        <v>Clothing</v>
      </c>
      <c r="B331" s="6" t="str">
        <f>'Raw Data'!S485</f>
        <v>Barney</v>
      </c>
      <c r="C331" s="20">
        <f>'Raw Data'!U485</f>
        <v>0</v>
      </c>
      <c r="D331" s="21">
        <f>'Raw Data'!V485</f>
        <v>43029</v>
      </c>
      <c r="E331" s="17">
        <f t="shared" si="15"/>
        <v>21</v>
      </c>
      <c r="F331" s="17">
        <f t="shared" si="16"/>
        <v>0</v>
      </c>
      <c r="G331" s="22">
        <v>0</v>
      </c>
      <c r="H331" s="13"/>
      <c r="I331" s="81">
        <f t="shared" ca="1" si="17"/>
        <v>0</v>
      </c>
      <c r="J331" s="13"/>
    </row>
    <row r="332" spans="1:10">
      <c r="A332" s="19" t="str">
        <f>'Raw Data'!R73</f>
        <v>Books</v>
      </c>
      <c r="B332" s="6" t="str">
        <f>'Raw Data'!S73</f>
        <v>Carol</v>
      </c>
      <c r="C332" s="20">
        <f>'Raw Data'!U73</f>
        <v>582</v>
      </c>
      <c r="D332" s="21">
        <f>'Raw Data'!V73</f>
        <v>43029</v>
      </c>
      <c r="E332" s="17">
        <f t="shared" si="15"/>
        <v>21</v>
      </c>
      <c r="F332" s="17">
        <f t="shared" si="16"/>
        <v>1</v>
      </c>
      <c r="G332" s="22">
        <v>103.92857142857142</v>
      </c>
      <c r="H332" s="13"/>
      <c r="I332" s="81">
        <f t="shared" ca="1" si="17"/>
        <v>75.584415584415581</v>
      </c>
      <c r="J332" s="13"/>
    </row>
    <row r="333" spans="1:10">
      <c r="A333" s="19" t="str">
        <f>'Raw Data'!R161</f>
        <v>Clothing</v>
      </c>
      <c r="B333" s="6" t="str">
        <f>'Raw Data'!S161</f>
        <v>Carol</v>
      </c>
      <c r="C333" s="20">
        <f>'Raw Data'!U161</f>
        <v>1864</v>
      </c>
      <c r="D333" s="21">
        <f>'Raw Data'!V161</f>
        <v>43029</v>
      </c>
      <c r="E333" s="17">
        <f t="shared" si="15"/>
        <v>21</v>
      </c>
      <c r="F333" s="17">
        <f t="shared" si="16"/>
        <v>1</v>
      </c>
      <c r="G333" s="22">
        <v>50.928961748633881</v>
      </c>
      <c r="H333" s="13"/>
      <c r="I333" s="81">
        <f t="shared" ca="1" si="17"/>
        <v>44.700239808153476</v>
      </c>
      <c r="J333" s="13"/>
    </row>
    <row r="334" spans="1:10">
      <c r="A334" s="19" t="str">
        <f>'Raw Data'!R183</f>
        <v>Games</v>
      </c>
      <c r="B334" s="6" t="str">
        <f>'Raw Data'!S183</f>
        <v>Carol</v>
      </c>
      <c r="C334" s="20">
        <f>'Raw Data'!U183</f>
        <v>1037</v>
      </c>
      <c r="D334" s="21">
        <f>'Raw Data'!V183</f>
        <v>43029</v>
      </c>
      <c r="E334" s="17">
        <f t="shared" si="15"/>
        <v>21</v>
      </c>
      <c r="F334" s="17">
        <f t="shared" si="16"/>
        <v>1</v>
      </c>
      <c r="G334" s="22">
        <v>15.712121212121213</v>
      </c>
      <c r="H334" s="13"/>
      <c r="I334" s="81">
        <f t="shared" ca="1" si="17"/>
        <v>16.591999999999999</v>
      </c>
      <c r="J334" s="13"/>
    </row>
    <row r="335" spans="1:10">
      <c r="A335" s="19" t="str">
        <f>'Raw Data'!R358</f>
        <v>Music</v>
      </c>
      <c r="B335" s="6" t="str">
        <f>'Raw Data'!S358</f>
        <v>Carol</v>
      </c>
      <c r="C335" s="20">
        <f>'Raw Data'!U358</f>
        <v>0</v>
      </c>
      <c r="D335" s="21">
        <f>'Raw Data'!V358</f>
        <v>43029</v>
      </c>
      <c r="E335" s="17">
        <f t="shared" si="15"/>
        <v>21</v>
      </c>
      <c r="F335" s="17">
        <f t="shared" si="16"/>
        <v>0</v>
      </c>
      <c r="G335" s="22">
        <v>0</v>
      </c>
      <c r="H335" s="13"/>
      <c r="I335" s="81">
        <f t="shared" ca="1" si="17"/>
        <v>0</v>
      </c>
      <c r="J335" s="13"/>
    </row>
    <row r="336" spans="1:10">
      <c r="A336" s="19" t="str">
        <f>'Raw Data'!R39</f>
        <v>Books</v>
      </c>
      <c r="B336" s="6" t="str">
        <f>'Raw Data'!S39</f>
        <v>David</v>
      </c>
      <c r="C336" s="20">
        <f>'Raw Data'!U39</f>
        <v>960</v>
      </c>
      <c r="D336" s="21">
        <f>'Raw Data'!V39</f>
        <v>43029</v>
      </c>
      <c r="E336" s="17">
        <f t="shared" si="15"/>
        <v>21</v>
      </c>
      <c r="F336" s="17">
        <f t="shared" si="16"/>
        <v>1</v>
      </c>
      <c r="G336" s="22">
        <v>69.064748201438832</v>
      </c>
      <c r="H336" s="13"/>
      <c r="I336" s="81">
        <f t="shared" ca="1" si="17"/>
        <v>139.13043478260872</v>
      </c>
      <c r="J336" s="13"/>
    </row>
    <row r="337" spans="1:10">
      <c r="A337" s="19" t="str">
        <f>'Raw Data'!R190</f>
        <v>Games</v>
      </c>
      <c r="B337" s="6" t="str">
        <f>'Raw Data'!S190</f>
        <v>David</v>
      </c>
      <c r="C337" s="20">
        <f>'Raw Data'!U190</f>
        <v>1916</v>
      </c>
      <c r="D337" s="21">
        <f>'Raw Data'!V190</f>
        <v>43029</v>
      </c>
      <c r="E337" s="17">
        <f t="shared" si="15"/>
        <v>21</v>
      </c>
      <c r="F337" s="17">
        <f t="shared" si="16"/>
        <v>1</v>
      </c>
      <c r="G337" s="22">
        <v>32.201680672268907</v>
      </c>
      <c r="H337" s="13"/>
      <c r="I337" s="81">
        <f t="shared" ca="1" si="17"/>
        <v>38.32</v>
      </c>
      <c r="J337" s="13"/>
    </row>
    <row r="338" spans="1:10">
      <c r="A338" s="19" t="str">
        <f>'Raw Data'!R367</f>
        <v>Music</v>
      </c>
      <c r="B338" s="6" t="str">
        <f>'Raw Data'!S367</f>
        <v>David</v>
      </c>
      <c r="C338" s="20">
        <f>'Raw Data'!U367</f>
        <v>1038</v>
      </c>
      <c r="D338" s="21">
        <f>'Raw Data'!V367</f>
        <v>43029</v>
      </c>
      <c r="E338" s="17">
        <f t="shared" si="15"/>
        <v>21</v>
      </c>
      <c r="F338" s="17">
        <f t="shared" si="16"/>
        <v>1</v>
      </c>
      <c r="G338" s="22">
        <v>151.53284671532845</v>
      </c>
      <c r="H338" s="13"/>
      <c r="I338" s="81">
        <f t="shared" ca="1" si="17"/>
        <v>262.78481012658227</v>
      </c>
      <c r="J338" s="13"/>
    </row>
    <row r="339" spans="1:10">
      <c r="A339" s="19" t="str">
        <f>'Raw Data'!R409</f>
        <v>Clothing</v>
      </c>
      <c r="B339" s="6" t="str">
        <f>'Raw Data'!S409</f>
        <v>David</v>
      </c>
      <c r="C339" s="20">
        <f>'Raw Data'!U409</f>
        <v>847</v>
      </c>
      <c r="D339" s="21">
        <f>'Raw Data'!V409</f>
        <v>43029</v>
      </c>
      <c r="E339" s="17">
        <f t="shared" si="15"/>
        <v>21</v>
      </c>
      <c r="F339" s="17">
        <f t="shared" si="16"/>
        <v>1</v>
      </c>
      <c r="G339" s="22">
        <v>29.106529209621996</v>
      </c>
      <c r="H339" s="13"/>
      <c r="I339" s="81">
        <f t="shared" ca="1" si="17"/>
        <v>44.814814814814817</v>
      </c>
      <c r="J339" s="13"/>
    </row>
    <row r="340" spans="1:10">
      <c r="A340" s="19" t="str">
        <f>'Raw Data'!R100</f>
        <v>Games</v>
      </c>
      <c r="B340" s="6" t="str">
        <f>'Raw Data'!S100</f>
        <v>Alice</v>
      </c>
      <c r="C340" s="20">
        <f>'Raw Data'!U100</f>
        <v>0</v>
      </c>
      <c r="D340" s="21">
        <f>'Raw Data'!V100</f>
        <v>43030</v>
      </c>
      <c r="E340" s="17">
        <f t="shared" si="15"/>
        <v>22</v>
      </c>
      <c r="F340" s="17">
        <f t="shared" si="16"/>
        <v>0</v>
      </c>
      <c r="G340" s="22">
        <v>0</v>
      </c>
      <c r="H340" s="13"/>
      <c r="I340" s="81">
        <f t="shared" ca="1" si="17"/>
        <v>0</v>
      </c>
      <c r="J340" s="13"/>
    </row>
    <row r="341" spans="1:10">
      <c r="A341" s="19" t="str">
        <f>'Raw Data'!R356</f>
        <v>Music</v>
      </c>
      <c r="B341" s="6" t="str">
        <f>'Raw Data'!S356</f>
        <v>Alice</v>
      </c>
      <c r="C341" s="20">
        <f>'Raw Data'!U356</f>
        <v>1348</v>
      </c>
      <c r="D341" s="21">
        <f>'Raw Data'!V356</f>
        <v>43030</v>
      </c>
      <c r="E341" s="17">
        <f t="shared" si="15"/>
        <v>22</v>
      </c>
      <c r="F341" s="17">
        <f t="shared" si="16"/>
        <v>1</v>
      </c>
      <c r="G341" s="22">
        <v>247.33944954128441</v>
      </c>
      <c r="H341" s="13"/>
      <c r="I341" s="81">
        <f t="shared" ca="1" si="17"/>
        <v>207.38461538461539</v>
      </c>
      <c r="J341" s="13"/>
    </row>
    <row r="342" spans="1:10">
      <c r="A342" s="19" t="str">
        <f>'Raw Data'!R387</f>
        <v>Books</v>
      </c>
      <c r="B342" s="6" t="str">
        <f>'Raw Data'!S387</f>
        <v>Alice</v>
      </c>
      <c r="C342" s="20">
        <f>'Raw Data'!U387</f>
        <v>699</v>
      </c>
      <c r="D342" s="21">
        <f>'Raw Data'!V387</f>
        <v>43030</v>
      </c>
      <c r="E342" s="17">
        <f t="shared" si="15"/>
        <v>22</v>
      </c>
      <c r="F342" s="17">
        <f t="shared" si="16"/>
        <v>1</v>
      </c>
      <c r="G342" s="22">
        <v>69.900000000000006</v>
      </c>
      <c r="H342" s="13"/>
      <c r="I342" s="81">
        <f t="shared" ca="1" si="17"/>
        <v>70.606060606060609</v>
      </c>
      <c r="J342" s="13"/>
    </row>
    <row r="343" spans="1:10">
      <c r="A343" s="19" t="str">
        <f>'Raw Data'!R457</f>
        <v>Clothing</v>
      </c>
      <c r="B343" s="6" t="str">
        <f>'Raw Data'!S457</f>
        <v>Alice</v>
      </c>
      <c r="C343" s="20">
        <f>'Raw Data'!U457</f>
        <v>1619</v>
      </c>
      <c r="D343" s="21">
        <f>'Raw Data'!V457</f>
        <v>43030</v>
      </c>
      <c r="E343" s="17">
        <f t="shared" si="15"/>
        <v>22</v>
      </c>
      <c r="F343" s="17">
        <f t="shared" si="16"/>
        <v>1</v>
      </c>
      <c r="G343" s="22">
        <v>36.712018140589571</v>
      </c>
      <c r="H343" s="13"/>
      <c r="I343" s="81">
        <f t="shared" ca="1" si="17"/>
        <v>46.522988505747129</v>
      </c>
      <c r="J343" s="13"/>
    </row>
    <row r="344" spans="1:10">
      <c r="A344" s="19" t="str">
        <f>'Raw Data'!R90</f>
        <v>Games</v>
      </c>
      <c r="B344" s="6" t="str">
        <f>'Raw Data'!S90</f>
        <v>Barney</v>
      </c>
      <c r="C344" s="20">
        <f>'Raw Data'!U90</f>
        <v>2167</v>
      </c>
      <c r="D344" s="21">
        <f>'Raw Data'!V90</f>
        <v>43030</v>
      </c>
      <c r="E344" s="17">
        <f t="shared" si="15"/>
        <v>22</v>
      </c>
      <c r="F344" s="17">
        <f t="shared" si="16"/>
        <v>1</v>
      </c>
      <c r="G344" s="22">
        <v>33.338461538461537</v>
      </c>
      <c r="H344" s="13"/>
      <c r="I344" s="81">
        <f t="shared" ca="1" si="17"/>
        <v>31.179856115107913</v>
      </c>
      <c r="J344" s="13"/>
    </row>
    <row r="345" spans="1:10">
      <c r="A345" s="19" t="str">
        <f>'Raw Data'!R143</f>
        <v>Books</v>
      </c>
      <c r="B345" s="6" t="str">
        <f>'Raw Data'!S143</f>
        <v>Barney</v>
      </c>
      <c r="C345" s="20">
        <f>'Raw Data'!U143</f>
        <v>510</v>
      </c>
      <c r="D345" s="21">
        <f>'Raw Data'!V143</f>
        <v>43030</v>
      </c>
      <c r="E345" s="17">
        <f t="shared" si="15"/>
        <v>22</v>
      </c>
      <c r="F345" s="17">
        <f t="shared" si="16"/>
        <v>1</v>
      </c>
      <c r="G345" s="22">
        <v>49.514563106796111</v>
      </c>
      <c r="H345" s="13"/>
      <c r="I345" s="81">
        <f t="shared" ca="1" si="17"/>
        <v>80.952380952380949</v>
      </c>
      <c r="J345" s="13"/>
    </row>
    <row r="346" spans="1:10">
      <c r="A346" s="19" t="str">
        <f>'Raw Data'!R340</f>
        <v>Clothing</v>
      </c>
      <c r="B346" s="6" t="str">
        <f>'Raw Data'!S340</f>
        <v>Barney</v>
      </c>
      <c r="C346" s="20">
        <f>'Raw Data'!U340</f>
        <v>845</v>
      </c>
      <c r="D346" s="21">
        <f>'Raw Data'!V340</f>
        <v>43030</v>
      </c>
      <c r="E346" s="17">
        <f t="shared" si="15"/>
        <v>22</v>
      </c>
      <c r="F346" s="17">
        <f t="shared" si="16"/>
        <v>1</v>
      </c>
      <c r="G346" s="22">
        <v>40.238095238095241</v>
      </c>
      <c r="H346" s="13"/>
      <c r="I346" s="81">
        <f t="shared" ca="1" si="17"/>
        <v>22.178477690288712</v>
      </c>
      <c r="J346" s="13"/>
    </row>
    <row r="347" spans="1:10">
      <c r="A347" s="19" t="str">
        <f>'Raw Data'!R397</f>
        <v>Music</v>
      </c>
      <c r="B347" s="6" t="str">
        <f>'Raw Data'!S397</f>
        <v>Barney</v>
      </c>
      <c r="C347" s="20">
        <f>'Raw Data'!U397</f>
        <v>1291</v>
      </c>
      <c r="D347" s="21">
        <f>'Raw Data'!V397</f>
        <v>43030</v>
      </c>
      <c r="E347" s="17">
        <f t="shared" si="15"/>
        <v>22</v>
      </c>
      <c r="F347" s="17">
        <f t="shared" si="16"/>
        <v>1</v>
      </c>
      <c r="G347" s="22">
        <v>248.26923076923077</v>
      </c>
      <c r="H347" s="13"/>
      <c r="I347" s="81">
        <f t="shared" ca="1" si="17"/>
        <v>335.3246753246753</v>
      </c>
      <c r="J347" s="13"/>
    </row>
    <row r="348" spans="1:10">
      <c r="A348" s="19" t="str">
        <f>'Raw Data'!R176</f>
        <v>Games</v>
      </c>
      <c r="B348" s="6" t="str">
        <f>'Raw Data'!S176</f>
        <v>Carol</v>
      </c>
      <c r="C348" s="20">
        <f>'Raw Data'!U176</f>
        <v>1616</v>
      </c>
      <c r="D348" s="21">
        <f>'Raw Data'!V176</f>
        <v>43030</v>
      </c>
      <c r="E348" s="17">
        <f t="shared" si="15"/>
        <v>22</v>
      </c>
      <c r="F348" s="17">
        <f t="shared" si="16"/>
        <v>1</v>
      </c>
      <c r="G348" s="22">
        <v>38.023529411764706</v>
      </c>
      <c r="H348" s="13"/>
      <c r="I348" s="81">
        <f t="shared" ca="1" si="17"/>
        <v>33.319587628865982</v>
      </c>
      <c r="J348" s="13"/>
    </row>
    <row r="349" spans="1:10">
      <c r="A349" s="19" t="str">
        <f>'Raw Data'!R180</f>
        <v>Music</v>
      </c>
      <c r="B349" s="6" t="str">
        <f>'Raw Data'!S180</f>
        <v>Carol</v>
      </c>
      <c r="C349" s="20">
        <f>'Raw Data'!U180</f>
        <v>952</v>
      </c>
      <c r="D349" s="21">
        <f>'Raw Data'!V180</f>
        <v>43030</v>
      </c>
      <c r="E349" s="17">
        <f t="shared" si="15"/>
        <v>22</v>
      </c>
      <c r="F349" s="17">
        <f t="shared" si="16"/>
        <v>1</v>
      </c>
      <c r="G349" s="22">
        <v>317.33333333333331</v>
      </c>
      <c r="H349" s="13"/>
      <c r="I349" s="81">
        <f t="shared" ca="1" si="17"/>
        <v>141.03703703703704</v>
      </c>
      <c r="J349" s="13"/>
    </row>
    <row r="350" spans="1:10">
      <c r="A350" s="19" t="str">
        <f>'Raw Data'!R208</f>
        <v>Clothing</v>
      </c>
      <c r="B350" s="6" t="str">
        <f>'Raw Data'!S208</f>
        <v>Carol</v>
      </c>
      <c r="C350" s="20">
        <f>'Raw Data'!U208</f>
        <v>1334</v>
      </c>
      <c r="D350" s="21">
        <f>'Raw Data'!V208</f>
        <v>43030</v>
      </c>
      <c r="E350" s="17">
        <f t="shared" si="15"/>
        <v>22</v>
      </c>
      <c r="F350" s="17">
        <f t="shared" si="16"/>
        <v>1</v>
      </c>
      <c r="G350" s="22">
        <v>32.457420924574208</v>
      </c>
      <c r="H350" s="13"/>
      <c r="I350" s="81">
        <f t="shared" ca="1" si="17"/>
        <v>43.594771241830067</v>
      </c>
      <c r="J350" s="13"/>
    </row>
    <row r="351" spans="1:10">
      <c r="A351" s="19" t="str">
        <f>'Raw Data'!R438</f>
        <v>Books</v>
      </c>
      <c r="B351" s="6" t="str">
        <f>'Raw Data'!S438</f>
        <v>Carol</v>
      </c>
      <c r="C351" s="20">
        <f>'Raw Data'!U438</f>
        <v>505</v>
      </c>
      <c r="D351" s="21">
        <f>'Raw Data'!V438</f>
        <v>43030</v>
      </c>
      <c r="E351" s="17">
        <f t="shared" si="15"/>
        <v>22</v>
      </c>
      <c r="F351" s="17">
        <f t="shared" si="16"/>
        <v>1</v>
      </c>
      <c r="G351" s="22">
        <v>90.178571428571416</v>
      </c>
      <c r="H351" s="13"/>
      <c r="I351" s="81">
        <f t="shared" ca="1" si="17"/>
        <v>97.115384615384613</v>
      </c>
      <c r="J351" s="13"/>
    </row>
    <row r="352" spans="1:10">
      <c r="A352" s="19" t="str">
        <f>'Raw Data'!R13</f>
        <v>Games</v>
      </c>
      <c r="B352" s="6" t="str">
        <f>'Raw Data'!S13</f>
        <v>David</v>
      </c>
      <c r="C352" s="20">
        <f>'Raw Data'!U13</f>
        <v>0</v>
      </c>
      <c r="D352" s="21">
        <f>'Raw Data'!V13</f>
        <v>43030</v>
      </c>
      <c r="E352" s="17">
        <f t="shared" si="15"/>
        <v>22</v>
      </c>
      <c r="F352" s="17">
        <f t="shared" si="16"/>
        <v>0</v>
      </c>
      <c r="G352" s="22">
        <v>0</v>
      </c>
      <c r="H352" s="13"/>
      <c r="I352" s="81">
        <f t="shared" ca="1" si="17"/>
        <v>0</v>
      </c>
      <c r="J352" s="13"/>
    </row>
    <row r="353" spans="1:10">
      <c r="A353" s="19" t="str">
        <f>'Raw Data'!R212</f>
        <v>Music</v>
      </c>
      <c r="B353" s="6" t="str">
        <f>'Raw Data'!S212</f>
        <v>David</v>
      </c>
      <c r="C353" s="20">
        <f>'Raw Data'!U212</f>
        <v>1437</v>
      </c>
      <c r="D353" s="21">
        <f>'Raw Data'!V212</f>
        <v>43030</v>
      </c>
      <c r="E353" s="17">
        <f t="shared" si="15"/>
        <v>22</v>
      </c>
      <c r="F353" s="17">
        <f t="shared" si="16"/>
        <v>1</v>
      </c>
      <c r="G353" s="22">
        <v>273.71428571428572</v>
      </c>
      <c r="H353" s="13"/>
      <c r="I353" s="81">
        <f t="shared" ca="1" si="17"/>
        <v>243.55932203389833</v>
      </c>
      <c r="J353" s="13"/>
    </row>
    <row r="354" spans="1:10">
      <c r="A354" s="19" t="str">
        <f>'Raw Data'!R371</f>
        <v>Books</v>
      </c>
      <c r="B354" s="6" t="str">
        <f>'Raw Data'!S371</f>
        <v>David</v>
      </c>
      <c r="C354" s="20">
        <f>'Raw Data'!U371</f>
        <v>996</v>
      </c>
      <c r="D354" s="21">
        <f>'Raw Data'!V371</f>
        <v>43030</v>
      </c>
      <c r="E354" s="17">
        <f t="shared" si="15"/>
        <v>22</v>
      </c>
      <c r="F354" s="17">
        <f t="shared" si="16"/>
        <v>1</v>
      </c>
      <c r="G354" s="22">
        <v>184.44444444444443</v>
      </c>
      <c r="H354" s="13"/>
      <c r="I354" s="81">
        <f t="shared" ca="1" si="17"/>
        <v>82.314049586776861</v>
      </c>
      <c r="J354" s="13"/>
    </row>
    <row r="355" spans="1:10">
      <c r="A355" s="19" t="str">
        <f>'Raw Data'!R470</f>
        <v>Clothing</v>
      </c>
      <c r="B355" s="6" t="str">
        <f>'Raw Data'!S470</f>
        <v>David</v>
      </c>
      <c r="C355" s="20">
        <f>'Raw Data'!U470</f>
        <v>0</v>
      </c>
      <c r="D355" s="21">
        <f>'Raw Data'!V470</f>
        <v>43030</v>
      </c>
      <c r="E355" s="17">
        <f t="shared" si="15"/>
        <v>22</v>
      </c>
      <c r="F355" s="17">
        <f t="shared" si="16"/>
        <v>0</v>
      </c>
      <c r="G355" s="22">
        <v>0</v>
      </c>
      <c r="H355" s="13"/>
      <c r="I355" s="81">
        <f t="shared" ca="1" si="17"/>
        <v>0</v>
      </c>
      <c r="J355" s="13"/>
    </row>
    <row r="356" spans="1:10">
      <c r="A356" s="19" t="str">
        <f>'Raw Data'!R34</f>
        <v>Games</v>
      </c>
      <c r="B356" s="6" t="str">
        <f>'Raw Data'!S34</f>
        <v>Alice</v>
      </c>
      <c r="C356" s="20">
        <f>'Raw Data'!U34</f>
        <v>1747</v>
      </c>
      <c r="D356" s="21">
        <f>'Raw Data'!V34</f>
        <v>43031</v>
      </c>
      <c r="E356" s="17">
        <f t="shared" si="15"/>
        <v>23</v>
      </c>
      <c r="F356" s="17">
        <f t="shared" si="16"/>
        <v>1</v>
      </c>
      <c r="G356" s="22">
        <v>28.639344262295083</v>
      </c>
      <c r="H356" s="13"/>
      <c r="I356" s="81">
        <f t="shared" ca="1" si="17"/>
        <v>23.449664429530202</v>
      </c>
      <c r="J356" s="13"/>
    </row>
    <row r="357" spans="1:10">
      <c r="A357" s="19" t="str">
        <f>'Raw Data'!R332</f>
        <v>Books</v>
      </c>
      <c r="B357" s="6" t="str">
        <f>'Raw Data'!S332</f>
        <v>Alice</v>
      </c>
      <c r="C357" s="20">
        <f>'Raw Data'!U332</f>
        <v>0</v>
      </c>
      <c r="D357" s="21">
        <f>'Raw Data'!V332</f>
        <v>43031</v>
      </c>
      <c r="E357" s="17">
        <f t="shared" si="15"/>
        <v>23</v>
      </c>
      <c r="F357" s="17">
        <f t="shared" si="16"/>
        <v>0</v>
      </c>
      <c r="G357" s="22">
        <v>0</v>
      </c>
      <c r="H357" s="13"/>
      <c r="I357" s="81">
        <f t="shared" ca="1" si="17"/>
        <v>0</v>
      </c>
      <c r="J357" s="13"/>
    </row>
    <row r="358" spans="1:10">
      <c r="A358" s="19" t="str">
        <f>'Raw Data'!R337</f>
        <v>Clothing</v>
      </c>
      <c r="B358" s="6" t="str">
        <f>'Raw Data'!S337</f>
        <v>Alice</v>
      </c>
      <c r="C358" s="20">
        <f>'Raw Data'!U337</f>
        <v>1099</v>
      </c>
      <c r="D358" s="21">
        <f>'Raw Data'!V337</f>
        <v>43031</v>
      </c>
      <c r="E358" s="17">
        <f t="shared" si="15"/>
        <v>23</v>
      </c>
      <c r="F358" s="17">
        <f t="shared" si="16"/>
        <v>1</v>
      </c>
      <c r="G358" s="22">
        <v>35.224358974358971</v>
      </c>
      <c r="H358" s="13"/>
      <c r="I358" s="81">
        <f t="shared" ca="1" si="17"/>
        <v>44.136546184738961</v>
      </c>
      <c r="J358" s="13"/>
    </row>
    <row r="359" spans="1:10">
      <c r="A359" s="19" t="str">
        <f>'Raw Data'!R433</f>
        <v>Music</v>
      </c>
      <c r="B359" s="6" t="str">
        <f>'Raw Data'!S433</f>
        <v>Alice</v>
      </c>
      <c r="C359" s="20">
        <f>'Raw Data'!U433</f>
        <v>1212</v>
      </c>
      <c r="D359" s="21">
        <f>'Raw Data'!V433</f>
        <v>43031</v>
      </c>
      <c r="E359" s="17">
        <f t="shared" si="15"/>
        <v>23</v>
      </c>
      <c r="F359" s="17">
        <f t="shared" si="16"/>
        <v>1</v>
      </c>
      <c r="G359" s="22">
        <v>179.55555555555554</v>
      </c>
      <c r="H359" s="13"/>
      <c r="I359" s="81">
        <f t="shared" ca="1" si="17"/>
        <v>220.36363636363637</v>
      </c>
      <c r="J359" s="13"/>
    </row>
    <row r="360" spans="1:10">
      <c r="A360" s="19" t="str">
        <f>'Raw Data'!R101</f>
        <v>Books</v>
      </c>
      <c r="B360" s="6" t="str">
        <f>'Raw Data'!S101</f>
        <v>Barney</v>
      </c>
      <c r="C360" s="20">
        <f>'Raw Data'!U101</f>
        <v>881</v>
      </c>
      <c r="D360" s="21">
        <f>'Raw Data'!V101</f>
        <v>43031</v>
      </c>
      <c r="E360" s="17">
        <f t="shared" si="15"/>
        <v>23</v>
      </c>
      <c r="F360" s="17">
        <f t="shared" si="16"/>
        <v>1</v>
      </c>
      <c r="G360" s="22">
        <v>127.68115942028986</v>
      </c>
      <c r="H360" s="13"/>
      <c r="I360" s="81">
        <f t="shared" ca="1" si="17"/>
        <v>166.22641509433959</v>
      </c>
      <c r="J360" s="13"/>
    </row>
    <row r="361" spans="1:10">
      <c r="A361" s="19" t="str">
        <f>'Raw Data'!R291</f>
        <v>Clothing</v>
      </c>
      <c r="B361" s="6" t="str">
        <f>'Raw Data'!S291</f>
        <v>Barney</v>
      </c>
      <c r="C361" s="20">
        <f>'Raw Data'!U291</f>
        <v>0</v>
      </c>
      <c r="D361" s="21">
        <f>'Raw Data'!V291</f>
        <v>43031</v>
      </c>
      <c r="E361" s="17">
        <f t="shared" si="15"/>
        <v>23</v>
      </c>
      <c r="F361" s="17">
        <f t="shared" si="16"/>
        <v>0</v>
      </c>
      <c r="G361" s="22">
        <v>0</v>
      </c>
      <c r="H361" s="13"/>
      <c r="I361" s="81">
        <f t="shared" ca="1" si="17"/>
        <v>0</v>
      </c>
      <c r="J361" s="13"/>
    </row>
    <row r="362" spans="1:10">
      <c r="A362" s="19" t="str">
        <f>'Raw Data'!R302</f>
        <v>Music</v>
      </c>
      <c r="B362" s="6" t="str">
        <f>'Raw Data'!S302</f>
        <v>Barney</v>
      </c>
      <c r="C362" s="20">
        <f>'Raw Data'!U302</f>
        <v>984</v>
      </c>
      <c r="D362" s="21">
        <f>'Raw Data'!V302</f>
        <v>43031</v>
      </c>
      <c r="E362" s="17">
        <f t="shared" si="15"/>
        <v>23</v>
      </c>
      <c r="F362" s="17">
        <f t="shared" si="16"/>
        <v>1</v>
      </c>
      <c r="G362" s="22">
        <v>172.63157894736838</v>
      </c>
      <c r="H362" s="13"/>
      <c r="I362" s="81">
        <f t="shared" ca="1" si="17"/>
        <v>153.75</v>
      </c>
      <c r="J362" s="13"/>
    </row>
    <row r="363" spans="1:10">
      <c r="A363" s="19" t="str">
        <f>'Raw Data'!R386</f>
        <v>Games</v>
      </c>
      <c r="B363" s="6" t="str">
        <f>'Raw Data'!S386</f>
        <v>Barney</v>
      </c>
      <c r="C363" s="20">
        <f>'Raw Data'!U386</f>
        <v>2144</v>
      </c>
      <c r="D363" s="21">
        <f>'Raw Data'!V386</f>
        <v>43031</v>
      </c>
      <c r="E363" s="17">
        <f t="shared" si="15"/>
        <v>23</v>
      </c>
      <c r="F363" s="17">
        <f t="shared" si="16"/>
        <v>1</v>
      </c>
      <c r="G363" s="22">
        <v>51.662650602409641</v>
      </c>
      <c r="H363" s="13"/>
      <c r="I363" s="81">
        <f t="shared" ca="1" si="17"/>
        <v>35.147540983606561</v>
      </c>
      <c r="J363" s="13"/>
    </row>
    <row r="364" spans="1:10">
      <c r="A364" s="19" t="str">
        <f>'Raw Data'!R27</f>
        <v>Books</v>
      </c>
      <c r="B364" s="6" t="str">
        <f>'Raw Data'!S27</f>
        <v>Carol</v>
      </c>
      <c r="C364" s="20">
        <f>'Raw Data'!U27</f>
        <v>0</v>
      </c>
      <c r="D364" s="21">
        <f>'Raw Data'!V27</f>
        <v>43031</v>
      </c>
      <c r="E364" s="17">
        <f t="shared" si="15"/>
        <v>23</v>
      </c>
      <c r="F364" s="17">
        <f t="shared" si="16"/>
        <v>0</v>
      </c>
      <c r="G364" s="22">
        <v>0</v>
      </c>
      <c r="H364" s="13"/>
      <c r="I364" s="81">
        <f t="shared" ca="1" si="17"/>
        <v>0</v>
      </c>
      <c r="J364" s="13"/>
    </row>
    <row r="365" spans="1:10">
      <c r="A365" s="19" t="str">
        <f>'Raw Data'!R87</f>
        <v>Clothing</v>
      </c>
      <c r="B365" s="6" t="str">
        <f>'Raw Data'!S87</f>
        <v>Carol</v>
      </c>
      <c r="C365" s="20">
        <f>'Raw Data'!U87</f>
        <v>1234</v>
      </c>
      <c r="D365" s="21">
        <f>'Raw Data'!V87</f>
        <v>43031</v>
      </c>
      <c r="E365" s="17">
        <f t="shared" si="15"/>
        <v>23</v>
      </c>
      <c r="F365" s="17">
        <f t="shared" si="16"/>
        <v>1</v>
      </c>
      <c r="G365" s="22">
        <v>79.102564102564102</v>
      </c>
      <c r="H365" s="13"/>
      <c r="I365" s="81">
        <f t="shared" ca="1" si="17"/>
        <v>80.653594771241828</v>
      </c>
      <c r="J365" s="13"/>
    </row>
    <row r="366" spans="1:10">
      <c r="A366" s="19" t="str">
        <f>'Raw Data'!R322</f>
        <v>Music</v>
      </c>
      <c r="B366" s="6" t="str">
        <f>'Raw Data'!S322</f>
        <v>Carol</v>
      </c>
      <c r="C366" s="20">
        <f>'Raw Data'!U322</f>
        <v>968</v>
      </c>
      <c r="D366" s="21">
        <f>'Raw Data'!V322</f>
        <v>43031</v>
      </c>
      <c r="E366" s="17">
        <f t="shared" si="15"/>
        <v>23</v>
      </c>
      <c r="F366" s="17">
        <f t="shared" si="16"/>
        <v>1</v>
      </c>
      <c r="G366" s="22">
        <v>217.52808988764045</v>
      </c>
      <c r="H366" s="13"/>
      <c r="I366" s="81">
        <f t="shared" ca="1" si="17"/>
        <v>174.41441441441438</v>
      </c>
      <c r="J366" s="13"/>
    </row>
    <row r="367" spans="1:10">
      <c r="A367" s="19" t="str">
        <f>'Raw Data'!R384</f>
        <v>Games</v>
      </c>
      <c r="B367" s="6" t="str">
        <f>'Raw Data'!S384</f>
        <v>Carol</v>
      </c>
      <c r="C367" s="20">
        <f>'Raw Data'!U384</f>
        <v>2447</v>
      </c>
      <c r="D367" s="21">
        <f>'Raw Data'!V384</f>
        <v>43031</v>
      </c>
      <c r="E367" s="17">
        <f t="shared" si="15"/>
        <v>23</v>
      </c>
      <c r="F367" s="17">
        <f t="shared" si="16"/>
        <v>1</v>
      </c>
      <c r="G367" s="22">
        <v>75.292307692307688</v>
      </c>
      <c r="H367" s="13"/>
      <c r="I367" s="81">
        <f t="shared" ca="1" si="17"/>
        <v>44.090090090090087</v>
      </c>
      <c r="J367" s="13"/>
    </row>
    <row r="368" spans="1:10">
      <c r="A368" s="19" t="str">
        <f>'Raw Data'!R169</f>
        <v>Books</v>
      </c>
      <c r="B368" s="6" t="str">
        <f>'Raw Data'!S169</f>
        <v>David</v>
      </c>
      <c r="C368" s="20">
        <f>'Raw Data'!U169</f>
        <v>804</v>
      </c>
      <c r="D368" s="21">
        <f>'Raw Data'!V169</f>
        <v>43031</v>
      </c>
      <c r="E368" s="17">
        <f t="shared" si="15"/>
        <v>23</v>
      </c>
      <c r="F368" s="17">
        <f t="shared" si="16"/>
        <v>1</v>
      </c>
      <c r="G368" s="22">
        <v>75.140186915887838</v>
      </c>
      <c r="H368" s="13"/>
      <c r="I368" s="81">
        <f t="shared" ca="1" si="17"/>
        <v>120.00000000000001</v>
      </c>
      <c r="J368" s="13"/>
    </row>
    <row r="369" spans="1:10">
      <c r="A369" s="19" t="str">
        <f>'Raw Data'!R316</f>
        <v>Clothing</v>
      </c>
      <c r="B369" s="6" t="str">
        <f>'Raw Data'!S316</f>
        <v>David</v>
      </c>
      <c r="C369" s="20">
        <f>'Raw Data'!U316</f>
        <v>1176</v>
      </c>
      <c r="D369" s="21">
        <f>'Raw Data'!V316</f>
        <v>43031</v>
      </c>
      <c r="E369" s="17">
        <f t="shared" si="15"/>
        <v>23</v>
      </c>
      <c r="F369" s="17">
        <f t="shared" si="16"/>
        <v>1</v>
      </c>
      <c r="G369" s="22">
        <v>63.225806451612897</v>
      </c>
      <c r="H369" s="13"/>
      <c r="I369" s="81">
        <f t="shared" ca="1" si="17"/>
        <v>36.981132075471699</v>
      </c>
      <c r="J369" s="13"/>
    </row>
    <row r="370" spans="1:10">
      <c r="A370" s="19" t="str">
        <f>'Raw Data'!R411</f>
        <v>Music</v>
      </c>
      <c r="B370" s="6" t="str">
        <f>'Raw Data'!S411</f>
        <v>David</v>
      </c>
      <c r="C370" s="20">
        <f>'Raw Data'!U411</f>
        <v>0</v>
      </c>
      <c r="D370" s="21">
        <f>'Raw Data'!V411</f>
        <v>43031</v>
      </c>
      <c r="E370" s="17">
        <f t="shared" si="15"/>
        <v>23</v>
      </c>
      <c r="F370" s="17">
        <f t="shared" si="16"/>
        <v>0</v>
      </c>
      <c r="G370" s="22">
        <v>0</v>
      </c>
      <c r="H370" s="13"/>
      <c r="I370" s="81">
        <f t="shared" ca="1" si="17"/>
        <v>0</v>
      </c>
      <c r="J370" s="13"/>
    </row>
    <row r="371" spans="1:10">
      <c r="A371" s="19" t="str">
        <f>'Raw Data'!R436</f>
        <v>Games</v>
      </c>
      <c r="B371" s="6" t="str">
        <f>'Raw Data'!S436</f>
        <v>David</v>
      </c>
      <c r="C371" s="20">
        <f>'Raw Data'!U436</f>
        <v>0</v>
      </c>
      <c r="D371" s="21">
        <f>'Raw Data'!V436</f>
        <v>43031</v>
      </c>
      <c r="E371" s="17">
        <f t="shared" si="15"/>
        <v>23</v>
      </c>
      <c r="F371" s="17">
        <f t="shared" si="16"/>
        <v>0</v>
      </c>
      <c r="G371" s="22">
        <v>0</v>
      </c>
      <c r="H371" s="13"/>
      <c r="I371" s="81">
        <f t="shared" ca="1" si="17"/>
        <v>0</v>
      </c>
      <c r="J371" s="13"/>
    </row>
    <row r="372" spans="1:10">
      <c r="A372" s="19" t="str">
        <f>'Raw Data'!R255</f>
        <v>Games</v>
      </c>
      <c r="B372" s="6" t="str">
        <f>'Raw Data'!S255</f>
        <v>Alice</v>
      </c>
      <c r="C372" s="20">
        <f>'Raw Data'!U255</f>
        <v>1035</v>
      </c>
      <c r="D372" s="21">
        <f>'Raw Data'!V255</f>
        <v>43032</v>
      </c>
      <c r="E372" s="17">
        <f t="shared" si="15"/>
        <v>24</v>
      </c>
      <c r="F372" s="17">
        <f t="shared" si="16"/>
        <v>1</v>
      </c>
      <c r="G372" s="22">
        <v>22.5</v>
      </c>
      <c r="H372" s="13"/>
      <c r="I372" s="81">
        <f t="shared" ca="1" si="17"/>
        <v>36.315789473684205</v>
      </c>
      <c r="J372" s="13"/>
    </row>
    <row r="373" spans="1:10">
      <c r="A373" s="19" t="str">
        <f>'Raw Data'!R290</f>
        <v>Books</v>
      </c>
      <c r="B373" s="6" t="str">
        <f>'Raw Data'!S290</f>
        <v>Alice</v>
      </c>
      <c r="C373" s="20">
        <f>'Raw Data'!U290</f>
        <v>762</v>
      </c>
      <c r="D373" s="21">
        <f>'Raw Data'!V290</f>
        <v>43032</v>
      </c>
      <c r="E373" s="17">
        <f t="shared" si="15"/>
        <v>24</v>
      </c>
      <c r="F373" s="17">
        <f t="shared" si="16"/>
        <v>1</v>
      </c>
      <c r="G373" s="22">
        <v>138.54545454545453</v>
      </c>
      <c r="H373" s="13"/>
      <c r="I373" s="81">
        <f t="shared" ca="1" si="17"/>
        <v>146.53846153846155</v>
      </c>
      <c r="J373" s="13"/>
    </row>
    <row r="374" spans="1:10">
      <c r="A374" s="19" t="str">
        <f>'Raw Data'!R317</f>
        <v>Clothing</v>
      </c>
      <c r="B374" s="6" t="str">
        <f>'Raw Data'!S317</f>
        <v>Alice</v>
      </c>
      <c r="C374" s="20">
        <f>'Raw Data'!U317</f>
        <v>681</v>
      </c>
      <c r="D374" s="21">
        <f>'Raw Data'!V317</f>
        <v>43032</v>
      </c>
      <c r="E374" s="17">
        <f t="shared" si="15"/>
        <v>24</v>
      </c>
      <c r="F374" s="17">
        <f t="shared" si="16"/>
        <v>1</v>
      </c>
      <c r="G374" s="22">
        <v>17.067669172932327</v>
      </c>
      <c r="H374" s="13"/>
      <c r="I374" s="81">
        <f t="shared" ca="1" si="17"/>
        <v>27.349397590361448</v>
      </c>
      <c r="J374" s="13"/>
    </row>
    <row r="375" spans="1:10">
      <c r="A375" s="19" t="str">
        <f>'Raw Data'!R483</f>
        <v>Music</v>
      </c>
      <c r="B375" s="6" t="str">
        <f>'Raw Data'!S483</f>
        <v>Alice</v>
      </c>
      <c r="C375" s="20">
        <f>'Raw Data'!U483</f>
        <v>0</v>
      </c>
      <c r="D375" s="21">
        <f>'Raw Data'!V483</f>
        <v>43032</v>
      </c>
      <c r="E375" s="17">
        <f t="shared" si="15"/>
        <v>24</v>
      </c>
      <c r="F375" s="17">
        <f t="shared" si="16"/>
        <v>0</v>
      </c>
      <c r="G375" s="22">
        <v>0</v>
      </c>
      <c r="H375" s="13"/>
      <c r="I375" s="81">
        <f t="shared" ca="1" si="17"/>
        <v>0</v>
      </c>
      <c r="J375" s="13"/>
    </row>
    <row r="376" spans="1:10">
      <c r="A376" s="19" t="str">
        <f>'Raw Data'!R67</f>
        <v>Games</v>
      </c>
      <c r="B376" s="6" t="str">
        <f>'Raw Data'!S67</f>
        <v>Barney</v>
      </c>
      <c r="C376" s="20">
        <f>'Raw Data'!U67</f>
        <v>0</v>
      </c>
      <c r="D376" s="21">
        <f>'Raw Data'!V67</f>
        <v>43032</v>
      </c>
      <c r="E376" s="17">
        <f t="shared" si="15"/>
        <v>24</v>
      </c>
      <c r="F376" s="17">
        <f t="shared" si="16"/>
        <v>0</v>
      </c>
      <c r="G376" s="22">
        <v>0</v>
      </c>
      <c r="H376" s="13"/>
      <c r="I376" s="81">
        <f t="shared" ca="1" si="17"/>
        <v>0</v>
      </c>
      <c r="J376" s="13"/>
    </row>
    <row r="377" spans="1:10">
      <c r="A377" s="19" t="str">
        <f>'Raw Data'!R77</f>
        <v>Clothing</v>
      </c>
      <c r="B377" s="6" t="str">
        <f>'Raw Data'!S77</f>
        <v>Barney</v>
      </c>
      <c r="C377" s="20">
        <f>'Raw Data'!U77</f>
        <v>1395</v>
      </c>
      <c r="D377" s="21">
        <f>'Raw Data'!V77</f>
        <v>43032</v>
      </c>
      <c r="E377" s="17">
        <f t="shared" si="15"/>
        <v>24</v>
      </c>
      <c r="F377" s="17">
        <f t="shared" si="16"/>
        <v>1</v>
      </c>
      <c r="G377" s="22">
        <v>33.214285714285715</v>
      </c>
      <c r="H377" s="13"/>
      <c r="I377" s="81">
        <f t="shared" ca="1" si="17"/>
        <v>47.938144329896907</v>
      </c>
      <c r="J377" s="13"/>
    </row>
    <row r="378" spans="1:10">
      <c r="A378" s="19" t="str">
        <f>'Raw Data'!R339</f>
        <v>Music</v>
      </c>
      <c r="B378" s="6" t="str">
        <f>'Raw Data'!S339</f>
        <v>Barney</v>
      </c>
      <c r="C378" s="20">
        <f>'Raw Data'!U339</f>
        <v>1157</v>
      </c>
      <c r="D378" s="21">
        <f>'Raw Data'!V339</f>
        <v>43032</v>
      </c>
      <c r="E378" s="17">
        <f t="shared" si="15"/>
        <v>24</v>
      </c>
      <c r="F378" s="17">
        <f t="shared" si="16"/>
        <v>1</v>
      </c>
      <c r="G378" s="22">
        <v>325.91549295774649</v>
      </c>
      <c r="H378" s="13"/>
      <c r="I378" s="81">
        <f t="shared" ca="1" si="17"/>
        <v>204.77876106194691</v>
      </c>
      <c r="J378" s="13"/>
    </row>
    <row r="379" spans="1:10">
      <c r="A379" s="19" t="str">
        <f>'Raw Data'!R495</f>
        <v>Books</v>
      </c>
      <c r="B379" s="6" t="str">
        <f>'Raw Data'!S495</f>
        <v>Barney</v>
      </c>
      <c r="C379" s="20">
        <f>'Raw Data'!U495</f>
        <v>743</v>
      </c>
      <c r="D379" s="21">
        <f>'Raw Data'!V495</f>
        <v>43032</v>
      </c>
      <c r="E379" s="17">
        <f t="shared" si="15"/>
        <v>24</v>
      </c>
      <c r="F379" s="17">
        <f t="shared" si="16"/>
        <v>1</v>
      </c>
      <c r="G379" s="22">
        <v>82.555555555555557</v>
      </c>
      <c r="H379" s="13"/>
      <c r="I379" s="81">
        <f t="shared" ca="1" si="17"/>
        <v>51.597222222222229</v>
      </c>
      <c r="J379" s="13"/>
    </row>
    <row r="380" spans="1:10">
      <c r="A380" s="19" t="str">
        <f>'Raw Data'!R36</f>
        <v>Clothing</v>
      </c>
      <c r="B380" s="6" t="str">
        <f>'Raw Data'!S36</f>
        <v>Carol</v>
      </c>
      <c r="C380" s="20">
        <f>'Raw Data'!U36</f>
        <v>681</v>
      </c>
      <c r="D380" s="21">
        <f>'Raw Data'!V36</f>
        <v>43032</v>
      </c>
      <c r="E380" s="17">
        <f t="shared" si="15"/>
        <v>24</v>
      </c>
      <c r="F380" s="17">
        <f t="shared" si="16"/>
        <v>1</v>
      </c>
      <c r="G380" s="22">
        <v>36.612903225806448</v>
      </c>
      <c r="H380" s="13"/>
      <c r="I380" s="81">
        <f t="shared" ca="1" si="17"/>
        <v>27.68292682926829</v>
      </c>
      <c r="J380" s="13"/>
    </row>
    <row r="381" spans="1:10">
      <c r="A381" s="19" t="str">
        <f>'Raw Data'!R51</f>
        <v>Games</v>
      </c>
      <c r="B381" s="6" t="str">
        <f>'Raw Data'!S51</f>
        <v>Carol</v>
      </c>
      <c r="C381" s="20">
        <f>'Raw Data'!U51</f>
        <v>1893</v>
      </c>
      <c r="D381" s="21">
        <f>'Raw Data'!V51</f>
        <v>43032</v>
      </c>
      <c r="E381" s="17">
        <f t="shared" si="15"/>
        <v>24</v>
      </c>
      <c r="F381" s="17">
        <f t="shared" si="16"/>
        <v>1</v>
      </c>
      <c r="G381" s="22">
        <v>32.637931034482762</v>
      </c>
      <c r="H381" s="13"/>
      <c r="I381" s="81">
        <f t="shared" ca="1" si="17"/>
        <v>28.466165413533833</v>
      </c>
      <c r="J381" s="13"/>
    </row>
    <row r="382" spans="1:10">
      <c r="A382" s="19" t="str">
        <f>'Raw Data'!R168</f>
        <v>Music</v>
      </c>
      <c r="B382" s="6" t="str">
        <f>'Raw Data'!S168</f>
        <v>Carol</v>
      </c>
      <c r="C382" s="20">
        <f>'Raw Data'!U168</f>
        <v>0</v>
      </c>
      <c r="D382" s="21">
        <f>'Raw Data'!V168</f>
        <v>43032</v>
      </c>
      <c r="E382" s="17">
        <f t="shared" si="15"/>
        <v>24</v>
      </c>
      <c r="F382" s="17">
        <f t="shared" si="16"/>
        <v>0</v>
      </c>
      <c r="G382" s="22">
        <v>0</v>
      </c>
      <c r="H382" s="13"/>
      <c r="I382" s="81">
        <f t="shared" ca="1" si="17"/>
        <v>0</v>
      </c>
      <c r="J382" s="13"/>
    </row>
    <row r="383" spans="1:10">
      <c r="A383" s="19" t="str">
        <f>'Raw Data'!R185</f>
        <v>Books</v>
      </c>
      <c r="B383" s="6" t="str">
        <f>'Raw Data'!S185</f>
        <v>Carol</v>
      </c>
      <c r="C383" s="20">
        <f>'Raw Data'!U185</f>
        <v>767</v>
      </c>
      <c r="D383" s="21">
        <f>'Raw Data'!V185</f>
        <v>43032</v>
      </c>
      <c r="E383" s="17">
        <f t="shared" si="15"/>
        <v>24</v>
      </c>
      <c r="F383" s="17">
        <f t="shared" si="16"/>
        <v>1</v>
      </c>
      <c r="G383" s="22">
        <v>73.047619047619051</v>
      </c>
      <c r="H383" s="13"/>
      <c r="I383" s="81">
        <f t="shared" ca="1" si="17"/>
        <v>61.854838709677416</v>
      </c>
      <c r="J383" s="13"/>
    </row>
    <row r="384" spans="1:10">
      <c r="A384" s="19" t="str">
        <f>'Raw Data'!R80</f>
        <v>Clothing</v>
      </c>
      <c r="B384" s="6" t="str">
        <f>'Raw Data'!S80</f>
        <v>David</v>
      </c>
      <c r="C384" s="20">
        <f>'Raw Data'!U80</f>
        <v>0</v>
      </c>
      <c r="D384" s="21">
        <f>'Raw Data'!V80</f>
        <v>43032</v>
      </c>
      <c r="E384" s="17">
        <f t="shared" si="15"/>
        <v>24</v>
      </c>
      <c r="F384" s="17">
        <f t="shared" si="16"/>
        <v>0</v>
      </c>
      <c r="G384" s="22">
        <v>0</v>
      </c>
      <c r="H384" s="13"/>
      <c r="I384" s="81">
        <f t="shared" ca="1" si="17"/>
        <v>0</v>
      </c>
      <c r="J384" s="13"/>
    </row>
    <row r="385" spans="1:10">
      <c r="A385" s="19" t="str">
        <f>'Raw Data'!R109</f>
        <v>Books</v>
      </c>
      <c r="B385" s="6" t="str">
        <f>'Raw Data'!S109</f>
        <v>David</v>
      </c>
      <c r="C385" s="20">
        <f>'Raw Data'!U109</f>
        <v>528</v>
      </c>
      <c r="D385" s="21">
        <f>'Raw Data'!V109</f>
        <v>43032</v>
      </c>
      <c r="E385" s="17">
        <f t="shared" si="15"/>
        <v>24</v>
      </c>
      <c r="F385" s="17">
        <f t="shared" si="16"/>
        <v>1</v>
      </c>
      <c r="G385" s="22">
        <v>45.913043478260867</v>
      </c>
      <c r="H385" s="13"/>
      <c r="I385" s="81">
        <f t="shared" ca="1" si="17"/>
        <v>35.436241610738257</v>
      </c>
      <c r="J385" s="13"/>
    </row>
    <row r="386" spans="1:10">
      <c r="A386" s="19" t="str">
        <f>'Raw Data'!R116</f>
        <v>Music</v>
      </c>
      <c r="B386" s="6" t="str">
        <f>'Raw Data'!S116</f>
        <v>David</v>
      </c>
      <c r="C386" s="20">
        <f>'Raw Data'!U116</f>
        <v>965</v>
      </c>
      <c r="D386" s="21">
        <f>'Raw Data'!V116</f>
        <v>43032</v>
      </c>
      <c r="E386" s="17">
        <f t="shared" si="15"/>
        <v>24</v>
      </c>
      <c r="F386" s="17">
        <f t="shared" si="16"/>
        <v>1</v>
      </c>
      <c r="G386" s="22">
        <v>288.05970149253733</v>
      </c>
      <c r="H386" s="13"/>
      <c r="I386" s="81">
        <f t="shared" ca="1" si="17"/>
        <v>136.87943262411349</v>
      </c>
      <c r="J386" s="13"/>
    </row>
    <row r="387" spans="1:10">
      <c r="A387" s="19" t="str">
        <f>'Raw Data'!R360</f>
        <v>Games</v>
      </c>
      <c r="B387" s="6" t="str">
        <f>'Raw Data'!S360</f>
        <v>David</v>
      </c>
      <c r="C387" s="20">
        <f>'Raw Data'!U360</f>
        <v>0</v>
      </c>
      <c r="D387" s="21">
        <f>'Raw Data'!V360</f>
        <v>43032</v>
      </c>
      <c r="E387" s="17">
        <f t="shared" si="15"/>
        <v>24</v>
      </c>
      <c r="F387" s="17">
        <f t="shared" si="16"/>
        <v>0</v>
      </c>
      <c r="G387" s="22">
        <v>0</v>
      </c>
      <c r="H387" s="13"/>
      <c r="I387" s="81">
        <f t="shared" ca="1" si="17"/>
        <v>0</v>
      </c>
      <c r="J387" s="13"/>
    </row>
    <row r="388" spans="1:10">
      <c r="A388" s="19" t="str">
        <f>'Raw Data'!R56</f>
        <v>Games</v>
      </c>
      <c r="B388" s="6" t="str">
        <f>'Raw Data'!S56</f>
        <v>Alice</v>
      </c>
      <c r="C388" s="20">
        <f>'Raw Data'!U56</f>
        <v>2406</v>
      </c>
      <c r="D388" s="21">
        <f>'Raw Data'!V56</f>
        <v>43033</v>
      </c>
      <c r="E388" s="17">
        <f t="shared" si="15"/>
        <v>25</v>
      </c>
      <c r="F388" s="17">
        <f t="shared" si="16"/>
        <v>1</v>
      </c>
      <c r="G388" s="22">
        <v>74.030769230769238</v>
      </c>
      <c r="H388" s="13"/>
      <c r="I388" s="81">
        <f t="shared" ca="1" si="17"/>
        <v>78.885245901639351</v>
      </c>
      <c r="J388" s="13"/>
    </row>
    <row r="389" spans="1:10">
      <c r="A389" s="19" t="str">
        <f>'Raw Data'!R78</f>
        <v>Clothing</v>
      </c>
      <c r="B389" s="6" t="str">
        <f>'Raw Data'!S78</f>
        <v>Alice</v>
      </c>
      <c r="C389" s="20">
        <f>'Raw Data'!U78</f>
        <v>729</v>
      </c>
      <c r="D389" s="21">
        <f>'Raw Data'!V78</f>
        <v>43033</v>
      </c>
      <c r="E389" s="17">
        <f t="shared" ref="E389:E452" si="18">DAY(D389)</f>
        <v>25</v>
      </c>
      <c r="F389" s="17">
        <f t="shared" ref="F389:F452" si="19">IF(C389=0,0,1)</f>
        <v>1</v>
      </c>
      <c r="G389" s="22">
        <v>25.851063829787236</v>
      </c>
      <c r="H389" s="13"/>
      <c r="I389" s="81">
        <f t="shared" ref="I389:I452" ca="1" si="20">C389/(INDEX($L$4:$L$7,MATCH(A389,$K$4:$K$7,0))*(1+RANDBETWEEN(-50,50)/100))</f>
        <v>27.613636363636367</v>
      </c>
      <c r="J389" s="13"/>
    </row>
    <row r="390" spans="1:10">
      <c r="A390" s="19" t="str">
        <f>'Raw Data'!R412</f>
        <v>Music</v>
      </c>
      <c r="B390" s="6" t="str">
        <f>'Raw Data'!S412</f>
        <v>Alice</v>
      </c>
      <c r="C390" s="20">
        <f>'Raw Data'!U412</f>
        <v>1069</v>
      </c>
      <c r="D390" s="21">
        <f>'Raw Data'!V412</f>
        <v>43033</v>
      </c>
      <c r="E390" s="17">
        <f t="shared" si="18"/>
        <v>25</v>
      </c>
      <c r="F390" s="17">
        <f t="shared" si="19"/>
        <v>1</v>
      </c>
      <c r="G390" s="22">
        <v>344.83870967741933</v>
      </c>
      <c r="H390" s="13"/>
      <c r="I390" s="81">
        <f t="shared" ca="1" si="20"/>
        <v>181.18644067796612</v>
      </c>
      <c r="J390" s="13"/>
    </row>
    <row r="391" spans="1:10">
      <c r="A391" s="19" t="str">
        <f>'Raw Data'!R434</f>
        <v>Books</v>
      </c>
      <c r="B391" s="6" t="str">
        <f>'Raw Data'!S434</f>
        <v>Alice</v>
      </c>
      <c r="C391" s="20">
        <f>'Raw Data'!U434</f>
        <v>0</v>
      </c>
      <c r="D391" s="21">
        <f>'Raw Data'!V434</f>
        <v>43033</v>
      </c>
      <c r="E391" s="17">
        <f t="shared" si="18"/>
        <v>25</v>
      </c>
      <c r="F391" s="17">
        <f t="shared" si="19"/>
        <v>0</v>
      </c>
      <c r="G391" s="22">
        <v>0</v>
      </c>
      <c r="H391" s="13"/>
      <c r="I391" s="81">
        <f t="shared" ca="1" si="20"/>
        <v>0</v>
      </c>
      <c r="J391" s="13"/>
    </row>
    <row r="392" spans="1:10">
      <c r="A392" s="19" t="str">
        <f>'Raw Data'!R22</f>
        <v>Clothing</v>
      </c>
      <c r="B392" s="6" t="str">
        <f>'Raw Data'!S22</f>
        <v>Barney</v>
      </c>
      <c r="C392" s="20">
        <f>'Raw Data'!U22</f>
        <v>801</v>
      </c>
      <c r="D392" s="21">
        <f>'Raw Data'!V22</f>
        <v>43033</v>
      </c>
      <c r="E392" s="17">
        <f t="shared" si="18"/>
        <v>25</v>
      </c>
      <c r="F392" s="17">
        <f t="shared" si="19"/>
        <v>1</v>
      </c>
      <c r="G392" s="22">
        <v>31.046511627906977</v>
      </c>
      <c r="H392" s="13"/>
      <c r="I392" s="81">
        <f t="shared" ca="1" si="20"/>
        <v>19.632352941176471</v>
      </c>
      <c r="J392" s="13"/>
    </row>
    <row r="393" spans="1:10">
      <c r="A393" s="19" t="str">
        <f>'Raw Data'!R139</f>
        <v>Games</v>
      </c>
      <c r="B393" s="6" t="str">
        <f>'Raw Data'!S139</f>
        <v>Barney</v>
      </c>
      <c r="C393" s="20">
        <f>'Raw Data'!U139</f>
        <v>0</v>
      </c>
      <c r="D393" s="21">
        <f>'Raw Data'!V139</f>
        <v>43033</v>
      </c>
      <c r="E393" s="17">
        <f t="shared" si="18"/>
        <v>25</v>
      </c>
      <c r="F393" s="17">
        <f t="shared" si="19"/>
        <v>0</v>
      </c>
      <c r="G393" s="22">
        <v>0</v>
      </c>
      <c r="H393" s="13"/>
      <c r="I393" s="81">
        <f t="shared" ca="1" si="20"/>
        <v>0</v>
      </c>
      <c r="J393" s="13"/>
    </row>
    <row r="394" spans="1:10">
      <c r="A394" s="19" t="str">
        <f>'Raw Data'!R238</f>
        <v>Music</v>
      </c>
      <c r="B394" s="6" t="str">
        <f>'Raw Data'!S238</f>
        <v>Barney</v>
      </c>
      <c r="C394" s="20">
        <f>'Raw Data'!U238</f>
        <v>981</v>
      </c>
      <c r="D394" s="21">
        <f>'Raw Data'!V238</f>
        <v>43033</v>
      </c>
      <c r="E394" s="17">
        <f t="shared" si="18"/>
        <v>25</v>
      </c>
      <c r="F394" s="17">
        <f t="shared" si="19"/>
        <v>1</v>
      </c>
      <c r="G394" s="22">
        <v>145.33333333333334</v>
      </c>
      <c r="H394" s="13"/>
      <c r="I394" s="81">
        <f t="shared" ca="1" si="20"/>
        <v>288.52941176470591</v>
      </c>
      <c r="J394" s="13"/>
    </row>
    <row r="395" spans="1:10">
      <c r="A395" s="19" t="str">
        <f>'Raw Data'!R453</f>
        <v>Books</v>
      </c>
      <c r="B395" s="6" t="str">
        <f>'Raw Data'!S453</f>
        <v>Barney</v>
      </c>
      <c r="C395" s="20">
        <f>'Raw Data'!U453</f>
        <v>838</v>
      </c>
      <c r="D395" s="21">
        <f>'Raw Data'!V453</f>
        <v>43033</v>
      </c>
      <c r="E395" s="17">
        <f t="shared" si="18"/>
        <v>25</v>
      </c>
      <c r="F395" s="17">
        <f t="shared" si="19"/>
        <v>1</v>
      </c>
      <c r="G395" s="22">
        <v>108.83116883116882</v>
      </c>
      <c r="H395" s="13"/>
      <c r="I395" s="81">
        <f t="shared" ca="1" si="20"/>
        <v>77.592592592592581</v>
      </c>
      <c r="J395" s="13"/>
    </row>
    <row r="396" spans="1:10">
      <c r="A396" s="19" t="str">
        <f>'Raw Data'!R16</f>
        <v>Clothing</v>
      </c>
      <c r="B396" s="6" t="str">
        <f>'Raw Data'!S16</f>
        <v>Carol</v>
      </c>
      <c r="C396" s="20">
        <f>'Raw Data'!U16</f>
        <v>1213</v>
      </c>
      <c r="D396" s="21">
        <f>'Raw Data'!V16</f>
        <v>43033</v>
      </c>
      <c r="E396" s="17">
        <f t="shared" si="18"/>
        <v>25</v>
      </c>
      <c r="F396" s="17">
        <f t="shared" si="19"/>
        <v>1</v>
      </c>
      <c r="G396" s="22">
        <v>50.541666666666664</v>
      </c>
      <c r="H396" s="13"/>
      <c r="I396" s="81">
        <f t="shared" ca="1" si="20"/>
        <v>50.541666666666664</v>
      </c>
      <c r="J396" s="13"/>
    </row>
    <row r="397" spans="1:10">
      <c r="A397" s="19" t="str">
        <f>'Raw Data'!R102</f>
        <v>Games</v>
      </c>
      <c r="B397" s="6" t="str">
        <f>'Raw Data'!S102</f>
        <v>Carol</v>
      </c>
      <c r="C397" s="20">
        <f>'Raw Data'!U102</f>
        <v>2083</v>
      </c>
      <c r="D397" s="21">
        <f>'Raw Data'!V102</f>
        <v>43033</v>
      </c>
      <c r="E397" s="17">
        <f t="shared" si="18"/>
        <v>25</v>
      </c>
      <c r="F397" s="17">
        <f t="shared" si="19"/>
        <v>1</v>
      </c>
      <c r="G397" s="22">
        <v>69.433333333333337</v>
      </c>
      <c r="H397" s="13"/>
      <c r="I397" s="81">
        <f t="shared" ca="1" si="20"/>
        <v>34.429752066115704</v>
      </c>
      <c r="J397" s="13"/>
    </row>
    <row r="398" spans="1:10">
      <c r="A398" s="19" t="str">
        <f>'Raw Data'!R478</f>
        <v>Music</v>
      </c>
      <c r="B398" s="6" t="str">
        <f>'Raw Data'!S478</f>
        <v>Carol</v>
      </c>
      <c r="C398" s="20">
        <f>'Raw Data'!U478</f>
        <v>1496</v>
      </c>
      <c r="D398" s="21">
        <f>'Raw Data'!V478</f>
        <v>43033</v>
      </c>
      <c r="E398" s="17">
        <f t="shared" si="18"/>
        <v>25</v>
      </c>
      <c r="F398" s="17">
        <f t="shared" si="19"/>
        <v>1</v>
      </c>
      <c r="G398" s="22">
        <v>230.15384615384616</v>
      </c>
      <c r="H398" s="13"/>
      <c r="I398" s="81">
        <f t="shared" ca="1" si="20"/>
        <v>255.72649572649576</v>
      </c>
      <c r="J398" s="13"/>
    </row>
    <row r="399" spans="1:10">
      <c r="A399" s="19" t="str">
        <f>'Raw Data'!R487</f>
        <v>Books</v>
      </c>
      <c r="B399" s="6" t="str">
        <f>'Raw Data'!S487</f>
        <v>Carol</v>
      </c>
      <c r="C399" s="20">
        <f>'Raw Data'!U487</f>
        <v>515</v>
      </c>
      <c r="D399" s="21">
        <f>'Raw Data'!V487</f>
        <v>43033</v>
      </c>
      <c r="E399" s="17">
        <f t="shared" si="18"/>
        <v>25</v>
      </c>
      <c r="F399" s="17">
        <f t="shared" si="19"/>
        <v>1</v>
      </c>
      <c r="G399" s="22">
        <v>41.2</v>
      </c>
      <c r="H399" s="13"/>
      <c r="I399" s="81">
        <f t="shared" ca="1" si="20"/>
        <v>40.551181102362207</v>
      </c>
      <c r="J399" s="13"/>
    </row>
    <row r="400" spans="1:10">
      <c r="A400" s="19" t="str">
        <f>'Raw Data'!R81</f>
        <v>Games</v>
      </c>
      <c r="B400" s="6" t="str">
        <f>'Raw Data'!S81</f>
        <v>David</v>
      </c>
      <c r="C400" s="20">
        <f>'Raw Data'!U81</f>
        <v>1409</v>
      </c>
      <c r="D400" s="21">
        <f>'Raw Data'!V81</f>
        <v>43033</v>
      </c>
      <c r="E400" s="17">
        <f t="shared" si="18"/>
        <v>25</v>
      </c>
      <c r="F400" s="17">
        <f t="shared" si="19"/>
        <v>1</v>
      </c>
      <c r="G400" s="22">
        <v>26.838095238095239</v>
      </c>
      <c r="H400" s="13"/>
      <c r="I400" s="81">
        <f t="shared" ca="1" si="20"/>
        <v>41.441176470588232</v>
      </c>
      <c r="J400" s="13"/>
    </row>
    <row r="401" spans="1:10">
      <c r="A401" s="19" t="str">
        <f>'Raw Data'!R113</f>
        <v>Music</v>
      </c>
      <c r="B401" s="6" t="str">
        <f>'Raw Data'!S113</f>
        <v>David</v>
      </c>
      <c r="C401" s="20">
        <f>'Raw Data'!U113</f>
        <v>1179</v>
      </c>
      <c r="D401" s="21">
        <f>'Raw Data'!V113</f>
        <v>43033</v>
      </c>
      <c r="E401" s="17">
        <f t="shared" si="18"/>
        <v>25</v>
      </c>
      <c r="F401" s="17">
        <f t="shared" si="19"/>
        <v>1</v>
      </c>
      <c r="G401" s="22">
        <v>177.29323308270676</v>
      </c>
      <c r="H401" s="13"/>
      <c r="I401" s="81">
        <f t="shared" ca="1" si="20"/>
        <v>291.11111111111109</v>
      </c>
      <c r="J401" s="13"/>
    </row>
    <row r="402" spans="1:10">
      <c r="A402" s="19" t="str">
        <f>'Raw Data'!R213</f>
        <v>Clothing</v>
      </c>
      <c r="B402" s="6" t="str">
        <f>'Raw Data'!S213</f>
        <v>David</v>
      </c>
      <c r="C402" s="20">
        <f>'Raw Data'!U213</f>
        <v>0</v>
      </c>
      <c r="D402" s="21">
        <f>'Raw Data'!V213</f>
        <v>43033</v>
      </c>
      <c r="E402" s="17">
        <f t="shared" si="18"/>
        <v>25</v>
      </c>
      <c r="F402" s="17">
        <f t="shared" si="19"/>
        <v>0</v>
      </c>
      <c r="G402" s="22">
        <v>0</v>
      </c>
      <c r="H402" s="13"/>
      <c r="I402" s="81">
        <f t="shared" ca="1" si="20"/>
        <v>0</v>
      </c>
      <c r="J402" s="13"/>
    </row>
    <row r="403" spans="1:10">
      <c r="A403" s="19" t="str">
        <f>'Raw Data'!R276</f>
        <v>Books</v>
      </c>
      <c r="B403" s="6" t="str">
        <f>'Raw Data'!S276</f>
        <v>David</v>
      </c>
      <c r="C403" s="20">
        <f>'Raw Data'!U276</f>
        <v>749</v>
      </c>
      <c r="D403" s="21">
        <f>'Raw Data'!V276</f>
        <v>43033</v>
      </c>
      <c r="E403" s="17">
        <f t="shared" si="18"/>
        <v>25</v>
      </c>
      <c r="F403" s="17">
        <f t="shared" si="19"/>
        <v>1</v>
      </c>
      <c r="G403" s="22">
        <v>83.222222222222229</v>
      </c>
      <c r="H403" s="13"/>
      <c r="I403" s="81">
        <f t="shared" ca="1" si="20"/>
        <v>68.090909090909093</v>
      </c>
      <c r="J403" s="13"/>
    </row>
    <row r="404" spans="1:10">
      <c r="A404" s="19" t="str">
        <f>'Raw Data'!R174</f>
        <v>Clothing</v>
      </c>
      <c r="B404" s="6" t="str">
        <f>'Raw Data'!S174</f>
        <v>Alice</v>
      </c>
      <c r="C404" s="20">
        <f>'Raw Data'!U174</f>
        <v>1243</v>
      </c>
      <c r="D404" s="21">
        <f>'Raw Data'!V174</f>
        <v>43034</v>
      </c>
      <c r="E404" s="17">
        <f t="shared" si="18"/>
        <v>26</v>
      </c>
      <c r="F404" s="17">
        <f t="shared" si="19"/>
        <v>1</v>
      </c>
      <c r="G404" s="22">
        <v>48.178294573643413</v>
      </c>
      <c r="H404" s="13"/>
      <c r="I404" s="81">
        <f t="shared" ca="1" si="20"/>
        <v>31.388888888888889</v>
      </c>
      <c r="J404" s="13"/>
    </row>
    <row r="405" spans="1:10">
      <c r="A405" s="19" t="str">
        <f>'Raw Data'!R278</f>
        <v>Music</v>
      </c>
      <c r="B405" s="6" t="str">
        <f>'Raw Data'!S278</f>
        <v>Alice</v>
      </c>
      <c r="C405" s="20">
        <f>'Raw Data'!U278</f>
        <v>1330</v>
      </c>
      <c r="D405" s="21">
        <f>'Raw Data'!V278</f>
        <v>43034</v>
      </c>
      <c r="E405" s="17">
        <f t="shared" si="18"/>
        <v>26</v>
      </c>
      <c r="F405" s="17">
        <f t="shared" si="19"/>
        <v>1</v>
      </c>
      <c r="G405" s="22">
        <v>450.84745762711862</v>
      </c>
      <c r="H405" s="13"/>
      <c r="I405" s="81">
        <f t="shared" ca="1" si="20"/>
        <v>218.03278688524591</v>
      </c>
      <c r="J405" s="13"/>
    </row>
    <row r="406" spans="1:10">
      <c r="A406" s="19" t="str">
        <f>'Raw Data'!R307</f>
        <v>Books</v>
      </c>
      <c r="B406" s="6" t="str">
        <f>'Raw Data'!S307</f>
        <v>Alice</v>
      </c>
      <c r="C406" s="20">
        <f>'Raw Data'!U307</f>
        <v>950</v>
      </c>
      <c r="D406" s="21">
        <f>'Raw Data'!V307</f>
        <v>43034</v>
      </c>
      <c r="E406" s="17">
        <f t="shared" si="18"/>
        <v>26</v>
      </c>
      <c r="F406" s="17">
        <f t="shared" si="19"/>
        <v>1</v>
      </c>
      <c r="G406" s="22">
        <v>68.840579710144937</v>
      </c>
      <c r="H406" s="13"/>
      <c r="I406" s="81">
        <f t="shared" ca="1" si="20"/>
        <v>74.803149606299215</v>
      </c>
      <c r="J406" s="13"/>
    </row>
    <row r="407" spans="1:10">
      <c r="A407" s="19" t="str">
        <f>'Raw Data'!R323</f>
        <v>Games</v>
      </c>
      <c r="B407" s="6" t="str">
        <f>'Raw Data'!S323</f>
        <v>Alice</v>
      </c>
      <c r="C407" s="20">
        <f>'Raw Data'!U323</f>
        <v>0</v>
      </c>
      <c r="D407" s="21">
        <f>'Raw Data'!V323</f>
        <v>43034</v>
      </c>
      <c r="E407" s="17">
        <f t="shared" si="18"/>
        <v>26</v>
      </c>
      <c r="F407" s="17">
        <f t="shared" si="19"/>
        <v>0</v>
      </c>
      <c r="G407" s="22">
        <v>0</v>
      </c>
      <c r="H407" s="13"/>
      <c r="I407" s="81">
        <f t="shared" ca="1" si="20"/>
        <v>0</v>
      </c>
      <c r="J407" s="13"/>
    </row>
    <row r="408" spans="1:10">
      <c r="A408" s="19" t="str">
        <f>'Raw Data'!R8</f>
        <v>Books</v>
      </c>
      <c r="B408" s="6" t="str">
        <f>'Raw Data'!S8</f>
        <v>Barney</v>
      </c>
      <c r="C408" s="20">
        <f>'Raw Data'!U8</f>
        <v>740</v>
      </c>
      <c r="D408" s="21">
        <f>'Raw Data'!V8</f>
        <v>43034</v>
      </c>
      <c r="E408" s="17">
        <f t="shared" si="18"/>
        <v>26</v>
      </c>
      <c r="F408" s="17">
        <f t="shared" si="19"/>
        <v>1</v>
      </c>
      <c r="G408" s="22">
        <v>59.2</v>
      </c>
      <c r="H408" s="13"/>
      <c r="I408" s="81">
        <f t="shared" ca="1" si="20"/>
        <v>50.34013605442177</v>
      </c>
      <c r="J408" s="13"/>
    </row>
    <row r="409" spans="1:10">
      <c r="A409" s="19" t="str">
        <f>'Raw Data'!R111</f>
        <v>Games</v>
      </c>
      <c r="B409" s="6" t="str">
        <f>'Raw Data'!S111</f>
        <v>Barney</v>
      </c>
      <c r="C409" s="20">
        <f>'Raw Data'!U111</f>
        <v>1752</v>
      </c>
      <c r="D409" s="21">
        <f>'Raw Data'!V111</f>
        <v>43034</v>
      </c>
      <c r="E409" s="17">
        <f t="shared" si="18"/>
        <v>26</v>
      </c>
      <c r="F409" s="17">
        <f t="shared" si="19"/>
        <v>1</v>
      </c>
      <c r="G409" s="22">
        <v>23.675675675675677</v>
      </c>
      <c r="H409" s="13"/>
      <c r="I409" s="81">
        <f t="shared" ca="1" si="20"/>
        <v>45.506493506493506</v>
      </c>
      <c r="J409" s="13"/>
    </row>
    <row r="410" spans="1:10">
      <c r="A410" s="19" t="str">
        <f>'Raw Data'!R135</f>
        <v>Music</v>
      </c>
      <c r="B410" s="6" t="str">
        <f>'Raw Data'!S135</f>
        <v>Barney</v>
      </c>
      <c r="C410" s="20">
        <f>'Raw Data'!U135</f>
        <v>1404</v>
      </c>
      <c r="D410" s="21">
        <f>'Raw Data'!V135</f>
        <v>43034</v>
      </c>
      <c r="E410" s="17">
        <f t="shared" si="18"/>
        <v>26</v>
      </c>
      <c r="F410" s="17">
        <f t="shared" si="19"/>
        <v>1</v>
      </c>
      <c r="G410" s="22">
        <v>192.32876712328766</v>
      </c>
      <c r="H410" s="13"/>
      <c r="I410" s="81">
        <f t="shared" ca="1" si="20"/>
        <v>550.58823529411768</v>
      </c>
      <c r="J410" s="13"/>
    </row>
    <row r="411" spans="1:10">
      <c r="A411" s="19" t="str">
        <f>'Raw Data'!R335</f>
        <v>Clothing</v>
      </c>
      <c r="B411" s="6" t="str">
        <f>'Raw Data'!S335</f>
        <v>Barney</v>
      </c>
      <c r="C411" s="20">
        <f>'Raw Data'!U335</f>
        <v>1793</v>
      </c>
      <c r="D411" s="21">
        <f>'Raw Data'!V335</f>
        <v>43034</v>
      </c>
      <c r="E411" s="17">
        <f t="shared" si="18"/>
        <v>26</v>
      </c>
      <c r="F411" s="17">
        <f t="shared" si="19"/>
        <v>1</v>
      </c>
      <c r="G411" s="22">
        <v>44.937343358395985</v>
      </c>
      <c r="H411" s="13"/>
      <c r="I411" s="81">
        <f t="shared" ca="1" si="20"/>
        <v>45.623409669211192</v>
      </c>
      <c r="J411" s="13"/>
    </row>
    <row r="412" spans="1:10">
      <c r="A412" s="19" t="str">
        <f>'Raw Data'!R20</f>
        <v>Clothing</v>
      </c>
      <c r="B412" s="6" t="str">
        <f>'Raw Data'!S20</f>
        <v>Carol</v>
      </c>
      <c r="C412" s="20">
        <f>'Raw Data'!U20</f>
        <v>0</v>
      </c>
      <c r="D412" s="21">
        <f>'Raw Data'!V20</f>
        <v>43034</v>
      </c>
      <c r="E412" s="17">
        <f t="shared" si="18"/>
        <v>26</v>
      </c>
      <c r="F412" s="17">
        <f t="shared" si="19"/>
        <v>0</v>
      </c>
      <c r="G412" s="22">
        <v>0</v>
      </c>
      <c r="H412" s="13"/>
      <c r="I412" s="81">
        <f t="shared" ca="1" si="20"/>
        <v>0</v>
      </c>
      <c r="J412" s="13"/>
    </row>
    <row r="413" spans="1:10">
      <c r="A413" s="19" t="str">
        <f>'Raw Data'!R152</f>
        <v>Games</v>
      </c>
      <c r="B413" s="6" t="str">
        <f>'Raw Data'!S152</f>
        <v>Carol</v>
      </c>
      <c r="C413" s="20">
        <f>'Raw Data'!U152</f>
        <v>1050</v>
      </c>
      <c r="D413" s="21">
        <f>'Raw Data'!V152</f>
        <v>43034</v>
      </c>
      <c r="E413" s="17">
        <f t="shared" si="18"/>
        <v>26</v>
      </c>
      <c r="F413" s="17">
        <f t="shared" si="19"/>
        <v>1</v>
      </c>
      <c r="G413" s="22">
        <v>14.685314685314685</v>
      </c>
      <c r="H413" s="13"/>
      <c r="I413" s="81">
        <f t="shared" ca="1" si="20"/>
        <v>38.18181818181818</v>
      </c>
      <c r="J413" s="13"/>
    </row>
    <row r="414" spans="1:10">
      <c r="A414" s="19" t="str">
        <f>'Raw Data'!R259</f>
        <v>Music</v>
      </c>
      <c r="B414" s="6" t="str">
        <f>'Raw Data'!S259</f>
        <v>Carol</v>
      </c>
      <c r="C414" s="20">
        <f>'Raw Data'!U259</f>
        <v>0</v>
      </c>
      <c r="D414" s="21">
        <f>'Raw Data'!V259</f>
        <v>43034</v>
      </c>
      <c r="E414" s="17">
        <f t="shared" si="18"/>
        <v>26</v>
      </c>
      <c r="F414" s="17">
        <f t="shared" si="19"/>
        <v>0</v>
      </c>
      <c r="G414" s="22">
        <v>0</v>
      </c>
      <c r="H414" s="13"/>
      <c r="I414" s="81">
        <f t="shared" ca="1" si="20"/>
        <v>0</v>
      </c>
      <c r="J414" s="13"/>
    </row>
    <row r="415" spans="1:10">
      <c r="A415" s="19" t="str">
        <f>'Raw Data'!R393</f>
        <v>Books</v>
      </c>
      <c r="B415" s="6" t="str">
        <f>'Raw Data'!S393</f>
        <v>Carol</v>
      </c>
      <c r="C415" s="20">
        <f>'Raw Data'!U393</f>
        <v>686</v>
      </c>
      <c r="D415" s="21">
        <f>'Raw Data'!V393</f>
        <v>43034</v>
      </c>
      <c r="E415" s="17">
        <f t="shared" si="18"/>
        <v>26</v>
      </c>
      <c r="F415" s="17">
        <f t="shared" si="19"/>
        <v>1</v>
      </c>
      <c r="G415" s="22">
        <v>54.88</v>
      </c>
      <c r="H415" s="13"/>
      <c r="I415" s="81">
        <f t="shared" ca="1" si="20"/>
        <v>102.38805970149255</v>
      </c>
      <c r="J415" s="13"/>
    </row>
    <row r="416" spans="1:10">
      <c r="A416" s="19" t="str">
        <f>'Raw Data'!R29</f>
        <v>Clothing</v>
      </c>
      <c r="B416" s="6" t="str">
        <f>'Raw Data'!S29</f>
        <v>David</v>
      </c>
      <c r="C416" s="20">
        <f>'Raw Data'!U29</f>
        <v>1044</v>
      </c>
      <c r="D416" s="21">
        <f>'Raw Data'!V29</f>
        <v>43034</v>
      </c>
      <c r="E416" s="17">
        <f t="shared" si="18"/>
        <v>26</v>
      </c>
      <c r="F416" s="17">
        <f t="shared" si="19"/>
        <v>1</v>
      </c>
      <c r="G416" s="22">
        <v>31.351351351351347</v>
      </c>
      <c r="H416" s="13"/>
      <c r="I416" s="81">
        <f t="shared" ca="1" si="20"/>
        <v>23.673469387755102</v>
      </c>
      <c r="J416" s="13"/>
    </row>
    <row r="417" spans="1:10">
      <c r="A417" s="19" t="str">
        <f>'Raw Data'!R54</f>
        <v>Music</v>
      </c>
      <c r="B417" s="6" t="str">
        <f>'Raw Data'!S54</f>
        <v>David</v>
      </c>
      <c r="C417" s="20">
        <f>'Raw Data'!U54</f>
        <v>1288</v>
      </c>
      <c r="D417" s="21">
        <f>'Raw Data'!V54</f>
        <v>43034</v>
      </c>
      <c r="E417" s="17">
        <f t="shared" si="18"/>
        <v>26</v>
      </c>
      <c r="F417" s="17">
        <f t="shared" si="19"/>
        <v>1</v>
      </c>
      <c r="G417" s="22">
        <v>444.13793103448268</v>
      </c>
      <c r="H417" s="13"/>
      <c r="I417" s="81">
        <f t="shared" ca="1" si="20"/>
        <v>218.30508474576274</v>
      </c>
      <c r="J417" s="13"/>
    </row>
    <row r="418" spans="1:10">
      <c r="A418" s="19" t="str">
        <f>'Raw Data'!R63</f>
        <v>Games</v>
      </c>
      <c r="B418" s="6" t="str">
        <f>'Raw Data'!S63</f>
        <v>David</v>
      </c>
      <c r="C418" s="20">
        <f>'Raw Data'!U63</f>
        <v>1466</v>
      </c>
      <c r="D418" s="21">
        <f>'Raw Data'!V63</f>
        <v>43034</v>
      </c>
      <c r="E418" s="17">
        <f t="shared" si="18"/>
        <v>26</v>
      </c>
      <c r="F418" s="17">
        <f t="shared" si="19"/>
        <v>1</v>
      </c>
      <c r="G418" s="22">
        <v>24.032786885245901</v>
      </c>
      <c r="H418" s="13"/>
      <c r="I418" s="81">
        <f t="shared" ca="1" si="20"/>
        <v>21.718518518518518</v>
      </c>
      <c r="J418" s="13"/>
    </row>
    <row r="419" spans="1:10">
      <c r="A419" s="19" t="str">
        <f>'Raw Data'!R413</f>
        <v>Books</v>
      </c>
      <c r="B419" s="6" t="str">
        <f>'Raw Data'!S413</f>
        <v>David</v>
      </c>
      <c r="C419" s="20">
        <f>'Raw Data'!U413</f>
        <v>837</v>
      </c>
      <c r="D419" s="21">
        <f>'Raw Data'!V413</f>
        <v>43034</v>
      </c>
      <c r="E419" s="17">
        <f t="shared" si="18"/>
        <v>26</v>
      </c>
      <c r="F419" s="17">
        <f t="shared" si="19"/>
        <v>1</v>
      </c>
      <c r="G419" s="22">
        <v>77.5</v>
      </c>
      <c r="H419" s="13"/>
      <c r="I419" s="81">
        <f t="shared" ca="1" si="20"/>
        <v>64.384615384615387</v>
      </c>
      <c r="J419" s="13"/>
    </row>
    <row r="420" spans="1:10">
      <c r="A420" s="19" t="str">
        <f>'Raw Data'!R32</f>
        <v>Games</v>
      </c>
      <c r="B420" s="6" t="str">
        <f>'Raw Data'!S32</f>
        <v>Alice</v>
      </c>
      <c r="C420" s="20">
        <f>'Raw Data'!U32</f>
        <v>1683</v>
      </c>
      <c r="D420" s="21">
        <f>'Raw Data'!V32</f>
        <v>43035</v>
      </c>
      <c r="E420" s="17">
        <f t="shared" si="18"/>
        <v>27</v>
      </c>
      <c r="F420" s="17">
        <f t="shared" si="19"/>
        <v>1</v>
      </c>
      <c r="G420" s="22">
        <v>27.365853658536587</v>
      </c>
      <c r="H420" s="13"/>
      <c r="I420" s="81">
        <f t="shared" ca="1" si="20"/>
        <v>25.892307692307693</v>
      </c>
      <c r="J420" s="13"/>
    </row>
    <row r="421" spans="1:10">
      <c r="A421" s="19" t="str">
        <f>'Raw Data'!R253</f>
        <v>Music</v>
      </c>
      <c r="B421" s="6" t="str">
        <f>'Raw Data'!S253</f>
        <v>Alice</v>
      </c>
      <c r="C421" s="20">
        <f>'Raw Data'!U253</f>
        <v>1325</v>
      </c>
      <c r="D421" s="21">
        <f>'Raw Data'!V253</f>
        <v>43035</v>
      </c>
      <c r="E421" s="17">
        <f t="shared" si="18"/>
        <v>27</v>
      </c>
      <c r="F421" s="17">
        <f t="shared" si="19"/>
        <v>1</v>
      </c>
      <c r="G421" s="22">
        <v>519.60784313725492</v>
      </c>
      <c r="H421" s="13"/>
      <c r="I421" s="81">
        <f t="shared" ca="1" si="20"/>
        <v>247.66355140186914</v>
      </c>
      <c r="J421" s="13"/>
    </row>
    <row r="422" spans="1:10">
      <c r="A422" s="19" t="str">
        <f>'Raw Data'!R286</f>
        <v>Clothing</v>
      </c>
      <c r="B422" s="6" t="str">
        <f>'Raw Data'!S286</f>
        <v>Alice</v>
      </c>
      <c r="C422" s="20">
        <f>'Raw Data'!U286</f>
        <v>0</v>
      </c>
      <c r="D422" s="21">
        <f>'Raw Data'!V286</f>
        <v>43035</v>
      </c>
      <c r="E422" s="17">
        <f t="shared" si="18"/>
        <v>27</v>
      </c>
      <c r="F422" s="17">
        <f t="shared" si="19"/>
        <v>0</v>
      </c>
      <c r="G422" s="22">
        <v>0</v>
      </c>
      <c r="H422" s="13"/>
      <c r="I422" s="81">
        <f t="shared" ca="1" si="20"/>
        <v>0</v>
      </c>
      <c r="J422" s="13"/>
    </row>
    <row r="423" spans="1:10">
      <c r="A423" s="19" t="str">
        <f>'Raw Data'!R496</f>
        <v>Books</v>
      </c>
      <c r="B423" s="6" t="str">
        <f>'Raw Data'!S496</f>
        <v>Alice</v>
      </c>
      <c r="C423" s="20">
        <f>'Raw Data'!U496</f>
        <v>0</v>
      </c>
      <c r="D423" s="21">
        <f>'Raw Data'!V496</f>
        <v>43035</v>
      </c>
      <c r="E423" s="17">
        <f t="shared" si="18"/>
        <v>27</v>
      </c>
      <c r="F423" s="17">
        <f t="shared" si="19"/>
        <v>0</v>
      </c>
      <c r="G423" s="22">
        <v>0</v>
      </c>
      <c r="H423" s="13"/>
      <c r="I423" s="81">
        <f t="shared" ca="1" si="20"/>
        <v>0</v>
      </c>
      <c r="J423" s="13"/>
    </row>
    <row r="424" spans="1:10">
      <c r="A424" s="19" t="str">
        <f>'Raw Data'!R3</f>
        <v>Games</v>
      </c>
      <c r="B424" s="6" t="str">
        <f>'Raw Data'!S3</f>
        <v>Barney</v>
      </c>
      <c r="C424" s="20">
        <f>'Raw Data'!U3</f>
        <v>1250</v>
      </c>
      <c r="D424" s="21">
        <f>'Raw Data'!V3</f>
        <v>43035</v>
      </c>
      <c r="E424" s="17">
        <f t="shared" si="18"/>
        <v>27</v>
      </c>
      <c r="F424" s="17">
        <f t="shared" si="19"/>
        <v>1</v>
      </c>
      <c r="G424" s="22">
        <v>22.321428571428569</v>
      </c>
      <c r="H424" s="13"/>
      <c r="I424" s="81">
        <f t="shared" ca="1" si="20"/>
        <v>31.645569620253166</v>
      </c>
      <c r="J424" s="13"/>
    </row>
    <row r="425" spans="1:10">
      <c r="A425" s="19" t="str">
        <f>'Raw Data'!R5</f>
        <v>Books</v>
      </c>
      <c r="B425" s="6" t="str">
        <f>'Raw Data'!S5</f>
        <v>Barney</v>
      </c>
      <c r="C425" s="20">
        <f>'Raw Data'!U5</f>
        <v>699</v>
      </c>
      <c r="D425" s="21">
        <f>'Raw Data'!V5</f>
        <v>43035</v>
      </c>
      <c r="E425" s="17">
        <f t="shared" si="18"/>
        <v>27</v>
      </c>
      <c r="F425" s="17">
        <f t="shared" si="19"/>
        <v>1</v>
      </c>
      <c r="G425" s="22">
        <v>68.529411764705884</v>
      </c>
      <c r="H425" s="13"/>
      <c r="I425" s="81">
        <f t="shared" ca="1" si="20"/>
        <v>116.5</v>
      </c>
      <c r="J425" s="13"/>
    </row>
    <row r="426" spans="1:10">
      <c r="A426" s="19" t="str">
        <f>'Raw Data'!R50</f>
        <v>Music</v>
      </c>
      <c r="B426" s="6" t="str">
        <f>'Raw Data'!S50</f>
        <v>Barney</v>
      </c>
      <c r="C426" s="20">
        <f>'Raw Data'!U50</f>
        <v>0</v>
      </c>
      <c r="D426" s="21">
        <f>'Raw Data'!V50</f>
        <v>43035</v>
      </c>
      <c r="E426" s="17">
        <f t="shared" si="18"/>
        <v>27</v>
      </c>
      <c r="F426" s="17">
        <f t="shared" si="19"/>
        <v>0</v>
      </c>
      <c r="G426" s="22">
        <v>0</v>
      </c>
      <c r="H426" s="13"/>
      <c r="I426" s="81">
        <f t="shared" ca="1" si="20"/>
        <v>0</v>
      </c>
      <c r="J426" s="13"/>
    </row>
    <row r="427" spans="1:10">
      <c r="A427" s="19" t="str">
        <f>'Raw Data'!R184</f>
        <v>Clothing</v>
      </c>
      <c r="B427" s="6" t="str">
        <f>'Raw Data'!S184</f>
        <v>Barney</v>
      </c>
      <c r="C427" s="20">
        <f>'Raw Data'!U184</f>
        <v>1105</v>
      </c>
      <c r="D427" s="21">
        <f>'Raw Data'!V184</f>
        <v>43035</v>
      </c>
      <c r="E427" s="17">
        <f t="shared" si="18"/>
        <v>27</v>
      </c>
      <c r="F427" s="17">
        <f t="shared" si="19"/>
        <v>1</v>
      </c>
      <c r="G427" s="22">
        <v>47.835497835497833</v>
      </c>
      <c r="H427" s="13"/>
      <c r="I427" s="81">
        <f t="shared" ca="1" si="20"/>
        <v>30.952380952380956</v>
      </c>
      <c r="J427" s="13"/>
    </row>
    <row r="428" spans="1:10">
      <c r="A428" s="19" t="str">
        <f>'Raw Data'!R373</f>
        <v>Books</v>
      </c>
      <c r="B428" s="6" t="str">
        <f>'Raw Data'!S373</f>
        <v>Carol</v>
      </c>
      <c r="C428" s="20">
        <f>'Raw Data'!U373</f>
        <v>528</v>
      </c>
      <c r="D428" s="21">
        <f>'Raw Data'!V373</f>
        <v>43035</v>
      </c>
      <c r="E428" s="17">
        <f t="shared" si="18"/>
        <v>27</v>
      </c>
      <c r="F428" s="17">
        <f t="shared" si="19"/>
        <v>1</v>
      </c>
      <c r="G428" s="22">
        <v>36.666666666666671</v>
      </c>
      <c r="H428" s="13"/>
      <c r="I428" s="81">
        <f t="shared" ca="1" si="20"/>
        <v>51.262135922330096</v>
      </c>
      <c r="J428" s="13"/>
    </row>
    <row r="429" spans="1:10">
      <c r="A429" s="19" t="str">
        <f>'Raw Data'!R414</f>
        <v>Games</v>
      </c>
      <c r="B429" s="6" t="str">
        <f>'Raw Data'!S414</f>
        <v>Carol</v>
      </c>
      <c r="C429" s="20">
        <f>'Raw Data'!U414</f>
        <v>2326</v>
      </c>
      <c r="D429" s="21">
        <f>'Raw Data'!V414</f>
        <v>43035</v>
      </c>
      <c r="E429" s="17">
        <f t="shared" si="18"/>
        <v>27</v>
      </c>
      <c r="F429" s="17">
        <f t="shared" si="19"/>
        <v>1</v>
      </c>
      <c r="G429" s="22">
        <v>64.611111111111114</v>
      </c>
      <c r="H429" s="13"/>
      <c r="I429" s="81">
        <f t="shared" ca="1" si="20"/>
        <v>44.304761904761904</v>
      </c>
      <c r="J429" s="13"/>
    </row>
    <row r="430" spans="1:10">
      <c r="A430" s="19" t="str">
        <f>'Raw Data'!R415</f>
        <v>Music</v>
      </c>
      <c r="B430" s="6" t="str">
        <f>'Raw Data'!S415</f>
        <v>Carol</v>
      </c>
      <c r="C430" s="20">
        <f>'Raw Data'!U415</f>
        <v>1060</v>
      </c>
      <c r="D430" s="21">
        <f>'Raw Data'!V415</f>
        <v>43035</v>
      </c>
      <c r="E430" s="17">
        <f t="shared" si="18"/>
        <v>27</v>
      </c>
      <c r="F430" s="17">
        <f t="shared" si="19"/>
        <v>1</v>
      </c>
      <c r="G430" s="22">
        <v>321.21212121212125</v>
      </c>
      <c r="H430" s="13"/>
      <c r="I430" s="81">
        <f t="shared" ca="1" si="20"/>
        <v>192.72727272727272</v>
      </c>
      <c r="J430" s="13"/>
    </row>
    <row r="431" spans="1:10">
      <c r="A431" s="19" t="str">
        <f>'Raw Data'!R431</f>
        <v>Clothing</v>
      </c>
      <c r="B431" s="6" t="str">
        <f>'Raw Data'!S431</f>
        <v>Carol</v>
      </c>
      <c r="C431" s="20">
        <f>'Raw Data'!U431</f>
        <v>0</v>
      </c>
      <c r="D431" s="21">
        <f>'Raw Data'!V431</f>
        <v>43035</v>
      </c>
      <c r="E431" s="17">
        <f t="shared" si="18"/>
        <v>27</v>
      </c>
      <c r="F431" s="17">
        <f t="shared" si="19"/>
        <v>0</v>
      </c>
      <c r="G431" s="22">
        <v>0</v>
      </c>
      <c r="H431" s="13"/>
      <c r="I431" s="81">
        <f t="shared" ca="1" si="20"/>
        <v>0</v>
      </c>
      <c r="J431" s="13"/>
    </row>
    <row r="432" spans="1:10">
      <c r="A432" s="19" t="str">
        <f>'Raw Data'!R7</f>
        <v>Games</v>
      </c>
      <c r="B432" s="6" t="str">
        <f>'Raw Data'!S7</f>
        <v>David</v>
      </c>
      <c r="C432" s="20">
        <f>'Raw Data'!U7</f>
        <v>0</v>
      </c>
      <c r="D432" s="21">
        <f>'Raw Data'!V7</f>
        <v>43035</v>
      </c>
      <c r="E432" s="17">
        <f t="shared" si="18"/>
        <v>27</v>
      </c>
      <c r="F432" s="17">
        <f t="shared" si="19"/>
        <v>0</v>
      </c>
      <c r="G432" s="22">
        <v>0</v>
      </c>
      <c r="H432" s="13"/>
      <c r="I432" s="81">
        <f t="shared" ca="1" si="20"/>
        <v>0</v>
      </c>
      <c r="J432" s="13"/>
    </row>
    <row r="433" spans="1:10">
      <c r="A433" s="19" t="str">
        <f>'Raw Data'!R52</f>
        <v>Music</v>
      </c>
      <c r="B433" s="6" t="str">
        <f>'Raw Data'!S52</f>
        <v>David</v>
      </c>
      <c r="C433" s="20">
        <f>'Raw Data'!U52</f>
        <v>1303</v>
      </c>
      <c r="D433" s="21">
        <f>'Raw Data'!V52</f>
        <v>43035</v>
      </c>
      <c r="E433" s="17">
        <f t="shared" si="18"/>
        <v>27</v>
      </c>
      <c r="F433" s="17">
        <f t="shared" si="19"/>
        <v>1</v>
      </c>
      <c r="G433" s="22">
        <v>413.65079365079367</v>
      </c>
      <c r="H433" s="13"/>
      <c r="I433" s="81">
        <f t="shared" ca="1" si="20"/>
        <v>465.35714285714283</v>
      </c>
      <c r="J433" s="13"/>
    </row>
    <row r="434" spans="1:10">
      <c r="A434" s="19" t="str">
        <f>'Raw Data'!R124</f>
        <v>Clothing</v>
      </c>
      <c r="B434" s="6" t="str">
        <f>'Raw Data'!S124</f>
        <v>David</v>
      </c>
      <c r="C434" s="20">
        <f>'Raw Data'!U124</f>
        <v>1154</v>
      </c>
      <c r="D434" s="21">
        <f>'Raw Data'!V124</f>
        <v>43035</v>
      </c>
      <c r="E434" s="17">
        <f t="shared" si="18"/>
        <v>27</v>
      </c>
      <c r="F434" s="17">
        <f t="shared" si="19"/>
        <v>1</v>
      </c>
      <c r="G434" s="22">
        <v>26.712962962962965</v>
      </c>
      <c r="H434" s="13"/>
      <c r="I434" s="81">
        <f t="shared" ca="1" si="20"/>
        <v>34.041297935103245</v>
      </c>
      <c r="J434" s="13"/>
    </row>
    <row r="435" spans="1:10">
      <c r="A435" s="19" t="str">
        <f>'Raw Data'!R287</f>
        <v>Books</v>
      </c>
      <c r="B435" s="6" t="str">
        <f>'Raw Data'!S287</f>
        <v>David</v>
      </c>
      <c r="C435" s="20">
        <f>'Raw Data'!U287</f>
        <v>0</v>
      </c>
      <c r="D435" s="21">
        <f>'Raw Data'!V287</f>
        <v>43035</v>
      </c>
      <c r="E435" s="17">
        <f t="shared" si="18"/>
        <v>27</v>
      </c>
      <c r="F435" s="17">
        <f t="shared" si="19"/>
        <v>0</v>
      </c>
      <c r="G435" s="22">
        <v>0</v>
      </c>
      <c r="H435" s="13"/>
      <c r="I435" s="81">
        <f t="shared" ca="1" si="20"/>
        <v>0</v>
      </c>
      <c r="J435" s="13"/>
    </row>
    <row r="436" spans="1:10">
      <c r="A436" s="19" t="str">
        <f>'Raw Data'!R327</f>
        <v>Music</v>
      </c>
      <c r="B436" s="6" t="str">
        <f>'Raw Data'!S327</f>
        <v>Alice</v>
      </c>
      <c r="C436" s="20">
        <f>'Raw Data'!U327</f>
        <v>0</v>
      </c>
      <c r="D436" s="21">
        <f>'Raw Data'!V327</f>
        <v>43036</v>
      </c>
      <c r="E436" s="17">
        <f t="shared" si="18"/>
        <v>28</v>
      </c>
      <c r="F436" s="17">
        <f t="shared" si="19"/>
        <v>0</v>
      </c>
      <c r="G436" s="22">
        <v>0</v>
      </c>
      <c r="H436" s="13"/>
      <c r="I436" s="81">
        <f t="shared" ca="1" si="20"/>
        <v>0</v>
      </c>
      <c r="J436" s="13"/>
    </row>
    <row r="437" spans="1:10">
      <c r="A437" s="19" t="str">
        <f>'Raw Data'!R449</f>
        <v>Books</v>
      </c>
      <c r="B437" s="6" t="str">
        <f>'Raw Data'!S449</f>
        <v>Alice</v>
      </c>
      <c r="C437" s="20">
        <f>'Raw Data'!U449</f>
        <v>543</v>
      </c>
      <c r="D437" s="21">
        <f>'Raw Data'!V449</f>
        <v>43036</v>
      </c>
      <c r="E437" s="17">
        <f t="shared" si="18"/>
        <v>28</v>
      </c>
      <c r="F437" s="17">
        <f t="shared" si="19"/>
        <v>1</v>
      </c>
      <c r="G437" s="22">
        <v>48.053097345132748</v>
      </c>
      <c r="H437" s="13"/>
      <c r="I437" s="81">
        <f t="shared" ca="1" si="20"/>
        <v>81.044776119402997</v>
      </c>
      <c r="J437" s="13"/>
    </row>
    <row r="438" spans="1:10">
      <c r="A438" s="19" t="str">
        <f>'Raw Data'!R472</f>
        <v>Clothing</v>
      </c>
      <c r="B438" s="6" t="str">
        <f>'Raw Data'!S472</f>
        <v>Alice</v>
      </c>
      <c r="C438" s="20">
        <f>'Raw Data'!U472</f>
        <v>1021</v>
      </c>
      <c r="D438" s="21">
        <f>'Raw Data'!V472</f>
        <v>43036</v>
      </c>
      <c r="E438" s="17">
        <f t="shared" si="18"/>
        <v>28</v>
      </c>
      <c r="F438" s="17">
        <f t="shared" si="19"/>
        <v>1</v>
      </c>
      <c r="G438" s="22">
        <v>36.992753623188406</v>
      </c>
      <c r="H438" s="13"/>
      <c r="I438" s="81">
        <f t="shared" ca="1" si="20"/>
        <v>23.634259259259263</v>
      </c>
      <c r="J438" s="13"/>
    </row>
    <row r="439" spans="1:10">
      <c r="A439" s="19" t="str">
        <f>'Raw Data'!R473</f>
        <v>Games</v>
      </c>
      <c r="B439" s="6" t="str">
        <f>'Raw Data'!S473</f>
        <v>Alice</v>
      </c>
      <c r="C439" s="20">
        <f>'Raw Data'!U473</f>
        <v>1887</v>
      </c>
      <c r="D439" s="21">
        <f>'Raw Data'!V473</f>
        <v>43036</v>
      </c>
      <c r="E439" s="17">
        <f t="shared" si="18"/>
        <v>28</v>
      </c>
      <c r="F439" s="17">
        <f t="shared" si="19"/>
        <v>1</v>
      </c>
      <c r="G439" s="22">
        <v>65.068965517241367</v>
      </c>
      <c r="H439" s="13"/>
      <c r="I439" s="81">
        <f t="shared" ca="1" si="20"/>
        <v>56.328358208955223</v>
      </c>
      <c r="J439" s="13"/>
    </row>
    <row r="440" spans="1:10">
      <c r="A440" s="19" t="str">
        <f>'Raw Data'!R121</f>
        <v>Music</v>
      </c>
      <c r="B440" s="6" t="str">
        <f>'Raw Data'!S121</f>
        <v>Barney</v>
      </c>
      <c r="C440" s="20">
        <f>'Raw Data'!U121</f>
        <v>925</v>
      </c>
      <c r="D440" s="21">
        <f>'Raw Data'!V121</f>
        <v>43036</v>
      </c>
      <c r="E440" s="17">
        <f t="shared" si="18"/>
        <v>28</v>
      </c>
      <c r="F440" s="17">
        <f t="shared" si="19"/>
        <v>1</v>
      </c>
      <c r="G440" s="22">
        <v>154.16666666666666</v>
      </c>
      <c r="H440" s="13"/>
      <c r="I440" s="81">
        <f t="shared" ca="1" si="20"/>
        <v>293.65079365079367</v>
      </c>
      <c r="J440" s="13"/>
    </row>
    <row r="441" spans="1:10">
      <c r="A441" s="19" t="str">
        <f>'Raw Data'!R127</f>
        <v>Books</v>
      </c>
      <c r="B441" s="6" t="str">
        <f>'Raw Data'!S127</f>
        <v>Barney</v>
      </c>
      <c r="C441" s="20">
        <f>'Raw Data'!U127</f>
        <v>905</v>
      </c>
      <c r="D441" s="21">
        <f>'Raw Data'!V127</f>
        <v>43036</v>
      </c>
      <c r="E441" s="17">
        <f t="shared" si="18"/>
        <v>28</v>
      </c>
      <c r="F441" s="17">
        <f t="shared" si="19"/>
        <v>1</v>
      </c>
      <c r="G441" s="22">
        <v>73.577235772357724</v>
      </c>
      <c r="H441" s="13"/>
      <c r="I441" s="81">
        <f t="shared" ca="1" si="20"/>
        <v>82.272727272727266</v>
      </c>
      <c r="J441" s="13"/>
    </row>
    <row r="442" spans="1:10">
      <c r="A442" s="19" t="str">
        <f>'Raw Data'!R211</f>
        <v>Games</v>
      </c>
      <c r="B442" s="6" t="str">
        <f>'Raw Data'!S211</f>
        <v>Barney</v>
      </c>
      <c r="C442" s="20">
        <f>'Raw Data'!U211</f>
        <v>1261</v>
      </c>
      <c r="D442" s="21">
        <f>'Raw Data'!V211</f>
        <v>43036</v>
      </c>
      <c r="E442" s="17">
        <f t="shared" si="18"/>
        <v>28</v>
      </c>
      <c r="F442" s="17">
        <f t="shared" si="19"/>
        <v>1</v>
      </c>
      <c r="G442" s="22">
        <v>40.677419354838712</v>
      </c>
      <c r="H442" s="13"/>
      <c r="I442" s="81">
        <f t="shared" ca="1" si="20"/>
        <v>47.584905660377359</v>
      </c>
      <c r="J442" s="13"/>
    </row>
    <row r="443" spans="1:10">
      <c r="A443" s="19" t="str">
        <f>'Raw Data'!R408</f>
        <v>Clothing</v>
      </c>
      <c r="B443" s="6" t="str">
        <f>'Raw Data'!S408</f>
        <v>Barney</v>
      </c>
      <c r="C443" s="20">
        <f>'Raw Data'!U408</f>
        <v>1976</v>
      </c>
      <c r="D443" s="21">
        <f>'Raw Data'!V408</f>
        <v>43036</v>
      </c>
      <c r="E443" s="17">
        <f t="shared" si="18"/>
        <v>28</v>
      </c>
      <c r="F443" s="17">
        <f t="shared" si="19"/>
        <v>1</v>
      </c>
      <c r="G443" s="22">
        <v>48.077858880778585</v>
      </c>
      <c r="H443" s="13"/>
      <c r="I443" s="81">
        <f t="shared" ca="1" si="20"/>
        <v>96.862745098039227</v>
      </c>
      <c r="J443" s="13"/>
    </row>
    <row r="444" spans="1:10">
      <c r="A444" s="19" t="str">
        <f>'Raw Data'!R97</f>
        <v>Books</v>
      </c>
      <c r="B444" s="6" t="str">
        <f>'Raw Data'!S97</f>
        <v>Carol</v>
      </c>
      <c r="C444" s="20">
        <f>'Raw Data'!U97</f>
        <v>671</v>
      </c>
      <c r="D444" s="21">
        <f>'Raw Data'!V97</f>
        <v>43036</v>
      </c>
      <c r="E444" s="17">
        <f t="shared" si="18"/>
        <v>28</v>
      </c>
      <c r="F444" s="17">
        <f t="shared" si="19"/>
        <v>1</v>
      </c>
      <c r="G444" s="22">
        <v>69.175257731958766</v>
      </c>
      <c r="H444" s="13"/>
      <c r="I444" s="81">
        <f t="shared" ca="1" si="20"/>
        <v>48.978102189781019</v>
      </c>
      <c r="J444" s="13"/>
    </row>
    <row r="445" spans="1:10">
      <c r="A445" s="19" t="str">
        <f>'Raw Data'!R241</f>
        <v>Clothing</v>
      </c>
      <c r="B445" s="6" t="str">
        <f>'Raw Data'!S241</f>
        <v>Carol</v>
      </c>
      <c r="C445" s="20">
        <f>'Raw Data'!U241</f>
        <v>1774</v>
      </c>
      <c r="D445" s="21">
        <f>'Raw Data'!V241</f>
        <v>43036</v>
      </c>
      <c r="E445" s="17">
        <f t="shared" si="18"/>
        <v>28</v>
      </c>
      <c r="F445" s="17">
        <f t="shared" si="19"/>
        <v>1</v>
      </c>
      <c r="G445" s="22">
        <v>100.22598870056495</v>
      </c>
      <c r="H445" s="13"/>
      <c r="I445" s="81">
        <f t="shared" ca="1" si="20"/>
        <v>45.139949109414751</v>
      </c>
      <c r="J445" s="13"/>
    </row>
    <row r="446" spans="1:10">
      <c r="A446" s="19" t="str">
        <f>'Raw Data'!R243</f>
        <v>Games</v>
      </c>
      <c r="B446" s="6" t="str">
        <f>'Raw Data'!S243</f>
        <v>Carol</v>
      </c>
      <c r="C446" s="20">
        <f>'Raw Data'!U243</f>
        <v>1298</v>
      </c>
      <c r="D446" s="21">
        <f>'Raw Data'!V243</f>
        <v>43036</v>
      </c>
      <c r="E446" s="17">
        <f t="shared" si="18"/>
        <v>28</v>
      </c>
      <c r="F446" s="17">
        <f t="shared" si="19"/>
        <v>1</v>
      </c>
      <c r="G446" s="22">
        <v>33.282051282051285</v>
      </c>
      <c r="H446" s="13"/>
      <c r="I446" s="81">
        <f t="shared" ca="1" si="20"/>
        <v>19.373134328358208</v>
      </c>
      <c r="J446" s="13"/>
    </row>
    <row r="447" spans="1:10">
      <c r="A447" s="19" t="str">
        <f>'Raw Data'!R347</f>
        <v>Music</v>
      </c>
      <c r="B447" s="6" t="str">
        <f>'Raw Data'!S347</f>
        <v>Carol</v>
      </c>
      <c r="C447" s="20">
        <f>'Raw Data'!U347</f>
        <v>1137</v>
      </c>
      <c r="D447" s="21">
        <f>'Raw Data'!V347</f>
        <v>43036</v>
      </c>
      <c r="E447" s="17">
        <f t="shared" si="18"/>
        <v>28</v>
      </c>
      <c r="F447" s="17">
        <f t="shared" si="19"/>
        <v>1</v>
      </c>
      <c r="G447" s="22">
        <v>264.41860465116281</v>
      </c>
      <c r="H447" s="13"/>
      <c r="I447" s="81">
        <f t="shared" ca="1" si="20"/>
        <v>155.75342465753425</v>
      </c>
      <c r="J447" s="13"/>
    </row>
    <row r="448" spans="1:10">
      <c r="A448" s="19" t="str">
        <f>'Raw Data'!R82</f>
        <v>Games</v>
      </c>
      <c r="B448" s="6" t="str">
        <f>'Raw Data'!S82</f>
        <v>David</v>
      </c>
      <c r="C448" s="20">
        <f>'Raw Data'!U82</f>
        <v>1628</v>
      </c>
      <c r="D448" s="21">
        <f>'Raw Data'!V82</f>
        <v>43036</v>
      </c>
      <c r="E448" s="17">
        <f t="shared" si="18"/>
        <v>28</v>
      </c>
      <c r="F448" s="17">
        <f t="shared" si="19"/>
        <v>1</v>
      </c>
      <c r="G448" s="22">
        <v>27.133333333333333</v>
      </c>
      <c r="H448" s="13"/>
      <c r="I448" s="81">
        <f t="shared" ca="1" si="20"/>
        <v>29.333333333333329</v>
      </c>
      <c r="J448" s="13"/>
    </row>
    <row r="449" spans="1:10">
      <c r="A449" s="19" t="str">
        <f>'Raw Data'!R96</f>
        <v>Music</v>
      </c>
      <c r="B449" s="6" t="str">
        <f>'Raw Data'!S96</f>
        <v>David</v>
      </c>
      <c r="C449" s="20">
        <f>'Raw Data'!U96</f>
        <v>941</v>
      </c>
      <c r="D449" s="21">
        <f>'Raw Data'!V96</f>
        <v>43036</v>
      </c>
      <c r="E449" s="17">
        <f t="shared" si="18"/>
        <v>28</v>
      </c>
      <c r="F449" s="17">
        <f t="shared" si="19"/>
        <v>1</v>
      </c>
      <c r="G449" s="22">
        <v>226.74698795180726</v>
      </c>
      <c r="H449" s="13"/>
      <c r="I449" s="81">
        <f t="shared" ca="1" si="20"/>
        <v>155.53719008264463</v>
      </c>
      <c r="J449" s="13"/>
    </row>
    <row r="450" spans="1:10">
      <c r="A450" s="19" t="str">
        <f>'Raw Data'!R164</f>
        <v>Clothing</v>
      </c>
      <c r="B450" s="6" t="str">
        <f>'Raw Data'!S164</f>
        <v>David</v>
      </c>
      <c r="C450" s="20">
        <f>'Raw Data'!U164</f>
        <v>850</v>
      </c>
      <c r="D450" s="21">
        <f>'Raw Data'!V164</f>
        <v>43036</v>
      </c>
      <c r="E450" s="17">
        <f t="shared" si="18"/>
        <v>28</v>
      </c>
      <c r="F450" s="17">
        <f t="shared" si="19"/>
        <v>1</v>
      </c>
      <c r="G450" s="22">
        <v>27.508090614886729</v>
      </c>
      <c r="H450" s="13"/>
      <c r="I450" s="81">
        <f t="shared" ca="1" si="20"/>
        <v>19.274376417233558</v>
      </c>
      <c r="J450" s="13"/>
    </row>
    <row r="451" spans="1:10">
      <c r="A451" s="19" t="str">
        <f>'Raw Data'!R293</f>
        <v>Books</v>
      </c>
      <c r="B451" s="6" t="str">
        <f>'Raw Data'!S293</f>
        <v>David</v>
      </c>
      <c r="C451" s="20">
        <f>'Raw Data'!U293</f>
        <v>904</v>
      </c>
      <c r="D451" s="21">
        <f>'Raw Data'!V293</f>
        <v>43036</v>
      </c>
      <c r="E451" s="17">
        <f t="shared" si="18"/>
        <v>28</v>
      </c>
      <c r="F451" s="17">
        <f t="shared" si="19"/>
        <v>1</v>
      </c>
      <c r="G451" s="22">
        <v>180.8</v>
      </c>
      <c r="H451" s="13"/>
      <c r="I451" s="81">
        <f t="shared" ca="1" si="20"/>
        <v>80.714285714285708</v>
      </c>
      <c r="J451" s="13"/>
    </row>
    <row r="452" spans="1:10">
      <c r="A452" s="19" t="str">
        <f>'Raw Data'!R261</f>
        <v>Books</v>
      </c>
      <c r="B452" s="6" t="str">
        <f>'Raw Data'!S261</f>
        <v>Alice</v>
      </c>
      <c r="C452" s="20">
        <f>'Raw Data'!U261</f>
        <v>933</v>
      </c>
      <c r="D452" s="21">
        <f>'Raw Data'!V261</f>
        <v>43037</v>
      </c>
      <c r="E452" s="17">
        <f t="shared" si="18"/>
        <v>29</v>
      </c>
      <c r="F452" s="17">
        <f t="shared" si="19"/>
        <v>1</v>
      </c>
      <c r="G452" s="22">
        <v>133.28571428571428</v>
      </c>
      <c r="H452" s="13"/>
      <c r="I452" s="81">
        <f t="shared" ca="1" si="20"/>
        <v>89.711538461538453</v>
      </c>
      <c r="J452" s="13"/>
    </row>
    <row r="453" spans="1:10">
      <c r="A453" s="19" t="str">
        <f>'Raw Data'!R282</f>
        <v>Games</v>
      </c>
      <c r="B453" s="6" t="str">
        <f>'Raw Data'!S282</f>
        <v>Alice</v>
      </c>
      <c r="C453" s="20">
        <f>'Raw Data'!U282</f>
        <v>1164</v>
      </c>
      <c r="D453" s="21">
        <f>'Raw Data'!V282</f>
        <v>43037</v>
      </c>
      <c r="E453" s="17">
        <f t="shared" ref="E453:E499" si="21">DAY(D453)</f>
        <v>29</v>
      </c>
      <c r="F453" s="17">
        <f t="shared" ref="F453:F499" si="22">IF(C453=0,0,1)</f>
        <v>1</v>
      </c>
      <c r="G453" s="22">
        <v>35.27272727272728</v>
      </c>
      <c r="H453" s="13"/>
      <c r="I453" s="81">
        <f t="shared" ref="I453:I499" ca="1" si="23">C453/(INDEX($L$4:$L$7,MATCH(A453,$K$4:$K$7,0))*(1+RANDBETWEEN(-50,50)/100))</f>
        <v>15.945205479452055</v>
      </c>
      <c r="J453" s="13"/>
    </row>
    <row r="454" spans="1:10">
      <c r="A454" s="19" t="str">
        <f>'Raw Data'!R378</f>
        <v>Clothing</v>
      </c>
      <c r="B454" s="6" t="str">
        <f>'Raw Data'!S378</f>
        <v>Alice</v>
      </c>
      <c r="C454" s="20">
        <f>'Raw Data'!U378</f>
        <v>1950</v>
      </c>
      <c r="D454" s="21">
        <f>'Raw Data'!V378</f>
        <v>43037</v>
      </c>
      <c r="E454" s="17">
        <f t="shared" si="21"/>
        <v>29</v>
      </c>
      <c r="F454" s="17">
        <f t="shared" si="22"/>
        <v>1</v>
      </c>
      <c r="G454" s="22">
        <v>58.558558558558552</v>
      </c>
      <c r="H454" s="13"/>
      <c r="I454" s="81">
        <f t="shared" ca="1" si="23"/>
        <v>55.555555555555564</v>
      </c>
      <c r="J454" s="13"/>
    </row>
    <row r="455" spans="1:10">
      <c r="A455" s="19" t="str">
        <f>'Raw Data'!R447</f>
        <v>Music</v>
      </c>
      <c r="B455" s="6" t="str">
        <f>'Raw Data'!S447</f>
        <v>Alice</v>
      </c>
      <c r="C455" s="20">
        <f>'Raw Data'!U447</f>
        <v>1338</v>
      </c>
      <c r="D455" s="21">
        <f>'Raw Data'!V447</f>
        <v>43037</v>
      </c>
      <c r="E455" s="17">
        <f t="shared" si="21"/>
        <v>29</v>
      </c>
      <c r="F455" s="17">
        <f t="shared" si="22"/>
        <v>1</v>
      </c>
      <c r="G455" s="22">
        <v>191.14285714285714</v>
      </c>
      <c r="H455" s="13"/>
      <c r="I455" s="81">
        <f t="shared" ca="1" si="23"/>
        <v>300.67415730337075</v>
      </c>
      <c r="J455" s="13"/>
    </row>
    <row r="456" spans="1:10">
      <c r="A456" s="19" t="str">
        <f>'Raw Data'!R86</f>
        <v>Clothing</v>
      </c>
      <c r="B456" s="6" t="str">
        <f>'Raw Data'!S86</f>
        <v>Barney</v>
      </c>
      <c r="C456" s="20">
        <f>'Raw Data'!U86</f>
        <v>754</v>
      </c>
      <c r="D456" s="21">
        <f>'Raw Data'!V86</f>
        <v>43037</v>
      </c>
      <c r="E456" s="17">
        <f t="shared" si="21"/>
        <v>29</v>
      </c>
      <c r="F456" s="17">
        <f t="shared" si="22"/>
        <v>1</v>
      </c>
      <c r="G456" s="22">
        <v>19.040404040404038</v>
      </c>
      <c r="H456" s="13"/>
      <c r="I456" s="81">
        <f t="shared" ca="1" si="23"/>
        <v>42.598870056497169</v>
      </c>
      <c r="J456" s="13"/>
    </row>
    <row r="457" spans="1:10">
      <c r="A457" s="19" t="str">
        <f>'Raw Data'!R105</f>
        <v>Music</v>
      </c>
      <c r="B457" s="6" t="str">
        <f>'Raw Data'!S105</f>
        <v>Barney</v>
      </c>
      <c r="C457" s="20">
        <f>'Raw Data'!U105</f>
        <v>0</v>
      </c>
      <c r="D457" s="21">
        <f>'Raw Data'!V105</f>
        <v>43037</v>
      </c>
      <c r="E457" s="17">
        <f t="shared" si="21"/>
        <v>29</v>
      </c>
      <c r="F457" s="17">
        <f t="shared" si="22"/>
        <v>0</v>
      </c>
      <c r="G457" s="22">
        <v>0</v>
      </c>
      <c r="H457" s="13"/>
      <c r="I457" s="81">
        <f t="shared" ca="1" si="23"/>
        <v>0</v>
      </c>
      <c r="J457" s="13"/>
    </row>
    <row r="458" spans="1:10">
      <c r="A458" s="19" t="str">
        <f>'Raw Data'!R258</f>
        <v>Games</v>
      </c>
      <c r="B458" s="6" t="str">
        <f>'Raw Data'!S258</f>
        <v>Barney</v>
      </c>
      <c r="C458" s="20">
        <f>'Raw Data'!U258</f>
        <v>0</v>
      </c>
      <c r="D458" s="21">
        <f>'Raw Data'!V258</f>
        <v>43037</v>
      </c>
      <c r="E458" s="17">
        <f t="shared" si="21"/>
        <v>29</v>
      </c>
      <c r="F458" s="17">
        <f t="shared" si="22"/>
        <v>0</v>
      </c>
      <c r="G458" s="22">
        <v>0</v>
      </c>
      <c r="H458" s="13"/>
      <c r="I458" s="81">
        <f t="shared" ca="1" si="23"/>
        <v>0</v>
      </c>
      <c r="J458" s="13"/>
    </row>
    <row r="459" spans="1:10">
      <c r="A459" s="19" t="str">
        <f>'Raw Data'!R315</f>
        <v>Books</v>
      </c>
      <c r="B459" s="6" t="str">
        <f>'Raw Data'!S315</f>
        <v>Barney</v>
      </c>
      <c r="C459" s="20">
        <f>'Raw Data'!U315</f>
        <v>764</v>
      </c>
      <c r="D459" s="21">
        <f>'Raw Data'!V315</f>
        <v>43037</v>
      </c>
      <c r="E459" s="17">
        <f t="shared" si="21"/>
        <v>29</v>
      </c>
      <c r="F459" s="17">
        <f t="shared" si="22"/>
        <v>1</v>
      </c>
      <c r="G459" s="22">
        <v>104.65753424657534</v>
      </c>
      <c r="H459" s="13"/>
      <c r="I459" s="81">
        <f t="shared" ca="1" si="23"/>
        <v>55.76642335766423</v>
      </c>
      <c r="J459" s="13"/>
    </row>
    <row r="460" spans="1:10">
      <c r="A460" s="19" t="str">
        <f>'Raw Data'!R118</f>
        <v>Books</v>
      </c>
      <c r="B460" s="6" t="str">
        <f>'Raw Data'!S118</f>
        <v>Carol</v>
      </c>
      <c r="C460" s="20">
        <f>'Raw Data'!U118</f>
        <v>697</v>
      </c>
      <c r="D460" s="21">
        <f>'Raw Data'!V118</f>
        <v>43037</v>
      </c>
      <c r="E460" s="17">
        <f t="shared" si="21"/>
        <v>29</v>
      </c>
      <c r="F460" s="17">
        <f t="shared" si="22"/>
        <v>1</v>
      </c>
      <c r="G460" s="22">
        <v>51.250000000000007</v>
      </c>
      <c r="H460" s="13"/>
      <c r="I460" s="81">
        <f t="shared" ca="1" si="23"/>
        <v>47.739726027397261</v>
      </c>
      <c r="J460" s="13"/>
    </row>
    <row r="461" spans="1:10">
      <c r="A461" s="19" t="str">
        <f>'Raw Data'!R119</f>
        <v>Clothing</v>
      </c>
      <c r="B461" s="6" t="str">
        <f>'Raw Data'!S119</f>
        <v>Carol</v>
      </c>
      <c r="C461" s="20">
        <f>'Raw Data'!U119</f>
        <v>1227</v>
      </c>
      <c r="D461" s="21">
        <f>'Raw Data'!V119</f>
        <v>43037</v>
      </c>
      <c r="E461" s="17">
        <f t="shared" si="21"/>
        <v>29</v>
      </c>
      <c r="F461" s="17">
        <f t="shared" si="22"/>
        <v>1</v>
      </c>
      <c r="G461" s="22">
        <v>56.027397260273979</v>
      </c>
      <c r="H461" s="13"/>
      <c r="I461" s="81">
        <f t="shared" ca="1" si="23"/>
        <v>41.313131313131315</v>
      </c>
      <c r="J461" s="13"/>
    </row>
    <row r="462" spans="1:10">
      <c r="A462" s="19" t="str">
        <f>'Raw Data'!R248</f>
        <v>Games</v>
      </c>
      <c r="B462" s="6" t="str">
        <f>'Raw Data'!S248</f>
        <v>Carol</v>
      </c>
      <c r="C462" s="20">
        <f>'Raw Data'!U248</f>
        <v>0</v>
      </c>
      <c r="D462" s="21">
        <f>'Raw Data'!V248</f>
        <v>43037</v>
      </c>
      <c r="E462" s="17">
        <f t="shared" si="21"/>
        <v>29</v>
      </c>
      <c r="F462" s="17">
        <f t="shared" si="22"/>
        <v>0</v>
      </c>
      <c r="G462" s="22">
        <v>0</v>
      </c>
      <c r="H462" s="13"/>
      <c r="I462" s="81">
        <f t="shared" ca="1" si="23"/>
        <v>0</v>
      </c>
      <c r="J462" s="13"/>
    </row>
    <row r="463" spans="1:10">
      <c r="A463" s="19" t="str">
        <f>'Raw Data'!R465</f>
        <v>Music</v>
      </c>
      <c r="B463" s="6" t="str">
        <f>'Raw Data'!S465</f>
        <v>Carol</v>
      </c>
      <c r="C463" s="20">
        <f>'Raw Data'!U465</f>
        <v>1464</v>
      </c>
      <c r="D463" s="21">
        <f>'Raw Data'!V465</f>
        <v>43037</v>
      </c>
      <c r="E463" s="17">
        <f t="shared" si="21"/>
        <v>29</v>
      </c>
      <c r="F463" s="17">
        <f t="shared" si="22"/>
        <v>1</v>
      </c>
      <c r="G463" s="22">
        <v>232.38095238095238</v>
      </c>
      <c r="H463" s="13"/>
      <c r="I463" s="81">
        <f t="shared" ca="1" si="23"/>
        <v>496.27118644067792</v>
      </c>
      <c r="J463" s="13"/>
    </row>
    <row r="464" spans="1:10">
      <c r="A464" s="19" t="str">
        <f>'Raw Data'!R10</f>
        <v>Clothing</v>
      </c>
      <c r="B464" s="6" t="str">
        <f>'Raw Data'!S10</f>
        <v>David</v>
      </c>
      <c r="C464" s="20">
        <f>'Raw Data'!U10</f>
        <v>1175</v>
      </c>
      <c r="D464" s="21">
        <f>'Raw Data'!V10</f>
        <v>43037</v>
      </c>
      <c r="E464" s="17">
        <f t="shared" si="21"/>
        <v>29</v>
      </c>
      <c r="F464" s="17">
        <f t="shared" si="22"/>
        <v>1</v>
      </c>
      <c r="G464" s="22">
        <v>52.222222222222221</v>
      </c>
      <c r="H464" s="13"/>
      <c r="I464" s="81">
        <f t="shared" ca="1" si="23"/>
        <v>27.976190476190474</v>
      </c>
      <c r="J464" s="13"/>
    </row>
    <row r="465" spans="1:10">
      <c r="A465" s="19" t="str">
        <f>'Raw Data'!R230</f>
        <v>Games</v>
      </c>
      <c r="B465" s="6" t="str">
        <f>'Raw Data'!S230</f>
        <v>David</v>
      </c>
      <c r="C465" s="20">
        <f>'Raw Data'!U230</f>
        <v>0</v>
      </c>
      <c r="D465" s="21">
        <f>'Raw Data'!V230</f>
        <v>43037</v>
      </c>
      <c r="E465" s="17">
        <f t="shared" si="21"/>
        <v>29</v>
      </c>
      <c r="F465" s="17">
        <f t="shared" si="22"/>
        <v>0</v>
      </c>
      <c r="G465" s="22">
        <v>0</v>
      </c>
      <c r="H465" s="13"/>
      <c r="I465" s="81">
        <f t="shared" ca="1" si="23"/>
        <v>0</v>
      </c>
      <c r="J465" s="13"/>
    </row>
    <row r="466" spans="1:10">
      <c r="A466" s="19" t="str">
        <f>'Raw Data'!R319</f>
        <v>Music</v>
      </c>
      <c r="B466" s="6" t="str">
        <f>'Raw Data'!S319</f>
        <v>David</v>
      </c>
      <c r="C466" s="20">
        <f>'Raw Data'!U319</f>
        <v>0</v>
      </c>
      <c r="D466" s="21">
        <f>'Raw Data'!V319</f>
        <v>43037</v>
      </c>
      <c r="E466" s="17">
        <f t="shared" si="21"/>
        <v>29</v>
      </c>
      <c r="F466" s="17">
        <f t="shared" si="22"/>
        <v>0</v>
      </c>
      <c r="G466" s="22">
        <v>0</v>
      </c>
      <c r="H466" s="13"/>
      <c r="I466" s="81">
        <f t="shared" ca="1" si="23"/>
        <v>0</v>
      </c>
      <c r="J466" s="13"/>
    </row>
    <row r="467" spans="1:10">
      <c r="A467" s="19" t="str">
        <f>'Raw Data'!R407</f>
        <v>Books</v>
      </c>
      <c r="B467" s="6" t="str">
        <f>'Raw Data'!S407</f>
        <v>David</v>
      </c>
      <c r="C467" s="20">
        <f>'Raw Data'!U407</f>
        <v>0</v>
      </c>
      <c r="D467" s="21">
        <f>'Raw Data'!V407</f>
        <v>43037</v>
      </c>
      <c r="E467" s="17">
        <f t="shared" si="21"/>
        <v>29</v>
      </c>
      <c r="F467" s="17">
        <f t="shared" si="22"/>
        <v>0</v>
      </c>
      <c r="G467" s="22">
        <v>0</v>
      </c>
      <c r="H467" s="13"/>
      <c r="I467" s="81">
        <f t="shared" ca="1" si="23"/>
        <v>0</v>
      </c>
      <c r="J467" s="13"/>
    </row>
    <row r="468" spans="1:10">
      <c r="A468" s="19" t="str">
        <f>'Raw Data'!R84</f>
        <v>Games</v>
      </c>
      <c r="B468" s="6" t="str">
        <f>'Raw Data'!S84</f>
        <v>Alice</v>
      </c>
      <c r="C468" s="20">
        <f>'Raw Data'!U84</f>
        <v>1228</v>
      </c>
      <c r="D468" s="21">
        <f>'Raw Data'!V84</f>
        <v>43038</v>
      </c>
      <c r="E468" s="17">
        <f t="shared" si="21"/>
        <v>30</v>
      </c>
      <c r="F468" s="17">
        <f t="shared" si="22"/>
        <v>1</v>
      </c>
      <c r="G468" s="22">
        <v>42.34482758620689</v>
      </c>
      <c r="H468" s="13"/>
      <c r="I468" s="81">
        <f t="shared" ca="1" si="23"/>
        <v>17.055555555555557</v>
      </c>
      <c r="J468" s="13"/>
    </row>
    <row r="469" spans="1:10">
      <c r="A469" s="19" t="str">
        <f>'Raw Data'!R136</f>
        <v>Clothing</v>
      </c>
      <c r="B469" s="6" t="str">
        <f>'Raw Data'!S136</f>
        <v>Alice</v>
      </c>
      <c r="C469" s="20">
        <f>'Raw Data'!U136</f>
        <v>1305</v>
      </c>
      <c r="D469" s="21">
        <f>'Raw Data'!V136</f>
        <v>43038</v>
      </c>
      <c r="E469" s="17">
        <f t="shared" si="21"/>
        <v>30</v>
      </c>
      <c r="F469" s="17">
        <f t="shared" si="22"/>
        <v>1</v>
      </c>
      <c r="G469" s="22">
        <v>51.176470588235297</v>
      </c>
      <c r="H469" s="13"/>
      <c r="I469" s="81">
        <f t="shared" ca="1" si="23"/>
        <v>46.774193548387096</v>
      </c>
      <c r="J469" s="13"/>
    </row>
    <row r="470" spans="1:10">
      <c r="A470" s="19" t="str">
        <f>'Raw Data'!R198</f>
        <v>Books</v>
      </c>
      <c r="B470" s="6" t="str">
        <f>'Raw Data'!S198</f>
        <v>Alice</v>
      </c>
      <c r="C470" s="20">
        <f>'Raw Data'!U198</f>
        <v>0</v>
      </c>
      <c r="D470" s="21">
        <f>'Raw Data'!V198</f>
        <v>43038</v>
      </c>
      <c r="E470" s="17">
        <f t="shared" si="21"/>
        <v>30</v>
      </c>
      <c r="F470" s="17">
        <f t="shared" si="22"/>
        <v>0</v>
      </c>
      <c r="G470" s="22">
        <v>0</v>
      </c>
      <c r="H470" s="13"/>
      <c r="I470" s="81">
        <f t="shared" ca="1" si="23"/>
        <v>0</v>
      </c>
      <c r="J470" s="13"/>
    </row>
    <row r="471" spans="1:10">
      <c r="A471" s="19" t="str">
        <f>'Raw Data'!R222</f>
        <v>Music</v>
      </c>
      <c r="B471" s="6" t="str">
        <f>'Raw Data'!S222</f>
        <v>Alice</v>
      </c>
      <c r="C471" s="20">
        <f>'Raw Data'!U222</f>
        <v>0</v>
      </c>
      <c r="D471" s="21">
        <f>'Raw Data'!V222</f>
        <v>43038</v>
      </c>
      <c r="E471" s="17">
        <f t="shared" si="21"/>
        <v>30</v>
      </c>
      <c r="F471" s="17">
        <f t="shared" si="22"/>
        <v>0</v>
      </c>
      <c r="G471" s="22">
        <v>0</v>
      </c>
      <c r="H471" s="13"/>
      <c r="I471" s="81">
        <f t="shared" ca="1" si="23"/>
        <v>0</v>
      </c>
      <c r="J471" s="13"/>
    </row>
    <row r="472" spans="1:10">
      <c r="A472" s="19" t="str">
        <f>'Raw Data'!R251</f>
        <v>Clothing</v>
      </c>
      <c r="B472" s="6" t="str">
        <f>'Raw Data'!S251</f>
        <v>Barney</v>
      </c>
      <c r="C472" s="20">
        <f>'Raw Data'!U251</f>
        <v>0</v>
      </c>
      <c r="D472" s="21">
        <f>'Raw Data'!V251</f>
        <v>43038</v>
      </c>
      <c r="E472" s="17">
        <f t="shared" si="21"/>
        <v>30</v>
      </c>
      <c r="F472" s="17">
        <f t="shared" si="22"/>
        <v>0</v>
      </c>
      <c r="G472" s="22">
        <v>0</v>
      </c>
      <c r="H472" s="13"/>
      <c r="I472" s="81">
        <f t="shared" ca="1" si="23"/>
        <v>0</v>
      </c>
      <c r="J472" s="13"/>
    </row>
    <row r="473" spans="1:10">
      <c r="A473" s="19" t="str">
        <f>'Raw Data'!R252</f>
        <v>Music</v>
      </c>
      <c r="B473" s="6" t="str">
        <f>'Raw Data'!S252</f>
        <v>Barney</v>
      </c>
      <c r="C473" s="20">
        <f>'Raw Data'!U252</f>
        <v>1227</v>
      </c>
      <c r="D473" s="21">
        <f>'Raw Data'!V252</f>
        <v>43038</v>
      </c>
      <c r="E473" s="17">
        <f t="shared" si="21"/>
        <v>30</v>
      </c>
      <c r="F473" s="17">
        <f t="shared" si="22"/>
        <v>1</v>
      </c>
      <c r="G473" s="22">
        <v>371.81818181818181</v>
      </c>
      <c r="H473" s="13"/>
      <c r="I473" s="81">
        <f t="shared" ca="1" si="23"/>
        <v>395.80645161290323</v>
      </c>
      <c r="J473" s="13"/>
    </row>
    <row r="474" spans="1:10">
      <c r="A474" s="19" t="str">
        <f>'Raw Data'!R331</f>
        <v>Games</v>
      </c>
      <c r="B474" s="6" t="str">
        <f>'Raw Data'!S331</f>
        <v>Barney</v>
      </c>
      <c r="C474" s="20">
        <f>'Raw Data'!U331</f>
        <v>0</v>
      </c>
      <c r="D474" s="21">
        <f>'Raw Data'!V331</f>
        <v>43038</v>
      </c>
      <c r="E474" s="17">
        <f t="shared" si="21"/>
        <v>30</v>
      </c>
      <c r="F474" s="17">
        <f t="shared" si="22"/>
        <v>0</v>
      </c>
      <c r="G474" s="22">
        <v>0</v>
      </c>
      <c r="H474" s="13"/>
      <c r="I474" s="81">
        <f t="shared" ca="1" si="23"/>
        <v>0</v>
      </c>
      <c r="J474" s="13"/>
    </row>
    <row r="475" spans="1:10">
      <c r="A475" s="19" t="str">
        <f>'Raw Data'!R448</f>
        <v>Books</v>
      </c>
      <c r="B475" s="6" t="str">
        <f>'Raw Data'!S448</f>
        <v>Barney</v>
      </c>
      <c r="C475" s="20">
        <f>'Raw Data'!U448</f>
        <v>695</v>
      </c>
      <c r="D475" s="21">
        <f>'Raw Data'!V448</f>
        <v>43038</v>
      </c>
      <c r="E475" s="17">
        <f t="shared" si="21"/>
        <v>30</v>
      </c>
      <c r="F475" s="17">
        <f t="shared" si="22"/>
        <v>1</v>
      </c>
      <c r="G475" s="22">
        <v>131.1320754716981</v>
      </c>
      <c r="H475" s="13"/>
      <c r="I475" s="81">
        <f t="shared" ca="1" si="23"/>
        <v>48.601398601398607</v>
      </c>
      <c r="J475" s="13"/>
    </row>
    <row r="476" spans="1:10">
      <c r="A476" s="19" t="str">
        <f>'Raw Data'!R37</f>
        <v>Clothing</v>
      </c>
      <c r="B476" s="6" t="str">
        <f>'Raw Data'!S37</f>
        <v>Carol</v>
      </c>
      <c r="C476" s="20">
        <f>'Raw Data'!U37</f>
        <v>0</v>
      </c>
      <c r="D476" s="21">
        <f>'Raw Data'!V37</f>
        <v>43038</v>
      </c>
      <c r="E476" s="17">
        <f t="shared" si="21"/>
        <v>30</v>
      </c>
      <c r="F476" s="17">
        <f t="shared" si="22"/>
        <v>0</v>
      </c>
      <c r="G476" s="22">
        <v>0</v>
      </c>
      <c r="H476" s="13"/>
      <c r="I476" s="81">
        <f t="shared" ca="1" si="23"/>
        <v>0</v>
      </c>
      <c r="J476" s="13"/>
    </row>
    <row r="477" spans="1:10">
      <c r="A477" s="19" t="str">
        <f>'Raw Data'!R40</f>
        <v>Books</v>
      </c>
      <c r="B477" s="6" t="str">
        <f>'Raw Data'!S40</f>
        <v>Carol</v>
      </c>
      <c r="C477" s="20">
        <f>'Raw Data'!U40</f>
        <v>731</v>
      </c>
      <c r="D477" s="21">
        <f>'Raw Data'!V40</f>
        <v>43038</v>
      </c>
      <c r="E477" s="17">
        <f t="shared" si="21"/>
        <v>30</v>
      </c>
      <c r="F477" s="17">
        <f t="shared" si="22"/>
        <v>1</v>
      </c>
      <c r="G477" s="22">
        <v>53.750000000000007</v>
      </c>
      <c r="H477" s="13"/>
      <c r="I477" s="81">
        <f t="shared" ca="1" si="23"/>
        <v>100.13698630136986</v>
      </c>
      <c r="J477" s="13"/>
    </row>
    <row r="478" spans="1:10">
      <c r="A478" s="19" t="str">
        <f>'Raw Data'!R203</f>
        <v>Music</v>
      </c>
      <c r="B478" s="6" t="str">
        <f>'Raw Data'!S203</f>
        <v>Carol</v>
      </c>
      <c r="C478" s="20">
        <f>'Raw Data'!U203</f>
        <v>1133</v>
      </c>
      <c r="D478" s="21">
        <f>'Raw Data'!V203</f>
        <v>43038</v>
      </c>
      <c r="E478" s="17">
        <f t="shared" si="21"/>
        <v>30</v>
      </c>
      <c r="F478" s="17">
        <f t="shared" si="22"/>
        <v>1</v>
      </c>
      <c r="G478" s="22">
        <v>283.25</v>
      </c>
      <c r="H478" s="13"/>
      <c r="I478" s="81">
        <f t="shared" ca="1" si="23"/>
        <v>179.84126984126985</v>
      </c>
      <c r="J478" s="13"/>
    </row>
    <row r="479" spans="1:10">
      <c r="A479" s="19" t="str">
        <f>'Raw Data'!R249</f>
        <v>Games</v>
      </c>
      <c r="B479" s="6" t="str">
        <f>'Raw Data'!S249</f>
        <v>Carol</v>
      </c>
      <c r="C479" s="20">
        <f>'Raw Data'!U249</f>
        <v>803</v>
      </c>
      <c r="D479" s="21">
        <f>'Raw Data'!V249</f>
        <v>43038</v>
      </c>
      <c r="E479" s="17">
        <f t="shared" si="21"/>
        <v>30</v>
      </c>
      <c r="F479" s="17">
        <f t="shared" si="22"/>
        <v>1</v>
      </c>
      <c r="G479" s="22">
        <v>20.074999999999999</v>
      </c>
      <c r="H479" s="13"/>
      <c r="I479" s="81">
        <f t="shared" ca="1" si="23"/>
        <v>25.09375</v>
      </c>
      <c r="J479" s="13"/>
    </row>
    <row r="480" spans="1:10">
      <c r="A480" s="19" t="str">
        <f>'Raw Data'!R83</f>
        <v>Music</v>
      </c>
      <c r="B480" s="6" t="str">
        <f>'Raw Data'!S83</f>
        <v>David</v>
      </c>
      <c r="C480" s="20">
        <f>'Raw Data'!U83</f>
        <v>0</v>
      </c>
      <c r="D480" s="21">
        <f>'Raw Data'!V83</f>
        <v>43038</v>
      </c>
      <c r="E480" s="17">
        <f t="shared" si="21"/>
        <v>30</v>
      </c>
      <c r="F480" s="17">
        <f t="shared" si="22"/>
        <v>0</v>
      </c>
      <c r="G480" s="22">
        <v>0</v>
      </c>
      <c r="H480" s="13"/>
      <c r="I480" s="81">
        <f t="shared" ca="1" si="23"/>
        <v>0</v>
      </c>
      <c r="J480" s="13"/>
    </row>
    <row r="481" spans="1:10">
      <c r="A481" s="19" t="str">
        <f>'Raw Data'!R256</f>
        <v>Books</v>
      </c>
      <c r="B481" s="6" t="str">
        <f>'Raw Data'!S256</f>
        <v>David</v>
      </c>
      <c r="C481" s="20">
        <f>'Raw Data'!U256</f>
        <v>553</v>
      </c>
      <c r="D481" s="21">
        <f>'Raw Data'!V256</f>
        <v>43038</v>
      </c>
      <c r="E481" s="17">
        <f t="shared" si="21"/>
        <v>30</v>
      </c>
      <c r="F481" s="17">
        <f t="shared" si="22"/>
        <v>1</v>
      </c>
      <c r="G481" s="22">
        <v>37.61904761904762</v>
      </c>
      <c r="H481" s="13"/>
      <c r="I481" s="81">
        <f t="shared" ca="1" si="23"/>
        <v>47.672413793103452</v>
      </c>
      <c r="J481" s="13"/>
    </row>
    <row r="482" spans="1:10">
      <c r="A482" s="19" t="str">
        <f>'Raw Data'!R284</f>
        <v>Games</v>
      </c>
      <c r="B482" s="6" t="str">
        <f>'Raw Data'!S284</f>
        <v>David</v>
      </c>
      <c r="C482" s="20">
        <f>'Raw Data'!U284</f>
        <v>1281</v>
      </c>
      <c r="D482" s="21">
        <f>'Raw Data'!V284</f>
        <v>43038</v>
      </c>
      <c r="E482" s="17">
        <f t="shared" si="21"/>
        <v>30</v>
      </c>
      <c r="F482" s="17">
        <f t="shared" si="22"/>
        <v>1</v>
      </c>
      <c r="G482" s="22">
        <v>29.790697674418606</v>
      </c>
      <c r="H482" s="13"/>
      <c r="I482" s="81">
        <f t="shared" ca="1" si="23"/>
        <v>51.24</v>
      </c>
      <c r="J482" s="13"/>
    </row>
    <row r="483" spans="1:10">
      <c r="A483" s="19" t="str">
        <f>'Raw Data'!R484</f>
        <v>Clothing</v>
      </c>
      <c r="B483" s="6" t="str">
        <f>'Raw Data'!S484</f>
        <v>David</v>
      </c>
      <c r="C483" s="20">
        <f>'Raw Data'!U484</f>
        <v>660</v>
      </c>
      <c r="D483" s="21">
        <f>'Raw Data'!V484</f>
        <v>43038</v>
      </c>
      <c r="E483" s="17">
        <f t="shared" si="21"/>
        <v>30</v>
      </c>
      <c r="F483" s="17">
        <f t="shared" si="22"/>
        <v>1</v>
      </c>
      <c r="G483" s="22">
        <v>26.19047619047619</v>
      </c>
      <c r="H483" s="13"/>
      <c r="I483" s="81">
        <f t="shared" ca="1" si="23"/>
        <v>19.298245614035086</v>
      </c>
      <c r="J483" s="13"/>
    </row>
    <row r="484" spans="1:10">
      <c r="A484" s="19" t="str">
        <f>'Raw Data'!R15</f>
        <v>Music</v>
      </c>
      <c r="B484" s="6" t="str">
        <f>'Raw Data'!S15</f>
        <v>Alice</v>
      </c>
      <c r="C484" s="20">
        <f>'Raw Data'!U15</f>
        <v>1142</v>
      </c>
      <c r="D484" s="21">
        <f>'Raw Data'!V15</f>
        <v>43039</v>
      </c>
      <c r="E484" s="17">
        <f t="shared" si="21"/>
        <v>31</v>
      </c>
      <c r="F484" s="17">
        <f t="shared" si="22"/>
        <v>1</v>
      </c>
      <c r="G484" s="22">
        <v>262.52873563218395</v>
      </c>
      <c r="H484" s="13"/>
      <c r="I484" s="81">
        <f t="shared" ca="1" si="23"/>
        <v>165.50724637681159</v>
      </c>
      <c r="J484" s="13"/>
    </row>
    <row r="485" spans="1:10">
      <c r="A485" s="19" t="str">
        <f>'Raw Data'!R149</f>
        <v>Books</v>
      </c>
      <c r="B485" s="6" t="str">
        <f>'Raw Data'!S149</f>
        <v>Alice</v>
      </c>
      <c r="C485" s="20">
        <f>'Raw Data'!U149</f>
        <v>906</v>
      </c>
      <c r="D485" s="21">
        <f>'Raw Data'!V149</f>
        <v>43039</v>
      </c>
      <c r="E485" s="17">
        <f t="shared" si="21"/>
        <v>31</v>
      </c>
      <c r="F485" s="17">
        <f t="shared" si="22"/>
        <v>1</v>
      </c>
      <c r="G485" s="22">
        <v>69.692307692307693</v>
      </c>
      <c r="H485" s="13"/>
      <c r="I485" s="81">
        <f t="shared" ca="1" si="23"/>
        <v>73.658536585365852</v>
      </c>
      <c r="J485" s="13"/>
    </row>
    <row r="486" spans="1:10">
      <c r="A486" s="19" t="str">
        <f>'Raw Data'!R205</f>
        <v>Clothing</v>
      </c>
      <c r="B486" s="6" t="str">
        <f>'Raw Data'!S205</f>
        <v>Alice</v>
      </c>
      <c r="C486" s="20">
        <f>'Raw Data'!U205</f>
        <v>874</v>
      </c>
      <c r="D486" s="21">
        <f>'Raw Data'!V205</f>
        <v>43039</v>
      </c>
      <c r="E486" s="17">
        <f t="shared" si="21"/>
        <v>31</v>
      </c>
      <c r="F486" s="17">
        <f t="shared" si="22"/>
        <v>1</v>
      </c>
      <c r="G486" s="22">
        <v>41.032863849765263</v>
      </c>
      <c r="H486" s="13"/>
      <c r="I486" s="81">
        <f t="shared" ca="1" si="23"/>
        <v>58.266666666666666</v>
      </c>
      <c r="J486" s="13"/>
    </row>
    <row r="487" spans="1:10">
      <c r="A487" s="19" t="str">
        <f>'Raw Data'!R369</f>
        <v>Games</v>
      </c>
      <c r="B487" s="6" t="str">
        <f>'Raw Data'!S369</f>
        <v>Alice</v>
      </c>
      <c r="C487" s="20">
        <f>'Raw Data'!U369</f>
        <v>1364</v>
      </c>
      <c r="D487" s="21">
        <f>'Raw Data'!V369</f>
        <v>43039</v>
      </c>
      <c r="E487" s="17">
        <f t="shared" si="21"/>
        <v>31</v>
      </c>
      <c r="F487" s="17">
        <f t="shared" si="22"/>
        <v>1</v>
      </c>
      <c r="G487" s="22">
        <v>26.23076923076923</v>
      </c>
      <c r="H487" s="13"/>
      <c r="I487" s="81">
        <f t="shared" ca="1" si="23"/>
        <v>25.027522935779814</v>
      </c>
      <c r="J487" s="13"/>
    </row>
    <row r="488" spans="1:10">
      <c r="A488" s="19" t="str">
        <f>'Raw Data'!R57</f>
        <v>Music</v>
      </c>
      <c r="B488" s="6" t="str">
        <f>'Raw Data'!S57</f>
        <v>Barney</v>
      </c>
      <c r="C488" s="20">
        <f>'Raw Data'!U57</f>
        <v>1155</v>
      </c>
      <c r="D488" s="21">
        <f>'Raw Data'!V57</f>
        <v>43039</v>
      </c>
      <c r="E488" s="17">
        <f t="shared" si="21"/>
        <v>31</v>
      </c>
      <c r="F488" s="17">
        <f t="shared" si="22"/>
        <v>1</v>
      </c>
      <c r="G488" s="22">
        <v>316.43835616438355</v>
      </c>
      <c r="H488" s="13"/>
      <c r="I488" s="81">
        <f t="shared" ca="1" si="23"/>
        <v>222.11538461538461</v>
      </c>
      <c r="J488" s="13"/>
    </row>
    <row r="489" spans="1:10">
      <c r="A489" s="19" t="str">
        <f>'Raw Data'!R235</f>
        <v>Books</v>
      </c>
      <c r="B489" s="6" t="str">
        <f>'Raw Data'!S235</f>
        <v>Barney</v>
      </c>
      <c r="C489" s="20">
        <f>'Raw Data'!U235</f>
        <v>0</v>
      </c>
      <c r="D489" s="21">
        <f>'Raw Data'!V235</f>
        <v>43039</v>
      </c>
      <c r="E489" s="17">
        <f t="shared" si="21"/>
        <v>31</v>
      </c>
      <c r="F489" s="17">
        <f t="shared" si="22"/>
        <v>0</v>
      </c>
      <c r="G489" s="22">
        <v>0</v>
      </c>
      <c r="H489" s="13"/>
      <c r="I489" s="81">
        <f t="shared" ca="1" si="23"/>
        <v>0</v>
      </c>
      <c r="J489" s="13"/>
    </row>
    <row r="490" spans="1:10">
      <c r="A490" s="19" t="str">
        <f>'Raw Data'!R264</f>
        <v>Clothing</v>
      </c>
      <c r="B490" s="6" t="str">
        <f>'Raw Data'!S264</f>
        <v>Barney</v>
      </c>
      <c r="C490" s="20">
        <f>'Raw Data'!U264</f>
        <v>0</v>
      </c>
      <c r="D490" s="21">
        <f>'Raw Data'!V264</f>
        <v>43039</v>
      </c>
      <c r="E490" s="17">
        <f t="shared" si="21"/>
        <v>31</v>
      </c>
      <c r="F490" s="17">
        <f t="shared" si="22"/>
        <v>0</v>
      </c>
      <c r="G490" s="22">
        <v>0</v>
      </c>
      <c r="H490" s="13"/>
      <c r="I490" s="81">
        <f t="shared" ca="1" si="23"/>
        <v>0</v>
      </c>
      <c r="J490" s="13"/>
    </row>
    <row r="491" spans="1:10">
      <c r="A491" s="19" t="str">
        <f>'Raw Data'!R341</f>
        <v>Games</v>
      </c>
      <c r="B491" s="6" t="str">
        <f>'Raw Data'!S341</f>
        <v>Barney</v>
      </c>
      <c r="C491" s="20">
        <f>'Raw Data'!U341</f>
        <v>1381</v>
      </c>
      <c r="D491" s="21">
        <f>'Raw Data'!V341</f>
        <v>43039</v>
      </c>
      <c r="E491" s="17">
        <f t="shared" si="21"/>
        <v>31</v>
      </c>
      <c r="F491" s="17">
        <f t="shared" si="22"/>
        <v>1</v>
      </c>
      <c r="G491" s="22">
        <v>20.766917293233082</v>
      </c>
      <c r="H491" s="13"/>
      <c r="I491" s="81">
        <f t="shared" ca="1" si="23"/>
        <v>32.494117647058822</v>
      </c>
      <c r="J491" s="13"/>
    </row>
    <row r="492" spans="1:10">
      <c r="A492" s="19" t="str">
        <f>'Raw Data'!R6</f>
        <v>Music</v>
      </c>
      <c r="B492" s="6" t="str">
        <f>'Raw Data'!S6</f>
        <v>Carol</v>
      </c>
      <c r="C492" s="20">
        <f>'Raw Data'!U6</f>
        <v>1305</v>
      </c>
      <c r="D492" s="21">
        <f>'Raw Data'!V6</f>
        <v>43039</v>
      </c>
      <c r="E492" s="17">
        <f t="shared" si="21"/>
        <v>31</v>
      </c>
      <c r="F492" s="17">
        <f t="shared" si="22"/>
        <v>1</v>
      </c>
      <c r="G492" s="22">
        <v>212.19512195121951</v>
      </c>
      <c r="H492" s="13"/>
      <c r="I492" s="81">
        <f t="shared" ca="1" si="23"/>
        <v>352.70270270270271</v>
      </c>
      <c r="J492" s="13"/>
    </row>
    <row r="493" spans="1:10">
      <c r="A493" s="19" t="str">
        <f>'Raw Data'!R267</f>
        <v>Clothing</v>
      </c>
      <c r="B493" s="6" t="str">
        <f>'Raw Data'!S267</f>
        <v>Carol</v>
      </c>
      <c r="C493" s="20">
        <f>'Raw Data'!U267</f>
        <v>0</v>
      </c>
      <c r="D493" s="21">
        <f>'Raw Data'!V267</f>
        <v>43039</v>
      </c>
      <c r="E493" s="17">
        <f t="shared" si="21"/>
        <v>31</v>
      </c>
      <c r="F493" s="17">
        <f t="shared" si="22"/>
        <v>0</v>
      </c>
      <c r="G493" s="22">
        <v>0</v>
      </c>
      <c r="H493" s="13"/>
      <c r="I493" s="81">
        <f t="shared" ca="1" si="23"/>
        <v>0</v>
      </c>
      <c r="J493" s="13"/>
    </row>
    <row r="494" spans="1:10">
      <c r="A494" s="19" t="str">
        <f>'Raw Data'!R326</f>
        <v>Books</v>
      </c>
      <c r="B494" s="6" t="str">
        <f>'Raw Data'!S326</f>
        <v>Carol</v>
      </c>
      <c r="C494" s="20">
        <f>'Raw Data'!U326</f>
        <v>900</v>
      </c>
      <c r="D494" s="21">
        <f>'Raw Data'!V326</f>
        <v>43039</v>
      </c>
      <c r="E494" s="17">
        <f t="shared" si="21"/>
        <v>31</v>
      </c>
      <c r="F494" s="17">
        <f t="shared" si="22"/>
        <v>1</v>
      </c>
      <c r="G494" s="22">
        <v>125.00000000000001</v>
      </c>
      <c r="H494" s="13"/>
      <c r="I494" s="81">
        <f t="shared" ca="1" si="23"/>
        <v>155.17241379310343</v>
      </c>
      <c r="J494" s="13"/>
    </row>
    <row r="495" spans="1:10">
      <c r="A495" s="19" t="str">
        <f>'Raw Data'!R421</f>
        <v>Games</v>
      </c>
      <c r="B495" s="6" t="str">
        <f>'Raw Data'!S421</f>
        <v>Carol</v>
      </c>
      <c r="C495" s="20">
        <f>'Raw Data'!U421</f>
        <v>0</v>
      </c>
      <c r="D495" s="21">
        <f>'Raw Data'!V421</f>
        <v>43039</v>
      </c>
      <c r="E495" s="17">
        <f t="shared" si="21"/>
        <v>31</v>
      </c>
      <c r="F495" s="17">
        <f t="shared" si="22"/>
        <v>0</v>
      </c>
      <c r="G495" s="22">
        <v>0</v>
      </c>
      <c r="H495" s="13"/>
      <c r="I495" s="81">
        <f t="shared" ca="1" si="23"/>
        <v>0</v>
      </c>
      <c r="J495" s="13"/>
    </row>
    <row r="496" spans="1:10">
      <c r="A496" s="19" t="str">
        <f>'Raw Data'!R214</f>
        <v>Games</v>
      </c>
      <c r="B496" s="6" t="str">
        <f>'Raw Data'!S214</f>
        <v>David</v>
      </c>
      <c r="C496" s="20">
        <f>'Raw Data'!U214</f>
        <v>1562</v>
      </c>
      <c r="D496" s="21">
        <f>'Raw Data'!V214</f>
        <v>43039</v>
      </c>
      <c r="E496" s="17">
        <f t="shared" si="21"/>
        <v>31</v>
      </c>
      <c r="F496" s="17">
        <f t="shared" si="22"/>
        <v>1</v>
      </c>
      <c r="G496" s="22">
        <v>44</v>
      </c>
      <c r="H496" s="13"/>
      <c r="I496" s="81">
        <f t="shared" ca="1" si="23"/>
        <v>26.474576271186439</v>
      </c>
      <c r="J496" s="13"/>
    </row>
    <row r="497" spans="1:10">
      <c r="A497" s="19" t="str">
        <f>'Raw Data'!R344</f>
        <v>Music</v>
      </c>
      <c r="B497" s="6" t="str">
        <f>'Raw Data'!S344</f>
        <v>David</v>
      </c>
      <c r="C497" s="20">
        <f>'Raw Data'!U344</f>
        <v>1247</v>
      </c>
      <c r="D497" s="21">
        <f>'Raw Data'!V344</f>
        <v>43039</v>
      </c>
      <c r="E497" s="17">
        <f t="shared" si="21"/>
        <v>31</v>
      </c>
      <c r="F497" s="17">
        <f t="shared" si="22"/>
        <v>1</v>
      </c>
      <c r="G497" s="22">
        <v>196.37795275590551</v>
      </c>
      <c r="H497" s="13"/>
      <c r="I497" s="81">
        <f t="shared" ca="1" si="23"/>
        <v>479.61538461538458</v>
      </c>
      <c r="J497" s="13"/>
    </row>
    <row r="498" spans="1:10">
      <c r="A498" s="19" t="str">
        <f>'Raw Data'!R354</f>
        <v>Books</v>
      </c>
      <c r="B498" s="6" t="str">
        <f>'Raw Data'!S354</f>
        <v>David</v>
      </c>
      <c r="C498" s="20">
        <f>'Raw Data'!U354</f>
        <v>629</v>
      </c>
      <c r="D498" s="21">
        <f>'Raw Data'!V354</f>
        <v>43039</v>
      </c>
      <c r="E498" s="17">
        <f t="shared" si="21"/>
        <v>31</v>
      </c>
      <c r="F498" s="17">
        <f t="shared" si="22"/>
        <v>1</v>
      </c>
      <c r="G498" s="22">
        <v>47.293233082706763</v>
      </c>
      <c r="H498" s="13"/>
      <c r="I498" s="81">
        <f t="shared" ca="1" si="23"/>
        <v>56.160714285714278</v>
      </c>
      <c r="J498" s="13"/>
    </row>
    <row r="499" spans="1:10">
      <c r="A499" s="19" t="str">
        <f>'Raw Data'!R377</f>
        <v>Clothing</v>
      </c>
      <c r="B499" s="6" t="str">
        <f>'Raw Data'!S377</f>
        <v>David</v>
      </c>
      <c r="C499" s="20">
        <f>'Raw Data'!U377</f>
        <v>1389</v>
      </c>
      <c r="D499" s="21">
        <f>'Raw Data'!V377</f>
        <v>43039</v>
      </c>
      <c r="E499" s="17">
        <f t="shared" si="21"/>
        <v>31</v>
      </c>
      <c r="F499" s="17">
        <f t="shared" si="22"/>
        <v>1</v>
      </c>
      <c r="G499" s="22">
        <v>32.37762237762238</v>
      </c>
      <c r="H499" s="13"/>
      <c r="I499" s="81">
        <f t="shared" ca="1" si="23"/>
        <v>72.34375</v>
      </c>
      <c r="J499" s="13"/>
    </row>
  </sheetData>
  <mergeCells count="1">
    <mergeCell ref="K3:L3"/>
  </mergeCells>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EEFDE8-685D-4882-8409-D4606656750F}">
  <sheetPr codeName="Sheet5"/>
  <dimension ref="A1:L93"/>
  <sheetViews>
    <sheetView zoomScale="70" zoomScaleNormal="70" workbookViewId="0">
      <selection activeCell="C33" sqref="C33:E33"/>
    </sheetView>
  </sheetViews>
  <sheetFormatPr defaultRowHeight="14.4"/>
  <cols>
    <col min="1" max="1" width="12.5546875" bestFit="1" customWidth="1"/>
    <col min="2" max="2" width="22.109375" bestFit="1" customWidth="1"/>
    <col min="3" max="3" width="24.88671875" bestFit="1" customWidth="1"/>
    <col min="4" max="4" width="26.88671875" bestFit="1" customWidth="1"/>
    <col min="5" max="5" width="13.88671875" bestFit="1" customWidth="1"/>
    <col min="6" max="6" width="24.5546875" bestFit="1" customWidth="1"/>
    <col min="7" max="7" width="23.88671875" bestFit="1" customWidth="1"/>
  </cols>
  <sheetData>
    <row r="1" spans="1:12">
      <c r="A1" s="11" t="s">
        <v>511</v>
      </c>
      <c r="B1" t="s">
        <v>513</v>
      </c>
      <c r="E1" s="11" t="s">
        <v>511</v>
      </c>
      <c r="F1" t="s">
        <v>527</v>
      </c>
    </row>
    <row r="2" spans="1:12">
      <c r="A2" s="14" t="s">
        <v>516</v>
      </c>
      <c r="B2">
        <v>69751</v>
      </c>
      <c r="E2" s="14" t="s">
        <v>520</v>
      </c>
      <c r="F2">
        <v>93</v>
      </c>
    </row>
    <row r="3" spans="1:12">
      <c r="A3" s="14" t="s">
        <v>517</v>
      </c>
      <c r="B3">
        <v>116619</v>
      </c>
      <c r="E3" s="14" t="s">
        <v>521</v>
      </c>
      <c r="F3">
        <v>91</v>
      </c>
      <c r="K3" s="14"/>
    </row>
    <row r="4" spans="1:12">
      <c r="A4" s="14" t="s">
        <v>519</v>
      </c>
      <c r="B4">
        <v>149204</v>
      </c>
      <c r="E4" s="14" t="s">
        <v>522</v>
      </c>
      <c r="F4">
        <v>92</v>
      </c>
      <c r="K4" s="14"/>
    </row>
    <row r="5" spans="1:12">
      <c r="A5" s="14" t="s">
        <v>518</v>
      </c>
      <c r="B5">
        <v>105948</v>
      </c>
      <c r="E5" s="14" t="s">
        <v>523</v>
      </c>
      <c r="F5">
        <v>90</v>
      </c>
      <c r="K5" s="14"/>
    </row>
    <row r="6" spans="1:12">
      <c r="A6" s="14" t="s">
        <v>512</v>
      </c>
      <c r="B6">
        <v>441522</v>
      </c>
      <c r="E6" s="14" t="s">
        <v>512</v>
      </c>
      <c r="F6">
        <v>366</v>
      </c>
      <c r="K6" s="14"/>
    </row>
    <row r="12" spans="1:12">
      <c r="A12" s="11" t="s">
        <v>511</v>
      </c>
      <c r="B12" t="s">
        <v>513</v>
      </c>
      <c r="E12" s="11" t="s">
        <v>511</v>
      </c>
      <c r="F12" t="s">
        <v>524</v>
      </c>
    </row>
    <row r="13" spans="1:12">
      <c r="A13" s="14" t="s">
        <v>520</v>
      </c>
      <c r="B13">
        <v>114334</v>
      </c>
      <c r="E13" s="14" t="s">
        <v>520</v>
      </c>
      <c r="F13" s="12">
        <v>0.24380804522868846</v>
      </c>
    </row>
    <row r="14" spans="1:12">
      <c r="A14" s="14" t="s">
        <v>521</v>
      </c>
      <c r="B14">
        <v>110433</v>
      </c>
      <c r="E14" s="14" t="s">
        <v>521</v>
      </c>
      <c r="F14" s="12">
        <v>0.26413823813837561</v>
      </c>
    </row>
    <row r="15" spans="1:12">
      <c r="A15" s="14" t="s">
        <v>522</v>
      </c>
      <c r="B15">
        <v>110141</v>
      </c>
      <c r="E15" s="14" t="s">
        <v>522</v>
      </c>
      <c r="F15" s="12">
        <v>0.23699816343964072</v>
      </c>
    </row>
    <row r="16" spans="1:12">
      <c r="A16" s="14" t="s">
        <v>523</v>
      </c>
      <c r="B16">
        <v>106614</v>
      </c>
      <c r="E16" s="14" t="s">
        <v>523</v>
      </c>
      <c r="F16" s="12">
        <v>0.2550555531932952</v>
      </c>
      <c r="L16" s="14"/>
    </row>
    <row r="17" spans="1:12">
      <c r="A17" s="14" t="s">
        <v>512</v>
      </c>
      <c r="B17">
        <v>441522</v>
      </c>
      <c r="E17" s="14" t="s">
        <v>512</v>
      </c>
      <c r="F17" s="12">
        <v>1</v>
      </c>
      <c r="L17" s="14"/>
    </row>
    <row r="18" spans="1:12">
      <c r="L18" s="14"/>
    </row>
    <row r="19" spans="1:12">
      <c r="L19" s="14"/>
    </row>
    <row r="25" spans="1:12">
      <c r="A25" s="11" t="s">
        <v>511</v>
      </c>
      <c r="B25" t="s">
        <v>513</v>
      </c>
      <c r="C25" t="s">
        <v>524</v>
      </c>
    </row>
    <row r="26" spans="1:12">
      <c r="A26" s="14">
        <v>1</v>
      </c>
      <c r="B26">
        <v>14883</v>
      </c>
      <c r="C26" s="13">
        <v>1073.5711330909737</v>
      </c>
    </row>
    <row r="27" spans="1:12">
      <c r="A27" s="14">
        <v>2</v>
      </c>
      <c r="B27">
        <v>15539</v>
      </c>
      <c r="C27" s="13">
        <v>1375.5717658862504</v>
      </c>
    </row>
    <row r="28" spans="1:12">
      <c r="A28" s="14">
        <v>3</v>
      </c>
      <c r="B28">
        <v>12707</v>
      </c>
      <c r="C28" s="13">
        <v>724.14661121575182</v>
      </c>
    </row>
    <row r="29" spans="1:12">
      <c r="A29" s="14">
        <v>4</v>
      </c>
      <c r="B29">
        <v>15074</v>
      </c>
      <c r="C29" s="13">
        <v>1283.9456928478405</v>
      </c>
    </row>
    <row r="30" spans="1:12">
      <c r="A30" s="14">
        <v>5</v>
      </c>
      <c r="B30">
        <v>17198</v>
      </c>
      <c r="C30" s="13">
        <v>1404.710280415688</v>
      </c>
    </row>
    <row r="31" spans="1:12">
      <c r="A31" s="14">
        <v>6</v>
      </c>
      <c r="B31">
        <v>12568</v>
      </c>
      <c r="C31" s="13">
        <v>1080.8096232540599</v>
      </c>
    </row>
    <row r="32" spans="1:12">
      <c r="A32" s="14">
        <v>7</v>
      </c>
      <c r="B32">
        <v>13381</v>
      </c>
      <c r="C32" s="13">
        <v>1209.2335873024945</v>
      </c>
    </row>
    <row r="33" spans="1:3">
      <c r="A33" s="14">
        <v>8</v>
      </c>
      <c r="B33">
        <v>16149</v>
      </c>
      <c r="C33" s="13">
        <v>1286.1702498559669</v>
      </c>
    </row>
    <row r="34" spans="1:3">
      <c r="A34" s="14">
        <v>9</v>
      </c>
      <c r="B34">
        <v>15012</v>
      </c>
      <c r="C34" s="13">
        <v>1278.7228382379437</v>
      </c>
    </row>
    <row r="35" spans="1:3">
      <c r="A35" s="14">
        <v>10</v>
      </c>
      <c r="B35">
        <v>17762</v>
      </c>
      <c r="C35" s="13">
        <v>1440.1022711394958</v>
      </c>
    </row>
    <row r="36" spans="1:3">
      <c r="A36" s="14">
        <v>11</v>
      </c>
      <c r="B36">
        <v>15674</v>
      </c>
      <c r="C36" s="13">
        <v>1266.3856402027097</v>
      </c>
    </row>
    <row r="37" spans="1:3">
      <c r="A37" s="14">
        <v>12</v>
      </c>
      <c r="B37">
        <v>16568</v>
      </c>
      <c r="C37" s="13">
        <v>1195.7850082299508</v>
      </c>
    </row>
    <row r="38" spans="1:3">
      <c r="A38" s="14">
        <v>13</v>
      </c>
      <c r="B38">
        <v>12414</v>
      </c>
      <c r="C38" s="13">
        <v>1206.3617157352337</v>
      </c>
    </row>
    <row r="39" spans="1:3">
      <c r="A39" s="14">
        <v>14</v>
      </c>
      <c r="B39">
        <v>15618</v>
      </c>
      <c r="C39" s="13">
        <v>1228.5439177990829</v>
      </c>
    </row>
    <row r="40" spans="1:3">
      <c r="A40" s="14">
        <v>15</v>
      </c>
      <c r="B40">
        <v>15724</v>
      </c>
      <c r="C40" s="13">
        <v>1970.3543961889209</v>
      </c>
    </row>
    <row r="41" spans="1:3">
      <c r="A41" s="14">
        <v>16</v>
      </c>
      <c r="B41">
        <v>13177</v>
      </c>
      <c r="C41" s="13">
        <v>1148.4584555267331</v>
      </c>
    </row>
    <row r="42" spans="1:3">
      <c r="A42" s="14">
        <v>17</v>
      </c>
      <c r="B42">
        <v>15378</v>
      </c>
      <c r="C42" s="13">
        <v>954.90963321547224</v>
      </c>
    </row>
    <row r="43" spans="1:3">
      <c r="A43" s="14">
        <v>18</v>
      </c>
      <c r="B43">
        <v>16759</v>
      </c>
      <c r="C43" s="13">
        <v>1084.9006740551949</v>
      </c>
    </row>
    <row r="44" spans="1:3">
      <c r="A44" s="14">
        <v>19</v>
      </c>
      <c r="B44">
        <v>6222</v>
      </c>
      <c r="C44" s="13">
        <v>403.37730519485177</v>
      </c>
    </row>
    <row r="45" spans="1:3">
      <c r="A45" s="14">
        <v>20</v>
      </c>
      <c r="B45">
        <v>13710</v>
      </c>
      <c r="C45" s="13">
        <v>731.90683462952541</v>
      </c>
    </row>
    <row r="46" spans="1:3">
      <c r="A46" s="14">
        <v>21</v>
      </c>
      <c r="B46">
        <v>13242</v>
      </c>
      <c r="C46" s="13">
        <v>1010.8501074006668</v>
      </c>
    </row>
    <row r="47" spans="1:3">
      <c r="A47" s="14">
        <v>22</v>
      </c>
      <c r="B47">
        <v>15319</v>
      </c>
      <c r="C47" s="13">
        <v>1661.4634035914314</v>
      </c>
    </row>
    <row r="48" spans="1:3">
      <c r="A48" s="14">
        <v>23</v>
      </c>
      <c r="B48">
        <v>14696</v>
      </c>
      <c r="C48" s="13">
        <v>1105.6836028122905</v>
      </c>
    </row>
    <row r="49" spans="1:3">
      <c r="A49" s="14">
        <v>24</v>
      </c>
      <c r="B49">
        <v>10607</v>
      </c>
      <c r="C49" s="13">
        <v>1096.0696562246812</v>
      </c>
    </row>
    <row r="50" spans="1:3">
      <c r="A50" s="14">
        <v>25</v>
      </c>
      <c r="B50">
        <v>15468</v>
      </c>
      <c r="C50" s="13">
        <v>1408.6139532272555</v>
      </c>
    </row>
    <row r="51" spans="1:3">
      <c r="A51" s="14">
        <v>26</v>
      </c>
      <c r="B51">
        <v>15583</v>
      </c>
      <c r="C51" s="13">
        <v>1534.5955020246611</v>
      </c>
    </row>
    <row r="52" spans="1:3">
      <c r="A52" s="14">
        <v>27</v>
      </c>
      <c r="B52">
        <v>12433</v>
      </c>
      <c r="C52" s="13">
        <v>1548.5136905710795</v>
      </c>
    </row>
    <row r="53" spans="1:3">
      <c r="A53" s="14">
        <v>28</v>
      </c>
      <c r="B53">
        <v>17721</v>
      </c>
      <c r="C53" s="13">
        <v>1395.9043114259691</v>
      </c>
    </row>
    <row r="54" spans="1:3">
      <c r="A54" s="14">
        <v>29</v>
      </c>
      <c r="B54">
        <v>11466</v>
      </c>
      <c r="C54" s="13">
        <v>933.83836741028529</v>
      </c>
    </row>
    <row r="55" spans="1:3">
      <c r="A55" s="14">
        <v>30</v>
      </c>
      <c r="B55">
        <v>9616</v>
      </c>
      <c r="C55" s="13">
        <v>1047.1467769482647</v>
      </c>
    </row>
    <row r="56" spans="1:3">
      <c r="A56" s="14">
        <v>31</v>
      </c>
      <c r="B56">
        <v>13854</v>
      </c>
      <c r="C56" s="13">
        <v>1393.9338800300968</v>
      </c>
    </row>
    <row r="57" spans="1:3">
      <c r="A57" s="14" t="s">
        <v>512</v>
      </c>
      <c r="B57">
        <v>441522</v>
      </c>
      <c r="C57" s="13">
        <v>37484.580885690819</v>
      </c>
    </row>
    <row r="60" spans="1:3">
      <c r="A60" s="11" t="s">
        <v>524</v>
      </c>
      <c r="B60" s="11" t="s">
        <v>528</v>
      </c>
    </row>
    <row r="61" spans="1:3">
      <c r="A61" s="11" t="s">
        <v>511</v>
      </c>
      <c r="B61" t="s">
        <v>519</v>
      </c>
      <c r="C61" t="s">
        <v>512</v>
      </c>
    </row>
    <row r="62" spans="1:3">
      <c r="A62" s="14">
        <v>1</v>
      </c>
      <c r="B62" s="13">
        <v>197.50052481631428</v>
      </c>
      <c r="C62" s="13">
        <v>197.50052481631428</v>
      </c>
    </row>
    <row r="63" spans="1:3">
      <c r="A63" s="14">
        <v>2</v>
      </c>
      <c r="B63" s="13">
        <v>142.17638116425658</v>
      </c>
      <c r="C63" s="13">
        <v>142.17638116425658</v>
      </c>
    </row>
    <row r="64" spans="1:3">
      <c r="A64" s="14">
        <v>3</v>
      </c>
      <c r="B64" s="13">
        <v>100.61713369894574</v>
      </c>
      <c r="C64" s="13">
        <v>100.61713369894574</v>
      </c>
    </row>
    <row r="65" spans="1:3">
      <c r="A65" s="14">
        <v>4</v>
      </c>
      <c r="B65" s="13">
        <v>33.531914893617021</v>
      </c>
      <c r="C65" s="13">
        <v>33.531914893617021</v>
      </c>
    </row>
    <row r="66" spans="1:3">
      <c r="A66" s="14">
        <v>5</v>
      </c>
      <c r="B66" s="13">
        <v>137.20235358725924</v>
      </c>
      <c r="C66" s="13">
        <v>137.20235358725924</v>
      </c>
    </row>
    <row r="67" spans="1:3">
      <c r="A67" s="14">
        <v>6</v>
      </c>
      <c r="B67" s="13">
        <v>121.73108330288636</v>
      </c>
      <c r="C67" s="13">
        <v>121.73108330288636</v>
      </c>
    </row>
    <row r="68" spans="1:3">
      <c r="A68" s="14">
        <v>7</v>
      </c>
      <c r="B68" s="13">
        <v>52.519491094147583</v>
      </c>
      <c r="C68" s="13">
        <v>52.519491094147583</v>
      </c>
    </row>
    <row r="69" spans="1:3">
      <c r="A69" s="14">
        <v>8</v>
      </c>
      <c r="B69" s="13">
        <v>206.74185736016722</v>
      </c>
      <c r="C69" s="13">
        <v>206.74185736016722</v>
      </c>
    </row>
    <row r="70" spans="1:3">
      <c r="A70" s="14">
        <v>9</v>
      </c>
      <c r="B70" s="13">
        <v>88.722594729455793</v>
      </c>
      <c r="C70" s="13">
        <v>88.722594729455793</v>
      </c>
    </row>
    <row r="71" spans="1:3">
      <c r="A71" s="14">
        <v>10</v>
      </c>
      <c r="B71" s="13">
        <v>139.58570352434759</v>
      </c>
      <c r="C71" s="13">
        <v>139.58570352434759</v>
      </c>
    </row>
    <row r="72" spans="1:3">
      <c r="A72" s="14">
        <v>11</v>
      </c>
      <c r="B72" s="13">
        <v>73.101887540074216</v>
      </c>
      <c r="C72" s="13">
        <v>73.101887540074216</v>
      </c>
    </row>
    <row r="73" spans="1:3">
      <c r="A73" s="14">
        <v>12</v>
      </c>
      <c r="B73" s="13">
        <v>95.980019980019989</v>
      </c>
      <c r="C73" s="13">
        <v>95.980019980019989</v>
      </c>
    </row>
    <row r="74" spans="1:3">
      <c r="A74" s="14">
        <v>13</v>
      </c>
      <c r="B74" s="13">
        <v>107.0370879120879</v>
      </c>
      <c r="C74" s="13">
        <v>107.0370879120879</v>
      </c>
    </row>
    <row r="75" spans="1:3">
      <c r="A75" s="14">
        <v>14</v>
      </c>
      <c r="B75" s="13">
        <v>160.12587519025874</v>
      </c>
      <c r="C75" s="13">
        <v>160.12587519025874</v>
      </c>
    </row>
    <row r="76" spans="1:3">
      <c r="A76" s="14">
        <v>15</v>
      </c>
      <c r="B76" s="13">
        <v>28.571428571428573</v>
      </c>
      <c r="C76" s="13">
        <v>28.571428571428573</v>
      </c>
    </row>
    <row r="77" spans="1:3">
      <c r="A77" s="14">
        <v>16</v>
      </c>
      <c r="B77" s="13">
        <v>74.474229437431489</v>
      </c>
      <c r="C77" s="13">
        <v>74.474229437431489</v>
      </c>
    </row>
    <row r="78" spans="1:3">
      <c r="A78" s="14">
        <v>17</v>
      </c>
      <c r="B78" s="13">
        <v>139.90923095972963</v>
      </c>
      <c r="C78" s="13">
        <v>139.90923095972963</v>
      </c>
    </row>
    <row r="79" spans="1:3">
      <c r="A79" s="14">
        <v>18</v>
      </c>
      <c r="B79" s="13">
        <v>181.76592280958479</v>
      </c>
      <c r="C79" s="13">
        <v>181.76592280958479</v>
      </c>
    </row>
    <row r="80" spans="1:3">
      <c r="A80" s="14">
        <v>19</v>
      </c>
      <c r="B80" s="13">
        <v>42.686309372618744</v>
      </c>
      <c r="C80" s="13">
        <v>42.686309372618744</v>
      </c>
    </row>
    <row r="81" spans="1:3">
      <c r="A81" s="14">
        <v>20</v>
      </c>
      <c r="B81" s="13">
        <v>153.50569102284788</v>
      </c>
      <c r="C81" s="13">
        <v>153.50569102284788</v>
      </c>
    </row>
    <row r="82" spans="1:3">
      <c r="A82" s="14">
        <v>21</v>
      </c>
      <c r="B82" s="13">
        <v>47.913801884390118</v>
      </c>
      <c r="C82" s="13">
        <v>47.913801884390118</v>
      </c>
    </row>
    <row r="83" spans="1:3">
      <c r="A83" s="14">
        <v>22</v>
      </c>
      <c r="B83" s="13">
        <v>71.361990950226243</v>
      </c>
      <c r="C83" s="13">
        <v>71.361990950226243</v>
      </c>
    </row>
    <row r="84" spans="1:3">
      <c r="A84" s="14">
        <v>23</v>
      </c>
      <c r="B84" s="13">
        <v>155.59430255701241</v>
      </c>
      <c r="C84" s="13">
        <v>155.59430255701241</v>
      </c>
    </row>
    <row r="85" spans="1:3">
      <c r="A85" s="14">
        <v>24</v>
      </c>
      <c r="B85" s="13">
        <v>55.137931034482762</v>
      </c>
      <c r="C85" s="13">
        <v>55.137931034482762</v>
      </c>
    </row>
    <row r="86" spans="1:3">
      <c r="A86" s="14">
        <v>25</v>
      </c>
      <c r="B86" s="13">
        <v>170.30219780219781</v>
      </c>
      <c r="C86" s="13">
        <v>170.30219780219781</v>
      </c>
    </row>
    <row r="87" spans="1:3">
      <c r="A87" s="14">
        <v>26</v>
      </c>
      <c r="B87" s="13">
        <v>62.393777246236262</v>
      </c>
      <c r="C87" s="13">
        <v>62.393777246236262</v>
      </c>
    </row>
    <row r="88" spans="1:3">
      <c r="A88" s="14">
        <v>27</v>
      </c>
      <c r="B88" s="13">
        <v>114.29839334107626</v>
      </c>
      <c r="C88" s="13">
        <v>114.29839334107626</v>
      </c>
    </row>
    <row r="89" spans="1:3">
      <c r="A89" s="14">
        <v>28</v>
      </c>
      <c r="B89" s="13">
        <v>166.16176948746471</v>
      </c>
      <c r="C89" s="13">
        <v>166.16176948746471</v>
      </c>
    </row>
    <row r="90" spans="1:3">
      <c r="A90" s="14">
        <v>29</v>
      </c>
      <c r="B90" s="13">
        <v>35.27272727272728</v>
      </c>
      <c r="C90" s="13">
        <v>35.27272727272728</v>
      </c>
    </row>
    <row r="91" spans="1:3">
      <c r="A91" s="14">
        <v>30</v>
      </c>
      <c r="B91" s="13">
        <v>92.210525260625502</v>
      </c>
      <c r="C91" s="13">
        <v>92.210525260625502</v>
      </c>
    </row>
    <row r="92" spans="1:3">
      <c r="A92" s="14">
        <v>31</v>
      </c>
      <c r="B92" s="13">
        <v>90.997686524002305</v>
      </c>
      <c r="C92" s="13">
        <v>90.997686524002305</v>
      </c>
    </row>
    <row r="93" spans="1:3">
      <c r="A93" s="14" t="s">
        <v>512</v>
      </c>
      <c r="B93" s="13">
        <v>3339.1318243279215</v>
      </c>
      <c r="C93" s="13">
        <v>3339.1318243279215</v>
      </c>
    </row>
  </sheetData>
  <pageMargins left="0.7" right="0.7" top="0.75" bottom="0.75" header="0.3" footer="0.3"/>
  <drawing r:id="rId7"/>
  <extLst>
    <ext xmlns:x14="http://schemas.microsoft.com/office/spreadsheetml/2009/9/main" uri="{A8765BA9-456A-4dab-B4F3-ACF838C121DE}">
      <x14:slicerList>
        <x14:slicer r:id="rId8"/>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BD55A1-B924-43C5-8980-31B49F2824E7}">
  <sheetPr codeName="Sheet6"/>
  <dimension ref="A2:K20"/>
  <sheetViews>
    <sheetView zoomScale="60" zoomScaleNormal="60" workbookViewId="0">
      <selection activeCell="C33" sqref="C33:E33"/>
    </sheetView>
  </sheetViews>
  <sheetFormatPr defaultRowHeight="14.4"/>
  <cols>
    <col min="1" max="1" width="12.5546875" bestFit="1" customWidth="1"/>
    <col min="2" max="2" width="25.109375" bestFit="1" customWidth="1"/>
    <col min="3" max="3" width="22.109375" bestFit="1" customWidth="1"/>
    <col min="4" max="4" width="6" bestFit="1" customWidth="1"/>
    <col min="5" max="5" width="5.77734375" bestFit="1" customWidth="1"/>
    <col min="6" max="6" width="10.77734375" bestFit="1" customWidth="1"/>
    <col min="8" max="8" width="9.88671875" bestFit="1" customWidth="1"/>
    <col min="11" max="11" width="12.5546875" bestFit="1" customWidth="1"/>
  </cols>
  <sheetData>
    <row r="2" spans="1:11">
      <c r="A2" s="11" t="s">
        <v>511</v>
      </c>
      <c r="B2" t="s">
        <v>524</v>
      </c>
    </row>
    <row r="3" spans="1:11">
      <c r="A3" s="14" t="s">
        <v>516</v>
      </c>
      <c r="B3" s="12">
        <v>0.2017626842299359</v>
      </c>
      <c r="H3" s="1" t="s">
        <v>531</v>
      </c>
      <c r="I3">
        <f>100/3</f>
        <v>33.333333333333336</v>
      </c>
      <c r="J3" s="28">
        <f>INDEX($I$8:$I$11,MATCH(Dashboard!$P$30,Pivot_2!$H$8:$H$11,0))</f>
        <v>0.2</v>
      </c>
      <c r="K3" s="59" t="s">
        <v>564</v>
      </c>
    </row>
    <row r="4" spans="1:11">
      <c r="A4" s="14" t="s">
        <v>517</v>
      </c>
      <c r="B4" s="12">
        <v>0.11233548263058708</v>
      </c>
      <c r="H4" s="1" t="s">
        <v>532</v>
      </c>
      <c r="I4">
        <f t="shared" ref="I4:I5" si="0">100/3</f>
        <v>33.333333333333336</v>
      </c>
      <c r="J4" s="28">
        <v>0.01</v>
      </c>
      <c r="K4" s="59" t="s">
        <v>530</v>
      </c>
    </row>
    <row r="5" spans="1:11">
      <c r="A5" s="14" t="s">
        <v>519</v>
      </c>
      <c r="B5" s="12">
        <v>8.908014296626654E-2</v>
      </c>
      <c r="H5" s="1" t="s">
        <v>533</v>
      </c>
      <c r="I5">
        <f t="shared" si="0"/>
        <v>33.333333333333336</v>
      </c>
      <c r="J5" s="28">
        <f>1-J3-0.01</f>
        <v>0.79</v>
      </c>
      <c r="K5" s="59" t="s">
        <v>565</v>
      </c>
    </row>
    <row r="6" spans="1:11">
      <c r="A6" s="14" t="s">
        <v>518</v>
      </c>
      <c r="B6" s="12">
        <v>0.59682169017321063</v>
      </c>
      <c r="H6" s="1" t="s">
        <v>534</v>
      </c>
      <c r="I6">
        <v>100</v>
      </c>
      <c r="J6" s="28">
        <v>1</v>
      </c>
      <c r="K6" s="59" t="s">
        <v>566</v>
      </c>
    </row>
    <row r="7" spans="1:11">
      <c r="A7" s="14" t="s">
        <v>512</v>
      </c>
      <c r="B7" s="12">
        <v>1</v>
      </c>
    </row>
    <row r="8" spans="1:11">
      <c r="H8" t="s">
        <v>516</v>
      </c>
      <c r="I8" s="28">
        <v>0.2</v>
      </c>
    </row>
    <row r="9" spans="1:11">
      <c r="H9" t="s">
        <v>517</v>
      </c>
      <c r="I9" s="28">
        <v>0.11</v>
      </c>
    </row>
    <row r="10" spans="1:11">
      <c r="H10" t="s">
        <v>519</v>
      </c>
      <c r="I10" s="28">
        <v>0.09</v>
      </c>
    </row>
    <row r="11" spans="1:11">
      <c r="H11" t="s">
        <v>518</v>
      </c>
      <c r="I11" s="28">
        <v>0.6</v>
      </c>
    </row>
    <row r="12" spans="1:11">
      <c r="H12" t="s">
        <v>529</v>
      </c>
      <c r="I12" s="28">
        <v>0.99</v>
      </c>
    </row>
    <row r="13" spans="1:11">
      <c r="I13" s="28"/>
    </row>
    <row r="14" spans="1:11">
      <c r="I14" s="28"/>
      <c r="J14" s="28"/>
    </row>
    <row r="15" spans="1:11">
      <c r="A15" s="11" t="s">
        <v>511</v>
      </c>
      <c r="B15" t="s">
        <v>524</v>
      </c>
      <c r="C15" t="s">
        <v>513</v>
      </c>
    </row>
    <row r="16" spans="1:11">
      <c r="A16" s="14" t="s">
        <v>516</v>
      </c>
      <c r="B16" s="12">
        <v>0.2017626842299359</v>
      </c>
      <c r="C16" s="12">
        <v>0.15797853787580235</v>
      </c>
    </row>
    <row r="17" spans="1:3">
      <c r="A17" s="14" t="s">
        <v>517</v>
      </c>
      <c r="B17" s="12">
        <v>0.11233548263058708</v>
      </c>
      <c r="C17" s="12">
        <v>0.26412953374916764</v>
      </c>
    </row>
    <row r="18" spans="1:3">
      <c r="A18" s="14" t="s">
        <v>519</v>
      </c>
      <c r="B18" s="12">
        <v>8.908014296626654E-2</v>
      </c>
      <c r="C18" s="12">
        <v>0.33793106572265935</v>
      </c>
    </row>
    <row r="19" spans="1:3">
      <c r="A19" s="14" t="s">
        <v>518</v>
      </c>
      <c r="B19" s="12">
        <v>0.59682169017321063</v>
      </c>
      <c r="C19" s="12">
        <v>0.23996086265237065</v>
      </c>
    </row>
    <row r="20" spans="1:3">
      <c r="A20" s="14" t="s">
        <v>512</v>
      </c>
      <c r="B20" s="12">
        <v>1</v>
      </c>
      <c r="C20" s="12">
        <v>1</v>
      </c>
    </row>
  </sheetData>
  <phoneticPr fontId="20" type="noConversion"/>
  <pageMargins left="0.7" right="0.7" top="0.75" bottom="0.75" header="0.3" footer="0.3"/>
  <drawing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103AC8-5305-4307-8D3A-B361424948BF}">
  <sheetPr codeName="Sheet7"/>
  <dimension ref="A1:J20"/>
  <sheetViews>
    <sheetView zoomScale="120" zoomScaleNormal="120" workbookViewId="0">
      <selection activeCell="C33" sqref="C33:E33"/>
    </sheetView>
  </sheetViews>
  <sheetFormatPr defaultRowHeight="14.4"/>
  <cols>
    <col min="1" max="1" width="10.77734375" bestFit="1" customWidth="1"/>
    <col min="2" max="2" width="7.77734375" bestFit="1" customWidth="1"/>
    <col min="3" max="6" width="6.88671875" customWidth="1"/>
    <col min="7" max="7" width="26.88671875" bestFit="1" customWidth="1"/>
    <col min="8" max="8" width="29.77734375" bestFit="1" customWidth="1"/>
  </cols>
  <sheetData>
    <row r="1" spans="1:7">
      <c r="A1" s="34"/>
      <c r="B1" s="36"/>
      <c r="C1" s="36"/>
      <c r="D1" s="36"/>
      <c r="E1" s="36"/>
      <c r="F1" s="41"/>
    </row>
    <row r="2" spans="1:7" s="17" customFormat="1">
      <c r="A2" s="35">
        <v>1</v>
      </c>
      <c r="B2" s="36" t="s">
        <v>516</v>
      </c>
      <c r="C2" s="36" t="s">
        <v>517</v>
      </c>
      <c r="D2" s="36" t="s">
        <v>519</v>
      </c>
      <c r="E2" s="36" t="s">
        <v>518</v>
      </c>
      <c r="F2" s="41"/>
    </row>
    <row r="3" spans="1:7">
      <c r="A3" s="37" t="s">
        <v>520</v>
      </c>
      <c r="B3" s="38">
        <f>SUMIFS(tbl_data[Transaction Amount],tbl_data[Sales Person],Pivot_3!$A3,tbl_data[Day],Pivot_3!$A$2,tbl_data[Product],"Books")</f>
        <v>62.1875</v>
      </c>
      <c r="C3" s="38">
        <f>SUMIFS(tbl_data[Transaction Amount],tbl_data[Sales Person],Pivot_3!$A3,tbl_data[Day],Pivot_3!$A$2,tbl_data[Product],"Clothing")</f>
        <v>0</v>
      </c>
      <c r="D3" s="38">
        <f>SUMIFS(tbl_data[Transaction Amount],tbl_data[Sales Person],Pivot_3!$A3,tbl_data[Day],Pivot_3!$A$2,tbl_data[Product],"Games")</f>
        <v>63.666666666666664</v>
      </c>
      <c r="E3" s="38">
        <f>SUMIFS(tbl_data[Transaction Amount],tbl_data[Sales Person],Pivot_3!$A3,tbl_data[Day],Pivot_3!$A$2,tbl_data[Product],"Music")</f>
        <v>0</v>
      </c>
      <c r="F3" s="38"/>
    </row>
    <row r="4" spans="1:7">
      <c r="A4" s="37" t="s">
        <v>521</v>
      </c>
      <c r="B4" s="38">
        <f>SUMIFS(tbl_data[Transaction Amount],tbl_data[Sales Person],Pivot_3!$A4,tbl_data[Day],Pivot_3!$A$2,tbl_data[Product],"Books")</f>
        <v>55.77235772357723</v>
      </c>
      <c r="C4" s="38">
        <f>SUMIFS(tbl_data[Transaction Amount],tbl_data[Sales Person],Pivot_3!$A4,tbl_data[Day],Pivot_3!$A$2,tbl_data[Product],"Clothing")</f>
        <v>24.646464646464647</v>
      </c>
      <c r="D4" s="38">
        <f>SUMIFS(tbl_data[Transaction Amount],tbl_data[Sales Person],Pivot_3!$A4,tbl_data[Day],Pivot_3!$A$2,tbl_data[Product],"Games")</f>
        <v>32.46153846153846</v>
      </c>
      <c r="E4" s="38">
        <f>SUMIFS(tbl_data[Transaction Amount],tbl_data[Sales Person],Pivot_3!$A4,tbl_data[Day],Pivot_3!$A$2,tbl_data[Product],"Music")</f>
        <v>267.78947368421052</v>
      </c>
      <c r="F4" s="38"/>
    </row>
    <row r="5" spans="1:7">
      <c r="A5" s="37" t="s">
        <v>522</v>
      </c>
      <c r="B5" s="38">
        <f>SUMIFS(tbl_data[Transaction Amount],tbl_data[Sales Person],Pivot_3!$A5,tbl_data[Day],Pivot_3!$A$2,tbl_data[Product],"Books")</f>
        <v>46.206896551724135</v>
      </c>
      <c r="C5" s="38">
        <f>SUMIFS(tbl_data[Transaction Amount],tbl_data[Sales Person],Pivot_3!$A5,tbl_data[Day],Pivot_3!$A$2,tbl_data[Product],"Clothing")</f>
        <v>41.166666666666664</v>
      </c>
      <c r="D5" s="38">
        <f>SUMIFS(tbl_data[Transaction Amount],tbl_data[Sales Person],Pivot_3!$A5,tbl_data[Day],Pivot_3!$A$2,tbl_data[Product],"Games")</f>
        <v>53.74074074074074</v>
      </c>
      <c r="E5" s="38">
        <f>SUMIFS(tbl_data[Transaction Amount],tbl_data[Sales Person],Pivot_3!$A5,tbl_data[Day],Pivot_3!$A$2,tbl_data[Product],"Music")</f>
        <v>156.86956521739131</v>
      </c>
      <c r="F5" s="38"/>
    </row>
    <row r="6" spans="1:7">
      <c r="A6" s="37" t="s">
        <v>523</v>
      </c>
      <c r="B6" s="38">
        <f>SUMIFS(tbl_data[Transaction Amount],tbl_data[Sales Person],Pivot_3!$A6,tbl_data[Day],Pivot_3!$A$2,tbl_data[Product],"Books")</f>
        <v>0</v>
      </c>
      <c r="C6" s="38">
        <f>SUMIFS(tbl_data[Transaction Amount],tbl_data[Sales Person],Pivot_3!$A6,tbl_data[Day],Pivot_3!$A$2,tbl_data[Product],"Clothing")</f>
        <v>16.137566137566139</v>
      </c>
      <c r="D6" s="38">
        <f>SUMIFS(tbl_data[Transaction Amount],tbl_data[Sales Person],Pivot_3!$A6,tbl_data[Day],Pivot_3!$A$2,tbl_data[Product],"Games")</f>
        <v>47.631578947368418</v>
      </c>
      <c r="E6" s="38">
        <f>SUMIFS(tbl_data[Transaction Amount],tbl_data[Sales Person],Pivot_3!$A6,tbl_data[Day],Pivot_3!$A$2,tbl_data[Product],"Music")</f>
        <v>205.29411764705887</v>
      </c>
      <c r="F6" s="38"/>
    </row>
    <row r="7" spans="1:7">
      <c r="A7" s="39" t="s">
        <v>542</v>
      </c>
      <c r="B7" s="40">
        <f t="shared" ref="B7:E7" si="0">SUM(B3:B6)</f>
        <v>164.16675427530137</v>
      </c>
      <c r="C7" s="40">
        <f t="shared" si="0"/>
        <v>81.950697450697447</v>
      </c>
      <c r="D7" s="40">
        <f t="shared" si="0"/>
        <v>197.50052481631428</v>
      </c>
      <c r="E7" s="40">
        <f t="shared" si="0"/>
        <v>629.95315654866067</v>
      </c>
      <c r="F7" s="42">
        <f>SUM(B7:E7)</f>
        <v>1073.5711330909737</v>
      </c>
    </row>
    <row r="9" spans="1:7">
      <c r="A9" s="60" t="s">
        <v>544</v>
      </c>
      <c r="B9" s="60" t="s">
        <v>547</v>
      </c>
      <c r="C9" s="60" t="s">
        <v>548</v>
      </c>
      <c r="D9" s="60" t="s">
        <v>549</v>
      </c>
    </row>
    <row r="10" spans="1:7">
      <c r="A10" s="17" t="str">
        <f>Dashboard!D18</f>
        <v>Alice</v>
      </c>
      <c r="B10" s="61" cm="1">
        <f t="array" ref="B10">SUM(INDEX($B$14:$E$17,MATCH($A$10,$A$14:$A$17,0),{1;2;3;4}))</f>
        <v>0.11722946229404799</v>
      </c>
      <c r="C10" s="17">
        <v>0</v>
      </c>
      <c r="D10" s="61">
        <f>1-B10</f>
        <v>0.88277053770595204</v>
      </c>
    </row>
    <row r="11" spans="1:7">
      <c r="B11" s="61" cm="1">
        <f t="array" ref="B11">SUM(INDEX($B$14:$E$17,MATCH($A$10,$A$14:$A$17,0),{1;2;3;4}))</f>
        <v>0.11722946229404799</v>
      </c>
      <c r="C11" s="61">
        <f>0.01</f>
        <v>0.01</v>
      </c>
      <c r="D11" s="61">
        <f>1-B10-C11</f>
        <v>0.87277053770595203</v>
      </c>
    </row>
    <row r="12" spans="1:7">
      <c r="B12" s="33"/>
      <c r="C12" s="33"/>
      <c r="D12" s="33"/>
    </row>
    <row r="13" spans="1:7">
      <c r="A13" s="35" t="str">
        <f>Dashboard!H18</f>
        <v>Day</v>
      </c>
      <c r="B13" s="36" t="s">
        <v>516</v>
      </c>
      <c r="C13" s="36" t="s">
        <v>517</v>
      </c>
      <c r="D13" s="36" t="s">
        <v>519</v>
      </c>
      <c r="E13" s="36" t="s">
        <v>518</v>
      </c>
      <c r="F13" s="41"/>
      <c r="G13" s="41" t="s">
        <v>546</v>
      </c>
    </row>
    <row r="14" spans="1:7">
      <c r="A14" s="37" t="s">
        <v>520</v>
      </c>
      <c r="B14" s="57">
        <f t="shared" ref="B14:E15" si="1">B3/$F$7</f>
        <v>5.7925830979594972E-2</v>
      </c>
      <c r="C14" s="57">
        <f t="shared" si="1"/>
        <v>0</v>
      </c>
      <c r="D14" s="57">
        <f t="shared" si="1"/>
        <v>5.9303631314453008E-2</v>
      </c>
      <c r="E14" s="57">
        <f t="shared" si="1"/>
        <v>0</v>
      </c>
      <c r="F14" s="57"/>
      <c r="G14" s="28">
        <f>SUM(B14:E14)</f>
        <v>0.11722946229404799</v>
      </c>
    </row>
    <row r="15" spans="1:7">
      <c r="A15" s="37" t="s">
        <v>521</v>
      </c>
      <c r="B15" s="57">
        <f t="shared" si="1"/>
        <v>5.1950314240473451E-2</v>
      </c>
      <c r="C15" s="57">
        <f t="shared" si="1"/>
        <v>2.2957458417779682E-2</v>
      </c>
      <c r="D15" s="57">
        <f t="shared" si="1"/>
        <v>3.0236970295649417E-2</v>
      </c>
      <c r="E15" s="57">
        <f t="shared" si="1"/>
        <v>0.24943803482607074</v>
      </c>
      <c r="F15" s="57"/>
      <c r="G15" s="28">
        <f t="shared" ref="G15:G17" si="2">SUM(B15:E15)</f>
        <v>0.35458277777997327</v>
      </c>
    </row>
    <row r="16" spans="1:7">
      <c r="A16" s="37" t="s">
        <v>522</v>
      </c>
      <c r="B16" s="57">
        <f t="shared" ref="B16:E16" si="3">B5/$F$7</f>
        <v>4.3040367915526463E-2</v>
      </c>
      <c r="C16" s="57">
        <f t="shared" si="3"/>
        <v>3.8345541713795527E-2</v>
      </c>
      <c r="D16" s="57">
        <f t="shared" si="3"/>
        <v>5.0057922651117692E-2</v>
      </c>
      <c r="E16" s="57">
        <f t="shared" si="3"/>
        <v>0.14611939570854526</v>
      </c>
      <c r="F16" s="57"/>
      <c r="G16" s="28">
        <f t="shared" si="2"/>
        <v>0.27756322798898492</v>
      </c>
    </row>
    <row r="17" spans="1:10">
      <c r="A17" s="37" t="s">
        <v>523</v>
      </c>
      <c r="B17" s="57">
        <f t="shared" ref="B17:E17" si="4">B6/$F$7</f>
        <v>0</v>
      </c>
      <c r="C17" s="57">
        <f t="shared" si="4"/>
        <v>1.5031669202117652E-2</v>
      </c>
      <c r="D17" s="57">
        <f t="shared" si="4"/>
        <v>4.4367417751099453E-2</v>
      </c>
      <c r="E17" s="57">
        <f t="shared" si="4"/>
        <v>0.19122544498377675</v>
      </c>
      <c r="F17" s="57"/>
      <c r="G17" s="28">
        <f t="shared" si="2"/>
        <v>0.25062453193699386</v>
      </c>
    </row>
    <row r="20" spans="1:10">
      <c r="A20" s="17">
        <v>1</v>
      </c>
      <c r="B20" s="17">
        <v>1</v>
      </c>
      <c r="C20" s="17">
        <v>1</v>
      </c>
      <c r="D20" s="17">
        <v>1</v>
      </c>
      <c r="E20" s="17">
        <v>1</v>
      </c>
      <c r="F20" s="17">
        <v>1</v>
      </c>
      <c r="G20" s="17">
        <v>1</v>
      </c>
      <c r="H20" s="17">
        <v>1</v>
      </c>
      <c r="I20" s="17">
        <v>1</v>
      </c>
      <c r="J20" s="17">
        <v>1</v>
      </c>
    </row>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Dashboard</vt:lpstr>
      <vt:lpstr>Analysis Insights &amp; BI options</vt:lpstr>
      <vt:lpstr>Raw Data</vt:lpstr>
      <vt:lpstr>Clean Data</vt:lpstr>
      <vt:lpstr>Pivot_1</vt:lpstr>
      <vt:lpstr>Pivot_2</vt:lpstr>
      <vt:lpstr>Pivot_3</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Mr Prashan Karunaratne</dc:creator>
  <cp:lastModifiedBy>Ali Can</cp:lastModifiedBy>
  <cp:lastPrinted>2017-11-05T04:32:04Z</cp:lastPrinted>
  <dcterms:created xsi:type="dcterms:W3CDTF">2017-08-25T02:34:34Z</dcterms:created>
  <dcterms:modified xsi:type="dcterms:W3CDTF">2026-03-11T14:25:57Z</dcterms:modified>
</cp:coreProperties>
</file>